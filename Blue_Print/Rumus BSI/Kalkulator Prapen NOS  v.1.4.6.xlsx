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xr:revisionPtr revIDLastSave="0" documentId="11_BE95FC3F1E4446B38BCA3B3D6CC1262F1776B31C" xr6:coauthVersionLast="47" xr6:coauthVersionMax="47" xr10:uidLastSave="{00000000-0000-0000-0000-000000000000}"/>
  <bookViews>
    <workbookView xWindow="0" yWindow="0" windowWidth="20730" windowHeight="11760" xr2:uid="{00000000-000D-0000-FFFF-FFFF00000000}"/>
  </bookViews>
  <sheets>
    <sheet name="Akseptasi" sheetId="1" r:id="rId1"/>
    <sheet name="Simulasi" sheetId="2" r:id="rId2"/>
    <sheet name="Rumus Plafond + Atrib PP10 (2)" sheetId="3" state="hidden" r:id="rId3"/>
    <sheet name="Rincian ke Nsb" sheetId="4" r:id="rId4"/>
    <sheet name="Jadwal Angsuran Dekade Berkah" sheetId="5" r:id="rId5"/>
    <sheet name="Jadwal Angsuran TriBerkah (Blok" sheetId="6" r:id="rId6"/>
    <sheet name="Rumus Plafond + Atrib PP3" sheetId="7" state="hidden" r:id="rId7"/>
    <sheet name="Sheet1" sheetId="8" state="hidden" r:id="rId8"/>
  </sheets>
  <externalReferences>
    <externalReference r:id="rId9"/>
  </externalReferences>
  <definedNames>
    <definedName name="_xlnm.Print_Area" localSheetId="2">'Rumus Plafond + Atrib PP10 (2)'!$A$1:$K$185</definedName>
    <definedName name="_xlnm.Print_Area" localSheetId="6">'Rumus Plafond + Atrib PP3'!$A$1:$L$187</definedName>
    <definedName name="solver_adj" localSheetId="2" hidden="1">'Rumus Plafond + Atrib PP10 (2)'!$AH$1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ng" localSheetId="1" hidden="1">0</definedName>
    <definedName name="solver_est" localSheetId="2" hidden="1">1</definedName>
    <definedName name="solver_itr" localSheetId="2" hidden="1">2147483647</definedName>
    <definedName name="solver_lhs1" localSheetId="2" hidden="1">'Rumus Plafond + Atrib PP10 (2)'!$AH$1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'Rumus Plafond + Atrib PP10 (2)'!$AJ$183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hs1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0</definedName>
    <definedName name="solver_ver" localSheetId="2" hidden="1">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B5" i="2"/>
  <c r="C8" i="2"/>
  <c r="C9" i="3"/>
  <c r="C9" i="7"/>
  <c r="C10" i="7"/>
  <c r="C36" i="7"/>
  <c r="C4" i="2"/>
  <c r="C6" i="7"/>
  <c r="C40" i="7"/>
  <c r="C43" i="7"/>
  <c r="C44" i="7"/>
  <c r="C46" i="7"/>
  <c r="P3" i="7"/>
  <c r="V4" i="7"/>
  <c r="V7" i="7"/>
  <c r="F32" i="2"/>
  <c r="B32" i="2"/>
  <c r="V13" i="7"/>
  <c r="S4" i="7"/>
  <c r="V6" i="7"/>
  <c r="R4" i="7"/>
  <c r="Q4" i="7"/>
  <c r="P4" i="7"/>
  <c r="S5" i="7"/>
  <c r="R5" i="7"/>
  <c r="Q5" i="7"/>
  <c r="P5" i="7"/>
  <c r="S6" i="7"/>
  <c r="R6" i="7"/>
  <c r="Q6" i="7"/>
  <c r="P6" i="7"/>
  <c r="S7" i="7"/>
  <c r="R7" i="7"/>
  <c r="Q7" i="7"/>
  <c r="P7" i="7"/>
  <c r="S8" i="7"/>
  <c r="R8" i="7"/>
  <c r="Q8" i="7"/>
  <c r="P8" i="7"/>
  <c r="S9" i="7"/>
  <c r="R9" i="7"/>
  <c r="Q9" i="7"/>
  <c r="P9" i="7"/>
  <c r="S10" i="7"/>
  <c r="R10" i="7"/>
  <c r="Q10" i="7"/>
  <c r="P10" i="7"/>
  <c r="S11" i="7"/>
  <c r="R11" i="7"/>
  <c r="Q11" i="7"/>
  <c r="P11" i="7"/>
  <c r="S12" i="7"/>
  <c r="R12" i="7"/>
  <c r="Q12" i="7"/>
  <c r="P12" i="7"/>
  <c r="S13" i="7"/>
  <c r="R13" i="7"/>
  <c r="Q13" i="7"/>
  <c r="P13" i="7"/>
  <c r="S14" i="7"/>
  <c r="R14" i="7"/>
  <c r="Q14" i="7"/>
  <c r="P14" i="7"/>
  <c r="S15" i="7"/>
  <c r="R15" i="7"/>
  <c r="Q15" i="7"/>
  <c r="P15" i="7"/>
  <c r="S16" i="7"/>
  <c r="R16" i="7"/>
  <c r="Q16" i="7"/>
  <c r="P16" i="7"/>
  <c r="S17" i="7"/>
  <c r="R17" i="7"/>
  <c r="Q17" i="7"/>
  <c r="P17" i="7"/>
  <c r="S18" i="7"/>
  <c r="R18" i="7"/>
  <c r="Q18" i="7"/>
  <c r="P18" i="7"/>
  <c r="S19" i="7"/>
  <c r="R19" i="7"/>
  <c r="Q19" i="7"/>
  <c r="P19" i="7"/>
  <c r="S20" i="7"/>
  <c r="R20" i="7"/>
  <c r="Q20" i="7"/>
  <c r="P20" i="7"/>
  <c r="S21" i="7"/>
  <c r="R21" i="7"/>
  <c r="Q21" i="7"/>
  <c r="P21" i="7"/>
  <c r="S22" i="7"/>
  <c r="R22" i="7"/>
  <c r="Q22" i="7"/>
  <c r="P22" i="7"/>
  <c r="S23" i="7"/>
  <c r="R23" i="7"/>
  <c r="Q23" i="7"/>
  <c r="P23" i="7"/>
  <c r="S24" i="7"/>
  <c r="R24" i="7"/>
  <c r="Q24" i="7"/>
  <c r="P24" i="7"/>
  <c r="S25" i="7"/>
  <c r="R25" i="7"/>
  <c r="Q25" i="7"/>
  <c r="P25" i="7"/>
  <c r="S26" i="7"/>
  <c r="R26" i="7"/>
  <c r="Q26" i="7"/>
  <c r="P26" i="7"/>
  <c r="S27" i="7"/>
  <c r="R27" i="7"/>
  <c r="Q27" i="7"/>
  <c r="P27" i="7"/>
  <c r="S28" i="7"/>
  <c r="R28" i="7"/>
  <c r="Q28" i="7"/>
  <c r="P28" i="7"/>
  <c r="S29" i="7"/>
  <c r="R29" i="7"/>
  <c r="Q29" i="7"/>
  <c r="P29" i="7"/>
  <c r="S30" i="7"/>
  <c r="R30" i="7"/>
  <c r="Q30" i="7"/>
  <c r="P30" i="7"/>
  <c r="S31" i="7"/>
  <c r="R31" i="7"/>
  <c r="Q31" i="7"/>
  <c r="P31" i="7"/>
  <c r="S32" i="7"/>
  <c r="R32" i="7"/>
  <c r="Q32" i="7"/>
  <c r="P32" i="7"/>
  <c r="S33" i="7"/>
  <c r="R33" i="7"/>
  <c r="Q33" i="7"/>
  <c r="P33" i="7"/>
  <c r="S34" i="7"/>
  <c r="R34" i="7"/>
  <c r="Q34" i="7"/>
  <c r="P34" i="7"/>
  <c r="S35" i="7"/>
  <c r="R35" i="7"/>
  <c r="Q35" i="7"/>
  <c r="P35" i="7"/>
  <c r="S36" i="7"/>
  <c r="R36" i="7"/>
  <c r="Q36" i="7"/>
  <c r="P36" i="7"/>
  <c r="S37" i="7"/>
  <c r="R37" i="7"/>
  <c r="Q37" i="7"/>
  <c r="P37" i="7"/>
  <c r="S38" i="7"/>
  <c r="R38" i="7"/>
  <c r="Q38" i="7"/>
  <c r="P38" i="7"/>
  <c r="S39" i="7"/>
  <c r="R39" i="7"/>
  <c r="Q39" i="7"/>
  <c r="P39" i="7"/>
  <c r="S40" i="7"/>
  <c r="R40" i="7"/>
  <c r="Q40" i="7"/>
  <c r="P40" i="7"/>
  <c r="S41" i="7"/>
  <c r="R41" i="7"/>
  <c r="Q41" i="7"/>
  <c r="P41" i="7"/>
  <c r="S42" i="7"/>
  <c r="R42" i="7"/>
  <c r="Q42" i="7"/>
  <c r="P42" i="7"/>
  <c r="S43" i="7"/>
  <c r="R43" i="7"/>
  <c r="Q43" i="7"/>
  <c r="P43" i="7"/>
  <c r="S44" i="7"/>
  <c r="R44" i="7"/>
  <c r="Q44" i="7"/>
  <c r="P44" i="7"/>
  <c r="S45" i="7"/>
  <c r="R45" i="7"/>
  <c r="Q45" i="7"/>
  <c r="P45" i="7"/>
  <c r="S46" i="7"/>
  <c r="R46" i="7"/>
  <c r="Q46" i="7"/>
  <c r="P46" i="7"/>
  <c r="S47" i="7"/>
  <c r="R47" i="7"/>
  <c r="Q47" i="7"/>
  <c r="P47" i="7"/>
  <c r="S48" i="7"/>
  <c r="R48" i="7"/>
  <c r="Q48" i="7"/>
  <c r="P48" i="7"/>
  <c r="S49" i="7"/>
  <c r="R49" i="7"/>
  <c r="Q49" i="7"/>
  <c r="P49" i="7"/>
  <c r="S50" i="7"/>
  <c r="R50" i="7"/>
  <c r="Q50" i="7"/>
  <c r="P50" i="7"/>
  <c r="S51" i="7"/>
  <c r="R51" i="7"/>
  <c r="Q51" i="7"/>
  <c r="P51" i="7"/>
  <c r="S52" i="7"/>
  <c r="R52" i="7"/>
  <c r="Q52" i="7"/>
  <c r="P52" i="7"/>
  <c r="S53" i="7"/>
  <c r="R53" i="7"/>
  <c r="Q53" i="7"/>
  <c r="P53" i="7"/>
  <c r="S54" i="7"/>
  <c r="R54" i="7"/>
  <c r="Q54" i="7"/>
  <c r="P54" i="7"/>
  <c r="S55" i="7"/>
  <c r="R55" i="7"/>
  <c r="Q55" i="7"/>
  <c r="P55" i="7"/>
  <c r="S56" i="7"/>
  <c r="R56" i="7"/>
  <c r="Q56" i="7"/>
  <c r="P56" i="7"/>
  <c r="S57" i="7"/>
  <c r="R57" i="7"/>
  <c r="Q57" i="7"/>
  <c r="P57" i="7"/>
  <c r="S58" i="7"/>
  <c r="R58" i="7"/>
  <c r="Q58" i="7"/>
  <c r="P58" i="7"/>
  <c r="S59" i="7"/>
  <c r="R59" i="7"/>
  <c r="Q59" i="7"/>
  <c r="P59" i="7"/>
  <c r="S60" i="7"/>
  <c r="R60" i="7"/>
  <c r="Q60" i="7"/>
  <c r="P60" i="7"/>
  <c r="S61" i="7"/>
  <c r="R61" i="7"/>
  <c r="Q61" i="7"/>
  <c r="P61" i="7"/>
  <c r="S62" i="7"/>
  <c r="R62" i="7"/>
  <c r="Q62" i="7"/>
  <c r="P62" i="7"/>
  <c r="S63" i="7"/>
  <c r="R63" i="7"/>
  <c r="Q63" i="7"/>
  <c r="P63" i="7"/>
  <c r="S64" i="7"/>
  <c r="R64" i="7"/>
  <c r="Q64" i="7"/>
  <c r="P64" i="7"/>
  <c r="S65" i="7"/>
  <c r="R65" i="7"/>
  <c r="Q65" i="7"/>
  <c r="P65" i="7"/>
  <c r="S66" i="7"/>
  <c r="R66" i="7"/>
  <c r="Q66" i="7"/>
  <c r="P66" i="7"/>
  <c r="S67" i="7"/>
  <c r="R67" i="7"/>
  <c r="Q67" i="7"/>
  <c r="P67" i="7"/>
  <c r="S68" i="7"/>
  <c r="R68" i="7"/>
  <c r="Q68" i="7"/>
  <c r="P68" i="7"/>
  <c r="S69" i="7"/>
  <c r="R69" i="7"/>
  <c r="Q69" i="7"/>
  <c r="P69" i="7"/>
  <c r="S70" i="7"/>
  <c r="R70" i="7"/>
  <c r="Q70" i="7"/>
  <c r="P70" i="7"/>
  <c r="S71" i="7"/>
  <c r="R71" i="7"/>
  <c r="Q71" i="7"/>
  <c r="P71" i="7"/>
  <c r="S72" i="7"/>
  <c r="R72" i="7"/>
  <c r="Q72" i="7"/>
  <c r="P72" i="7"/>
  <c r="S73" i="7"/>
  <c r="R73" i="7"/>
  <c r="Q73" i="7"/>
  <c r="P73" i="7"/>
  <c r="S74" i="7"/>
  <c r="R74" i="7"/>
  <c r="Q74" i="7"/>
  <c r="P74" i="7"/>
  <c r="S75" i="7"/>
  <c r="R75" i="7"/>
  <c r="Q75" i="7"/>
  <c r="P75" i="7"/>
  <c r="S76" i="7"/>
  <c r="R76" i="7"/>
  <c r="Q76" i="7"/>
  <c r="P76" i="7"/>
  <c r="S77" i="7"/>
  <c r="R77" i="7"/>
  <c r="Q77" i="7"/>
  <c r="P77" i="7"/>
  <c r="S78" i="7"/>
  <c r="R78" i="7"/>
  <c r="Q78" i="7"/>
  <c r="P78" i="7"/>
  <c r="S79" i="7"/>
  <c r="R79" i="7"/>
  <c r="Q79" i="7"/>
  <c r="P79" i="7"/>
  <c r="S80" i="7"/>
  <c r="R80" i="7"/>
  <c r="Q80" i="7"/>
  <c r="P80" i="7"/>
  <c r="S81" i="7"/>
  <c r="R81" i="7"/>
  <c r="Q81" i="7"/>
  <c r="P81" i="7"/>
  <c r="S82" i="7"/>
  <c r="R82" i="7"/>
  <c r="Q82" i="7"/>
  <c r="P82" i="7"/>
  <c r="S83" i="7"/>
  <c r="R83" i="7"/>
  <c r="Q83" i="7"/>
  <c r="P83" i="7"/>
  <c r="S84" i="7"/>
  <c r="R84" i="7"/>
  <c r="Q84" i="7"/>
  <c r="P84" i="7"/>
  <c r="S85" i="7"/>
  <c r="R85" i="7"/>
  <c r="Q85" i="7"/>
  <c r="P85" i="7"/>
  <c r="S86" i="7"/>
  <c r="R86" i="7"/>
  <c r="Q86" i="7"/>
  <c r="P86" i="7"/>
  <c r="S87" i="7"/>
  <c r="R87" i="7"/>
  <c r="Q87" i="7"/>
  <c r="P87" i="7"/>
  <c r="S88" i="7"/>
  <c r="R88" i="7"/>
  <c r="Q88" i="7"/>
  <c r="P88" i="7"/>
  <c r="S89" i="7"/>
  <c r="R89" i="7"/>
  <c r="Q89" i="7"/>
  <c r="P89" i="7"/>
  <c r="S90" i="7"/>
  <c r="R90" i="7"/>
  <c r="Q90" i="7"/>
  <c r="P90" i="7"/>
  <c r="S91" i="7"/>
  <c r="R91" i="7"/>
  <c r="Q91" i="7"/>
  <c r="P91" i="7"/>
  <c r="S92" i="7"/>
  <c r="R92" i="7"/>
  <c r="Q92" i="7"/>
  <c r="P92" i="7"/>
  <c r="S93" i="7"/>
  <c r="R93" i="7"/>
  <c r="Q93" i="7"/>
  <c r="P93" i="7"/>
  <c r="S94" i="7"/>
  <c r="R94" i="7"/>
  <c r="Q94" i="7"/>
  <c r="P94" i="7"/>
  <c r="S95" i="7"/>
  <c r="R95" i="7"/>
  <c r="Q95" i="7"/>
  <c r="P95" i="7"/>
  <c r="S96" i="7"/>
  <c r="R96" i="7"/>
  <c r="Q96" i="7"/>
  <c r="P96" i="7"/>
  <c r="S97" i="7"/>
  <c r="R97" i="7"/>
  <c r="Q97" i="7"/>
  <c r="P97" i="7"/>
  <c r="S98" i="7"/>
  <c r="R98" i="7"/>
  <c r="Q98" i="7"/>
  <c r="P98" i="7"/>
  <c r="S99" i="7"/>
  <c r="R99" i="7"/>
  <c r="Q99" i="7"/>
  <c r="P99" i="7"/>
  <c r="S100" i="7"/>
  <c r="R100" i="7"/>
  <c r="Q100" i="7"/>
  <c r="P100" i="7"/>
  <c r="S101" i="7"/>
  <c r="R101" i="7"/>
  <c r="Q101" i="7"/>
  <c r="P101" i="7"/>
  <c r="S102" i="7"/>
  <c r="R102" i="7"/>
  <c r="Q102" i="7"/>
  <c r="P102" i="7"/>
  <c r="S103" i="7"/>
  <c r="R103" i="7"/>
  <c r="Q103" i="7"/>
  <c r="P103" i="7"/>
  <c r="S104" i="7"/>
  <c r="R104" i="7"/>
  <c r="Q104" i="7"/>
  <c r="P104" i="7"/>
  <c r="S105" i="7"/>
  <c r="R105" i="7"/>
  <c r="Q105" i="7"/>
  <c r="P105" i="7"/>
  <c r="S106" i="7"/>
  <c r="R106" i="7"/>
  <c r="Q106" i="7"/>
  <c r="P106" i="7"/>
  <c r="S107" i="7"/>
  <c r="R107" i="7"/>
  <c r="Q107" i="7"/>
  <c r="P107" i="7"/>
  <c r="S108" i="7"/>
  <c r="R108" i="7"/>
  <c r="Q108" i="7"/>
  <c r="P108" i="7"/>
  <c r="S109" i="7"/>
  <c r="R109" i="7"/>
  <c r="Q109" i="7"/>
  <c r="P109" i="7"/>
  <c r="S110" i="7"/>
  <c r="R110" i="7"/>
  <c r="Q110" i="7"/>
  <c r="P110" i="7"/>
  <c r="S111" i="7"/>
  <c r="R111" i="7"/>
  <c r="Q111" i="7"/>
  <c r="P111" i="7"/>
  <c r="S112" i="7"/>
  <c r="R112" i="7"/>
  <c r="Q112" i="7"/>
  <c r="P112" i="7"/>
  <c r="S113" i="7"/>
  <c r="R113" i="7"/>
  <c r="Q113" i="7"/>
  <c r="P113" i="7"/>
  <c r="S114" i="7"/>
  <c r="R114" i="7"/>
  <c r="Q114" i="7"/>
  <c r="P114" i="7"/>
  <c r="S115" i="7"/>
  <c r="R115" i="7"/>
  <c r="Q115" i="7"/>
  <c r="P115" i="7"/>
  <c r="S116" i="7"/>
  <c r="R116" i="7"/>
  <c r="Q116" i="7"/>
  <c r="P116" i="7"/>
  <c r="S117" i="7"/>
  <c r="R117" i="7"/>
  <c r="Q117" i="7"/>
  <c r="P117" i="7"/>
  <c r="S118" i="7"/>
  <c r="R118" i="7"/>
  <c r="Q118" i="7"/>
  <c r="P118" i="7"/>
  <c r="S119" i="7"/>
  <c r="R119" i="7"/>
  <c r="Q119" i="7"/>
  <c r="P119" i="7"/>
  <c r="S120" i="7"/>
  <c r="R120" i="7"/>
  <c r="Q120" i="7"/>
  <c r="P120" i="7"/>
  <c r="S121" i="7"/>
  <c r="R121" i="7"/>
  <c r="Q121" i="7"/>
  <c r="P121" i="7"/>
  <c r="S122" i="7"/>
  <c r="R122" i="7"/>
  <c r="Q122" i="7"/>
  <c r="P122" i="7"/>
  <c r="S123" i="7"/>
  <c r="R123" i="7"/>
  <c r="Q123" i="7"/>
  <c r="P123" i="7"/>
  <c r="V10" i="7"/>
  <c r="V14" i="7"/>
  <c r="V15" i="7"/>
  <c r="V16" i="7"/>
  <c r="V17" i="7"/>
  <c r="F33" i="2"/>
  <c r="C10" i="3"/>
  <c r="C17" i="3"/>
  <c r="C18" i="3"/>
  <c r="C45" i="3"/>
  <c r="P3" i="3"/>
  <c r="S4" i="3"/>
  <c r="V3" i="3"/>
  <c r="V5" i="3"/>
  <c r="R4" i="3"/>
  <c r="Q4" i="3"/>
  <c r="P4" i="3"/>
  <c r="S5" i="3"/>
  <c r="R5" i="3"/>
  <c r="Q5" i="3"/>
  <c r="P5" i="3"/>
  <c r="S6" i="3"/>
  <c r="R6" i="3"/>
  <c r="Q6" i="3"/>
  <c r="P6" i="3"/>
  <c r="S7" i="3"/>
  <c r="R7" i="3"/>
  <c r="Q7" i="3"/>
  <c r="P7" i="3"/>
  <c r="S8" i="3"/>
  <c r="R8" i="3"/>
  <c r="Q8" i="3"/>
  <c r="P8" i="3"/>
  <c r="S9" i="3"/>
  <c r="R9" i="3"/>
  <c r="Q9" i="3"/>
  <c r="P9" i="3"/>
  <c r="S10" i="3"/>
  <c r="R10" i="3"/>
  <c r="Q10" i="3"/>
  <c r="P10" i="3"/>
  <c r="S11" i="3"/>
  <c r="R11" i="3"/>
  <c r="Q11" i="3"/>
  <c r="P11" i="3"/>
  <c r="S12" i="3"/>
  <c r="R12" i="3"/>
  <c r="Q12" i="3"/>
  <c r="P12" i="3"/>
  <c r="S13" i="3"/>
  <c r="R13" i="3"/>
  <c r="Q13" i="3"/>
  <c r="P13" i="3"/>
  <c r="S14" i="3"/>
  <c r="R14" i="3"/>
  <c r="Q14" i="3"/>
  <c r="P14" i="3"/>
  <c r="S15" i="3"/>
  <c r="R15" i="3"/>
  <c r="Q15" i="3"/>
  <c r="P15" i="3"/>
  <c r="S16" i="3"/>
  <c r="R16" i="3"/>
  <c r="Q16" i="3"/>
  <c r="P16" i="3"/>
  <c r="S17" i="3"/>
  <c r="R17" i="3"/>
  <c r="Q17" i="3"/>
  <c r="P17" i="3"/>
  <c r="S18" i="3"/>
  <c r="R18" i="3"/>
  <c r="Q18" i="3"/>
  <c r="P18" i="3"/>
  <c r="S19" i="3"/>
  <c r="R19" i="3"/>
  <c r="Q19" i="3"/>
  <c r="P19" i="3"/>
  <c r="S20" i="3"/>
  <c r="R20" i="3"/>
  <c r="Q20" i="3"/>
  <c r="P20" i="3"/>
  <c r="S21" i="3"/>
  <c r="R21" i="3"/>
  <c r="Q21" i="3"/>
  <c r="P21" i="3"/>
  <c r="S22" i="3"/>
  <c r="R22" i="3"/>
  <c r="Q22" i="3"/>
  <c r="P22" i="3"/>
  <c r="S23" i="3"/>
  <c r="R23" i="3"/>
  <c r="Q23" i="3"/>
  <c r="P23" i="3"/>
  <c r="S24" i="3"/>
  <c r="R24" i="3"/>
  <c r="Q24" i="3"/>
  <c r="P24" i="3"/>
  <c r="S25" i="3"/>
  <c r="R25" i="3"/>
  <c r="Q25" i="3"/>
  <c r="P25" i="3"/>
  <c r="S26" i="3"/>
  <c r="R26" i="3"/>
  <c r="Q26" i="3"/>
  <c r="P26" i="3"/>
  <c r="S27" i="3"/>
  <c r="R27" i="3"/>
  <c r="Q27" i="3"/>
  <c r="P27" i="3"/>
  <c r="S28" i="3"/>
  <c r="R28" i="3"/>
  <c r="Q28" i="3"/>
  <c r="P28" i="3"/>
  <c r="S29" i="3"/>
  <c r="R29" i="3"/>
  <c r="Q29" i="3"/>
  <c r="P29" i="3"/>
  <c r="S30" i="3"/>
  <c r="R30" i="3"/>
  <c r="Q30" i="3"/>
  <c r="P30" i="3"/>
  <c r="S31" i="3"/>
  <c r="R31" i="3"/>
  <c r="Q31" i="3"/>
  <c r="P31" i="3"/>
  <c r="S32" i="3"/>
  <c r="R32" i="3"/>
  <c r="Q32" i="3"/>
  <c r="P32" i="3"/>
  <c r="S33" i="3"/>
  <c r="R33" i="3"/>
  <c r="Q33" i="3"/>
  <c r="P33" i="3"/>
  <c r="S34" i="3"/>
  <c r="R34" i="3"/>
  <c r="Q34" i="3"/>
  <c r="P34" i="3"/>
  <c r="S35" i="3"/>
  <c r="R35" i="3"/>
  <c r="Q35" i="3"/>
  <c r="P35" i="3"/>
  <c r="S36" i="3"/>
  <c r="R36" i="3"/>
  <c r="Q36" i="3"/>
  <c r="P36" i="3"/>
  <c r="S37" i="3"/>
  <c r="R37" i="3"/>
  <c r="Q37" i="3"/>
  <c r="P37" i="3"/>
  <c r="S38" i="3"/>
  <c r="R38" i="3"/>
  <c r="Q38" i="3"/>
  <c r="P38" i="3"/>
  <c r="S39" i="3"/>
  <c r="R39" i="3"/>
  <c r="Q39" i="3"/>
  <c r="P39" i="3"/>
  <c r="S40" i="3"/>
  <c r="R40" i="3"/>
  <c r="Q40" i="3"/>
  <c r="P40" i="3"/>
  <c r="S41" i="3"/>
  <c r="R41" i="3"/>
  <c r="Q41" i="3"/>
  <c r="P41" i="3"/>
  <c r="S42" i="3"/>
  <c r="R42" i="3"/>
  <c r="Q42" i="3"/>
  <c r="P42" i="3"/>
  <c r="S43" i="3"/>
  <c r="R43" i="3"/>
  <c r="Q43" i="3"/>
  <c r="P43" i="3"/>
  <c r="S44" i="3"/>
  <c r="R44" i="3"/>
  <c r="Q44" i="3"/>
  <c r="P44" i="3"/>
  <c r="S45" i="3"/>
  <c r="R45" i="3"/>
  <c r="Q45" i="3"/>
  <c r="P45" i="3"/>
  <c r="S46" i="3"/>
  <c r="R46" i="3"/>
  <c r="Q46" i="3"/>
  <c r="P46" i="3"/>
  <c r="S47" i="3"/>
  <c r="R47" i="3"/>
  <c r="Q47" i="3"/>
  <c r="P47" i="3"/>
  <c r="S48" i="3"/>
  <c r="R48" i="3"/>
  <c r="Q48" i="3"/>
  <c r="P48" i="3"/>
  <c r="S49" i="3"/>
  <c r="R49" i="3"/>
  <c r="Q49" i="3"/>
  <c r="P49" i="3"/>
  <c r="S50" i="3"/>
  <c r="R50" i="3"/>
  <c r="Q50" i="3"/>
  <c r="P50" i="3"/>
  <c r="S51" i="3"/>
  <c r="R51" i="3"/>
  <c r="Q51" i="3"/>
  <c r="P51" i="3"/>
  <c r="S52" i="3"/>
  <c r="R52" i="3"/>
  <c r="Q52" i="3"/>
  <c r="P52" i="3"/>
  <c r="S53" i="3"/>
  <c r="R53" i="3"/>
  <c r="Q53" i="3"/>
  <c r="P53" i="3"/>
  <c r="S54" i="3"/>
  <c r="R54" i="3"/>
  <c r="Q54" i="3"/>
  <c r="P54" i="3"/>
  <c r="S55" i="3"/>
  <c r="R55" i="3"/>
  <c r="Q55" i="3"/>
  <c r="P55" i="3"/>
  <c r="S56" i="3"/>
  <c r="R56" i="3"/>
  <c r="Q56" i="3"/>
  <c r="P56" i="3"/>
  <c r="S57" i="3"/>
  <c r="R57" i="3"/>
  <c r="Q57" i="3"/>
  <c r="P57" i="3"/>
  <c r="S58" i="3"/>
  <c r="R58" i="3"/>
  <c r="Q58" i="3"/>
  <c r="P58" i="3"/>
  <c r="S59" i="3"/>
  <c r="R59" i="3"/>
  <c r="Q59" i="3"/>
  <c r="P59" i="3"/>
  <c r="S60" i="3"/>
  <c r="R60" i="3"/>
  <c r="Q60" i="3"/>
  <c r="P60" i="3"/>
  <c r="S61" i="3"/>
  <c r="R61" i="3"/>
  <c r="Q61" i="3"/>
  <c r="P61" i="3"/>
  <c r="S62" i="3"/>
  <c r="R62" i="3"/>
  <c r="Q62" i="3"/>
  <c r="P62" i="3"/>
  <c r="S63" i="3"/>
  <c r="R63" i="3"/>
  <c r="Q63" i="3"/>
  <c r="P63" i="3"/>
  <c r="S64" i="3"/>
  <c r="R64" i="3"/>
  <c r="Q64" i="3"/>
  <c r="P64" i="3"/>
  <c r="S65" i="3"/>
  <c r="R65" i="3"/>
  <c r="Q65" i="3"/>
  <c r="P65" i="3"/>
  <c r="S66" i="3"/>
  <c r="R66" i="3"/>
  <c r="Q66" i="3"/>
  <c r="P66" i="3"/>
  <c r="S67" i="3"/>
  <c r="R67" i="3"/>
  <c r="Q67" i="3"/>
  <c r="P67" i="3"/>
  <c r="S68" i="3"/>
  <c r="R68" i="3"/>
  <c r="Q68" i="3"/>
  <c r="P68" i="3"/>
  <c r="S69" i="3"/>
  <c r="R69" i="3"/>
  <c r="Q69" i="3"/>
  <c r="P69" i="3"/>
  <c r="S70" i="3"/>
  <c r="R70" i="3"/>
  <c r="Q70" i="3"/>
  <c r="P70" i="3"/>
  <c r="S71" i="3"/>
  <c r="R71" i="3"/>
  <c r="Q71" i="3"/>
  <c r="P71" i="3"/>
  <c r="S72" i="3"/>
  <c r="R72" i="3"/>
  <c r="Q72" i="3"/>
  <c r="P72" i="3"/>
  <c r="S73" i="3"/>
  <c r="R73" i="3"/>
  <c r="Q73" i="3"/>
  <c r="P73" i="3"/>
  <c r="S74" i="3"/>
  <c r="R74" i="3"/>
  <c r="Q74" i="3"/>
  <c r="P74" i="3"/>
  <c r="S75" i="3"/>
  <c r="R75" i="3"/>
  <c r="Q75" i="3"/>
  <c r="P75" i="3"/>
  <c r="S76" i="3"/>
  <c r="R76" i="3"/>
  <c r="Q76" i="3"/>
  <c r="P76" i="3"/>
  <c r="S77" i="3"/>
  <c r="R77" i="3"/>
  <c r="Q77" i="3"/>
  <c r="P77" i="3"/>
  <c r="S78" i="3"/>
  <c r="R78" i="3"/>
  <c r="Q78" i="3"/>
  <c r="P78" i="3"/>
  <c r="S79" i="3"/>
  <c r="R79" i="3"/>
  <c r="Q79" i="3"/>
  <c r="P79" i="3"/>
  <c r="S80" i="3"/>
  <c r="R80" i="3"/>
  <c r="Q80" i="3"/>
  <c r="P80" i="3"/>
  <c r="S81" i="3"/>
  <c r="R81" i="3"/>
  <c r="Q81" i="3"/>
  <c r="P81" i="3"/>
  <c r="S82" i="3"/>
  <c r="R82" i="3"/>
  <c r="Q82" i="3"/>
  <c r="P82" i="3"/>
  <c r="S83" i="3"/>
  <c r="R83" i="3"/>
  <c r="Q83" i="3"/>
  <c r="P83" i="3"/>
  <c r="S84" i="3"/>
  <c r="R84" i="3"/>
  <c r="Q84" i="3"/>
  <c r="P84" i="3"/>
  <c r="S85" i="3"/>
  <c r="R85" i="3"/>
  <c r="Q85" i="3"/>
  <c r="P85" i="3"/>
  <c r="S86" i="3"/>
  <c r="R86" i="3"/>
  <c r="Q86" i="3"/>
  <c r="P86" i="3"/>
  <c r="S87" i="3"/>
  <c r="R87" i="3"/>
  <c r="Q87" i="3"/>
  <c r="P87" i="3"/>
  <c r="S88" i="3"/>
  <c r="R88" i="3"/>
  <c r="Q88" i="3"/>
  <c r="P88" i="3"/>
  <c r="S89" i="3"/>
  <c r="R89" i="3"/>
  <c r="Q89" i="3"/>
  <c r="P89" i="3"/>
  <c r="S90" i="3"/>
  <c r="R90" i="3"/>
  <c r="Q90" i="3"/>
  <c r="P90" i="3"/>
  <c r="S91" i="3"/>
  <c r="R91" i="3"/>
  <c r="Q91" i="3"/>
  <c r="P91" i="3"/>
  <c r="S92" i="3"/>
  <c r="R92" i="3"/>
  <c r="Q92" i="3"/>
  <c r="P92" i="3"/>
  <c r="S93" i="3"/>
  <c r="R93" i="3"/>
  <c r="Q93" i="3"/>
  <c r="P93" i="3"/>
  <c r="S94" i="3"/>
  <c r="R94" i="3"/>
  <c r="Q94" i="3"/>
  <c r="P94" i="3"/>
  <c r="S95" i="3"/>
  <c r="R95" i="3"/>
  <c r="Q95" i="3"/>
  <c r="P95" i="3"/>
  <c r="S96" i="3"/>
  <c r="R96" i="3"/>
  <c r="Q96" i="3"/>
  <c r="P96" i="3"/>
  <c r="S97" i="3"/>
  <c r="R97" i="3"/>
  <c r="Q97" i="3"/>
  <c r="P97" i="3"/>
  <c r="S98" i="3"/>
  <c r="R98" i="3"/>
  <c r="Q98" i="3"/>
  <c r="P98" i="3"/>
  <c r="S99" i="3"/>
  <c r="R99" i="3"/>
  <c r="Q99" i="3"/>
  <c r="P99" i="3"/>
  <c r="S100" i="3"/>
  <c r="R100" i="3"/>
  <c r="Q100" i="3"/>
  <c r="P100" i="3"/>
  <c r="S101" i="3"/>
  <c r="R101" i="3"/>
  <c r="Q101" i="3"/>
  <c r="P101" i="3"/>
  <c r="S102" i="3"/>
  <c r="R102" i="3"/>
  <c r="Q102" i="3"/>
  <c r="P102" i="3"/>
  <c r="S103" i="3"/>
  <c r="R103" i="3"/>
  <c r="Q103" i="3"/>
  <c r="P103" i="3"/>
  <c r="S104" i="3"/>
  <c r="R104" i="3"/>
  <c r="Q104" i="3"/>
  <c r="P104" i="3"/>
  <c r="S105" i="3"/>
  <c r="R105" i="3"/>
  <c r="Q105" i="3"/>
  <c r="P105" i="3"/>
  <c r="S106" i="3"/>
  <c r="R106" i="3"/>
  <c r="Q106" i="3"/>
  <c r="P106" i="3"/>
  <c r="S107" i="3"/>
  <c r="R107" i="3"/>
  <c r="Q107" i="3"/>
  <c r="P107" i="3"/>
  <c r="S108" i="3"/>
  <c r="R108" i="3"/>
  <c r="Q108" i="3"/>
  <c r="P108" i="3"/>
  <c r="S109" i="3"/>
  <c r="R109" i="3"/>
  <c r="Q109" i="3"/>
  <c r="P109" i="3"/>
  <c r="S110" i="3"/>
  <c r="R110" i="3"/>
  <c r="Q110" i="3"/>
  <c r="P110" i="3"/>
  <c r="S111" i="3"/>
  <c r="R111" i="3"/>
  <c r="Q111" i="3"/>
  <c r="P111" i="3"/>
  <c r="S112" i="3"/>
  <c r="R112" i="3"/>
  <c r="Q112" i="3"/>
  <c r="P112" i="3"/>
  <c r="S113" i="3"/>
  <c r="R113" i="3"/>
  <c r="Q113" i="3"/>
  <c r="P113" i="3"/>
  <c r="S114" i="3"/>
  <c r="R114" i="3"/>
  <c r="Q114" i="3"/>
  <c r="P114" i="3"/>
  <c r="S115" i="3"/>
  <c r="R115" i="3"/>
  <c r="Q115" i="3"/>
  <c r="P115" i="3"/>
  <c r="S116" i="3"/>
  <c r="R116" i="3"/>
  <c r="Q116" i="3"/>
  <c r="P116" i="3"/>
  <c r="S117" i="3"/>
  <c r="R117" i="3"/>
  <c r="Q117" i="3"/>
  <c r="P117" i="3"/>
  <c r="S118" i="3"/>
  <c r="R118" i="3"/>
  <c r="Q118" i="3"/>
  <c r="P118" i="3"/>
  <c r="S119" i="3"/>
  <c r="R119" i="3"/>
  <c r="Q119" i="3"/>
  <c r="P119" i="3"/>
  <c r="S120" i="3"/>
  <c r="R120" i="3"/>
  <c r="Q120" i="3"/>
  <c r="P120" i="3"/>
  <c r="S121" i="3"/>
  <c r="R121" i="3"/>
  <c r="Q121" i="3"/>
  <c r="P121" i="3"/>
  <c r="S122" i="3"/>
  <c r="R122" i="3"/>
  <c r="Q122" i="3"/>
  <c r="P122" i="3"/>
  <c r="S123" i="3"/>
  <c r="R123" i="3"/>
  <c r="Q123" i="3"/>
  <c r="P123" i="3"/>
  <c r="V8" i="3"/>
  <c r="V12" i="3"/>
  <c r="V13" i="3"/>
  <c r="V14" i="3"/>
  <c r="V11" i="3"/>
  <c r="V15" i="3"/>
  <c r="E33" i="2"/>
  <c r="B33" i="2"/>
  <c r="B37" i="2"/>
  <c r="J19" i="4"/>
  <c r="C6" i="3"/>
  <c r="E30" i="2"/>
  <c r="F30" i="2"/>
  <c r="B30" i="2"/>
  <c r="B6" i="2"/>
  <c r="C7" i="2"/>
  <c r="B21" i="2"/>
  <c r="C13" i="3"/>
  <c r="D13" i="3"/>
  <c r="C12" i="3"/>
  <c r="C11" i="3"/>
  <c r="B8" i="2"/>
  <c r="B11" i="2"/>
  <c r="C8" i="3"/>
  <c r="C8" i="7"/>
  <c r="B13" i="2"/>
  <c r="C12" i="7"/>
  <c r="E5" i="1"/>
  <c r="E6" i="1"/>
  <c r="E7" i="1"/>
  <c r="E8" i="1"/>
  <c r="E9" i="1"/>
  <c r="E10" i="1"/>
  <c r="B16" i="2"/>
  <c r="C16" i="2"/>
  <c r="G6" i="2"/>
  <c r="C14" i="2"/>
  <c r="C13" i="7"/>
  <c r="C34" i="7"/>
  <c r="C35" i="7"/>
  <c r="C42" i="7"/>
  <c r="B12" i="2"/>
  <c r="C11" i="7"/>
  <c r="B17" i="2"/>
  <c r="C3" i="3"/>
  <c r="C3" i="7"/>
  <c r="C17" i="2"/>
  <c r="C5" i="3"/>
  <c r="C5" i="7"/>
  <c r="C7" i="7"/>
  <c r="C49" i="7"/>
  <c r="C52" i="7"/>
  <c r="C53" i="7"/>
  <c r="C55" i="7"/>
  <c r="L3" i="7"/>
  <c r="C54" i="7"/>
  <c r="K3" i="7"/>
  <c r="J3" i="7"/>
  <c r="I3" i="7"/>
  <c r="L5" i="7"/>
  <c r="K5" i="7"/>
  <c r="J5" i="7"/>
  <c r="I5" i="7"/>
  <c r="L6" i="7"/>
  <c r="K6" i="7"/>
  <c r="J6" i="7"/>
  <c r="I6" i="7"/>
  <c r="L7" i="7"/>
  <c r="K7" i="7"/>
  <c r="J7" i="7"/>
  <c r="I7" i="7"/>
  <c r="L8" i="7"/>
  <c r="K8" i="7"/>
  <c r="J8" i="7"/>
  <c r="I8" i="7"/>
  <c r="L9" i="7"/>
  <c r="K9" i="7"/>
  <c r="J9" i="7"/>
  <c r="I9" i="7"/>
  <c r="L10" i="7"/>
  <c r="K10" i="7"/>
  <c r="J10" i="7"/>
  <c r="I10" i="7"/>
  <c r="L11" i="7"/>
  <c r="K11" i="7"/>
  <c r="J11" i="7"/>
  <c r="I11" i="7"/>
  <c r="L12" i="7"/>
  <c r="K12" i="7"/>
  <c r="J12" i="7"/>
  <c r="I12" i="7"/>
  <c r="L13" i="7"/>
  <c r="K13" i="7"/>
  <c r="J13" i="7"/>
  <c r="I13" i="7"/>
  <c r="L15" i="7"/>
  <c r="K15" i="7"/>
  <c r="J15" i="7"/>
  <c r="I15" i="7"/>
  <c r="L16" i="7"/>
  <c r="K16" i="7"/>
  <c r="J16" i="7"/>
  <c r="I16" i="7"/>
  <c r="L17" i="7"/>
  <c r="K17" i="7"/>
  <c r="J17" i="7"/>
  <c r="I17" i="7"/>
  <c r="L18" i="7"/>
  <c r="K18" i="7"/>
  <c r="J18" i="7"/>
  <c r="I18" i="7"/>
  <c r="L19" i="7"/>
  <c r="K19" i="7"/>
  <c r="J19" i="7"/>
  <c r="I19" i="7"/>
  <c r="L20" i="7"/>
  <c r="K20" i="7"/>
  <c r="J20" i="7"/>
  <c r="I20" i="7"/>
  <c r="L21" i="7"/>
  <c r="K21" i="7"/>
  <c r="J21" i="7"/>
  <c r="I21" i="7"/>
  <c r="L22" i="7"/>
  <c r="K22" i="7"/>
  <c r="J22" i="7"/>
  <c r="I22" i="7"/>
  <c r="L23" i="7"/>
  <c r="K23" i="7"/>
  <c r="J23" i="7"/>
  <c r="I23" i="7"/>
  <c r="L24" i="7"/>
  <c r="K24" i="7"/>
  <c r="J24" i="7"/>
  <c r="I24" i="7"/>
  <c r="L25" i="7"/>
  <c r="K25" i="7"/>
  <c r="J25" i="7"/>
  <c r="I25" i="7"/>
  <c r="L26" i="7"/>
  <c r="K26" i="7"/>
  <c r="J26" i="7"/>
  <c r="I26" i="7"/>
  <c r="C59" i="7"/>
  <c r="C60" i="7"/>
  <c r="C61" i="7"/>
  <c r="C62" i="7"/>
  <c r="C63" i="7"/>
  <c r="C64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K30" i="7"/>
  <c r="J30" i="7"/>
  <c r="I30" i="7"/>
  <c r="K31" i="7"/>
  <c r="J31" i="7"/>
  <c r="I31" i="7"/>
  <c r="K32" i="7"/>
  <c r="J32" i="7"/>
  <c r="I32" i="7"/>
  <c r="K33" i="7"/>
  <c r="J33" i="7"/>
  <c r="I33" i="7"/>
  <c r="K34" i="7"/>
  <c r="J34" i="7"/>
  <c r="I34" i="7"/>
  <c r="K35" i="7"/>
  <c r="J35" i="7"/>
  <c r="I35" i="7"/>
  <c r="K36" i="7"/>
  <c r="J36" i="7"/>
  <c r="I36" i="7"/>
  <c r="K37" i="7"/>
  <c r="J37" i="7"/>
  <c r="I37" i="7"/>
  <c r="K38" i="7"/>
  <c r="J38" i="7"/>
  <c r="I38" i="7"/>
  <c r="K39" i="7"/>
  <c r="J39" i="7"/>
  <c r="I39" i="7"/>
  <c r="K40" i="7"/>
  <c r="J40" i="7"/>
  <c r="I40" i="7"/>
  <c r="K41" i="7"/>
  <c r="J41" i="7"/>
  <c r="I41" i="7"/>
  <c r="K42" i="7"/>
  <c r="J42" i="7"/>
  <c r="I42" i="7"/>
  <c r="K43" i="7"/>
  <c r="J43" i="7"/>
  <c r="I43" i="7"/>
  <c r="K44" i="7"/>
  <c r="J44" i="7"/>
  <c r="I44" i="7"/>
  <c r="K45" i="7"/>
  <c r="J45" i="7"/>
  <c r="I45" i="7"/>
  <c r="K46" i="7"/>
  <c r="J46" i="7"/>
  <c r="I46" i="7"/>
  <c r="K47" i="7"/>
  <c r="J47" i="7"/>
  <c r="I47" i="7"/>
  <c r="K48" i="7"/>
  <c r="J48" i="7"/>
  <c r="I48" i="7"/>
  <c r="K49" i="7"/>
  <c r="J49" i="7"/>
  <c r="I49" i="7"/>
  <c r="K50" i="7"/>
  <c r="J50" i="7"/>
  <c r="I50" i="7"/>
  <c r="K51" i="7"/>
  <c r="J51" i="7"/>
  <c r="I51" i="7"/>
  <c r="K52" i="7"/>
  <c r="J52" i="7"/>
  <c r="I52" i="7"/>
  <c r="K53" i="7"/>
  <c r="J53" i="7"/>
  <c r="I53" i="7"/>
  <c r="K54" i="7"/>
  <c r="J54" i="7"/>
  <c r="I54" i="7"/>
  <c r="K55" i="7"/>
  <c r="J55" i="7"/>
  <c r="I55" i="7"/>
  <c r="K56" i="7"/>
  <c r="J56" i="7"/>
  <c r="I56" i="7"/>
  <c r="K57" i="7"/>
  <c r="J57" i="7"/>
  <c r="I57" i="7"/>
  <c r="K58" i="7"/>
  <c r="J58" i="7"/>
  <c r="I58" i="7"/>
  <c r="K59" i="7"/>
  <c r="J59" i="7"/>
  <c r="I59" i="7"/>
  <c r="K60" i="7"/>
  <c r="J60" i="7"/>
  <c r="I60" i="7"/>
  <c r="K61" i="7"/>
  <c r="J61" i="7"/>
  <c r="I61" i="7"/>
  <c r="K62" i="7"/>
  <c r="J62" i="7"/>
  <c r="I62" i="7"/>
  <c r="K63" i="7"/>
  <c r="J63" i="7"/>
  <c r="I63" i="7"/>
  <c r="K64" i="7"/>
  <c r="J64" i="7"/>
  <c r="I64" i="7"/>
  <c r="K65" i="7"/>
  <c r="J65" i="7"/>
  <c r="I65" i="7"/>
  <c r="K66" i="7"/>
  <c r="J66" i="7"/>
  <c r="I66" i="7"/>
  <c r="K67" i="7"/>
  <c r="J67" i="7"/>
  <c r="I67" i="7"/>
  <c r="K68" i="7"/>
  <c r="J68" i="7"/>
  <c r="I68" i="7"/>
  <c r="K69" i="7"/>
  <c r="J69" i="7"/>
  <c r="I69" i="7"/>
  <c r="K70" i="7"/>
  <c r="J70" i="7"/>
  <c r="I70" i="7"/>
  <c r="K71" i="7"/>
  <c r="J71" i="7"/>
  <c r="I71" i="7"/>
  <c r="K72" i="7"/>
  <c r="J72" i="7"/>
  <c r="I72" i="7"/>
  <c r="K73" i="7"/>
  <c r="J73" i="7"/>
  <c r="I73" i="7"/>
  <c r="K74" i="7"/>
  <c r="J74" i="7"/>
  <c r="I74" i="7"/>
  <c r="K75" i="7"/>
  <c r="J75" i="7"/>
  <c r="I75" i="7"/>
  <c r="K76" i="7"/>
  <c r="J76" i="7"/>
  <c r="I76" i="7"/>
  <c r="K77" i="7"/>
  <c r="J77" i="7"/>
  <c r="I77" i="7"/>
  <c r="K78" i="7"/>
  <c r="J78" i="7"/>
  <c r="I78" i="7"/>
  <c r="K79" i="7"/>
  <c r="J79" i="7"/>
  <c r="I79" i="7"/>
  <c r="K80" i="7"/>
  <c r="J80" i="7"/>
  <c r="I80" i="7"/>
  <c r="K81" i="7"/>
  <c r="J81" i="7"/>
  <c r="I81" i="7"/>
  <c r="K82" i="7"/>
  <c r="J82" i="7"/>
  <c r="I82" i="7"/>
  <c r="K83" i="7"/>
  <c r="J83" i="7"/>
  <c r="I83" i="7"/>
  <c r="K84" i="7"/>
  <c r="J84" i="7"/>
  <c r="I84" i="7"/>
  <c r="K85" i="7"/>
  <c r="J85" i="7"/>
  <c r="I85" i="7"/>
  <c r="K86" i="7"/>
  <c r="J86" i="7"/>
  <c r="I86" i="7"/>
  <c r="K87" i="7"/>
  <c r="J87" i="7"/>
  <c r="I87" i="7"/>
  <c r="K88" i="7"/>
  <c r="J88" i="7"/>
  <c r="I88" i="7"/>
  <c r="K89" i="7"/>
  <c r="J89" i="7"/>
  <c r="I89" i="7"/>
  <c r="K90" i="7"/>
  <c r="J90" i="7"/>
  <c r="I90" i="7"/>
  <c r="K91" i="7"/>
  <c r="J91" i="7"/>
  <c r="I91" i="7"/>
  <c r="K92" i="7"/>
  <c r="J92" i="7"/>
  <c r="I92" i="7"/>
  <c r="K93" i="7"/>
  <c r="J93" i="7"/>
  <c r="I93" i="7"/>
  <c r="K94" i="7"/>
  <c r="J94" i="7"/>
  <c r="I94" i="7"/>
  <c r="K95" i="7"/>
  <c r="J95" i="7"/>
  <c r="I95" i="7"/>
  <c r="K96" i="7"/>
  <c r="J96" i="7"/>
  <c r="I96" i="7"/>
  <c r="K97" i="7"/>
  <c r="J97" i="7"/>
  <c r="I97" i="7"/>
  <c r="K98" i="7"/>
  <c r="J98" i="7"/>
  <c r="I98" i="7"/>
  <c r="K99" i="7"/>
  <c r="J99" i="7"/>
  <c r="I99" i="7"/>
  <c r="K100" i="7"/>
  <c r="J100" i="7"/>
  <c r="I100" i="7"/>
  <c r="K101" i="7"/>
  <c r="J101" i="7"/>
  <c r="I101" i="7"/>
  <c r="K102" i="7"/>
  <c r="J102" i="7"/>
  <c r="I102" i="7"/>
  <c r="K103" i="7"/>
  <c r="J103" i="7"/>
  <c r="I103" i="7"/>
  <c r="K104" i="7"/>
  <c r="J104" i="7"/>
  <c r="I104" i="7"/>
  <c r="K105" i="7"/>
  <c r="J105" i="7"/>
  <c r="I105" i="7"/>
  <c r="K106" i="7"/>
  <c r="J106" i="7"/>
  <c r="I106" i="7"/>
  <c r="K107" i="7"/>
  <c r="J107" i="7"/>
  <c r="I107" i="7"/>
  <c r="K108" i="7"/>
  <c r="J108" i="7"/>
  <c r="I108" i="7"/>
  <c r="K109" i="7"/>
  <c r="J109" i="7"/>
  <c r="I109" i="7"/>
  <c r="K110" i="7"/>
  <c r="J110" i="7"/>
  <c r="I110" i="7"/>
  <c r="K111" i="7"/>
  <c r="J111" i="7"/>
  <c r="I111" i="7"/>
  <c r="K112" i="7"/>
  <c r="J112" i="7"/>
  <c r="I112" i="7"/>
  <c r="K113" i="7"/>
  <c r="J113" i="7"/>
  <c r="I113" i="7"/>
  <c r="K114" i="7"/>
  <c r="J114" i="7"/>
  <c r="I114" i="7"/>
  <c r="K115" i="7"/>
  <c r="J115" i="7"/>
  <c r="I115" i="7"/>
  <c r="K116" i="7"/>
  <c r="J116" i="7"/>
  <c r="I116" i="7"/>
  <c r="K117" i="7"/>
  <c r="J117" i="7"/>
  <c r="I117" i="7"/>
  <c r="K118" i="7"/>
  <c r="J118" i="7"/>
  <c r="I118" i="7"/>
  <c r="K119" i="7"/>
  <c r="J119" i="7"/>
  <c r="I119" i="7"/>
  <c r="K120" i="7"/>
  <c r="J120" i="7"/>
  <c r="I120" i="7"/>
  <c r="K121" i="7"/>
  <c r="J121" i="7"/>
  <c r="I121" i="7"/>
  <c r="K122" i="7"/>
  <c r="J122" i="7"/>
  <c r="I122" i="7"/>
  <c r="K123" i="7"/>
  <c r="J123" i="7"/>
  <c r="I123" i="7"/>
  <c r="K124" i="7"/>
  <c r="J124" i="7"/>
  <c r="I124" i="7"/>
  <c r="K125" i="7"/>
  <c r="J125" i="7"/>
  <c r="I125" i="7"/>
  <c r="K126" i="7"/>
  <c r="J126" i="7"/>
  <c r="I126" i="7"/>
  <c r="K127" i="7"/>
  <c r="J127" i="7"/>
  <c r="I127" i="7"/>
  <c r="K128" i="7"/>
  <c r="J128" i="7"/>
  <c r="I128" i="7"/>
  <c r="K129" i="7"/>
  <c r="J129" i="7"/>
  <c r="I129" i="7"/>
  <c r="K130" i="7"/>
  <c r="J130" i="7"/>
  <c r="I130" i="7"/>
  <c r="K131" i="7"/>
  <c r="J131" i="7"/>
  <c r="I131" i="7"/>
  <c r="K132" i="7"/>
  <c r="J132" i="7"/>
  <c r="I132" i="7"/>
  <c r="K133" i="7"/>
  <c r="J133" i="7"/>
  <c r="I133" i="7"/>
  <c r="K134" i="7"/>
  <c r="J134" i="7"/>
  <c r="I134" i="7"/>
  <c r="K135" i="7"/>
  <c r="J135" i="7"/>
  <c r="I135" i="7"/>
  <c r="K136" i="7"/>
  <c r="J136" i="7"/>
  <c r="I136" i="7"/>
  <c r="K137" i="7"/>
  <c r="J137" i="7"/>
  <c r="I137" i="7"/>
  <c r="K138" i="7"/>
  <c r="J138" i="7"/>
  <c r="I138" i="7"/>
  <c r="K139" i="7"/>
  <c r="J139" i="7"/>
  <c r="I139" i="7"/>
  <c r="K140" i="7"/>
  <c r="J140" i="7"/>
  <c r="I140" i="7"/>
  <c r="K141" i="7"/>
  <c r="J141" i="7"/>
  <c r="I141" i="7"/>
  <c r="K142" i="7"/>
  <c r="J142" i="7"/>
  <c r="I142" i="7"/>
  <c r="K143" i="7"/>
  <c r="J143" i="7"/>
  <c r="I143" i="7"/>
  <c r="K144" i="7"/>
  <c r="J144" i="7"/>
  <c r="I144" i="7"/>
  <c r="K145" i="7"/>
  <c r="J145" i="7"/>
  <c r="I145" i="7"/>
  <c r="K146" i="7"/>
  <c r="J146" i="7"/>
  <c r="I146" i="7"/>
  <c r="K147" i="7"/>
  <c r="J147" i="7"/>
  <c r="I147" i="7"/>
  <c r="K148" i="7"/>
  <c r="J148" i="7"/>
  <c r="I148" i="7"/>
  <c r="K149" i="7"/>
  <c r="J149" i="7"/>
  <c r="I149" i="7"/>
  <c r="K150" i="7"/>
  <c r="J150" i="7"/>
  <c r="I150" i="7"/>
  <c r="K151" i="7"/>
  <c r="J151" i="7"/>
  <c r="I151" i="7"/>
  <c r="K152" i="7"/>
  <c r="J152" i="7"/>
  <c r="I152" i="7"/>
  <c r="K153" i="7"/>
  <c r="J153" i="7"/>
  <c r="I153" i="7"/>
  <c r="K154" i="7"/>
  <c r="J154" i="7"/>
  <c r="I154" i="7"/>
  <c r="K155" i="7"/>
  <c r="J155" i="7"/>
  <c r="I155" i="7"/>
  <c r="K156" i="7"/>
  <c r="J156" i="7"/>
  <c r="I156" i="7"/>
  <c r="K157" i="7"/>
  <c r="J157" i="7"/>
  <c r="I157" i="7"/>
  <c r="K158" i="7"/>
  <c r="J158" i="7"/>
  <c r="I158" i="7"/>
  <c r="K159" i="7"/>
  <c r="J159" i="7"/>
  <c r="I159" i="7"/>
  <c r="K160" i="7"/>
  <c r="J160" i="7"/>
  <c r="I160" i="7"/>
  <c r="K161" i="7"/>
  <c r="J161" i="7"/>
  <c r="I161" i="7"/>
  <c r="K162" i="7"/>
  <c r="J162" i="7"/>
  <c r="I162" i="7"/>
  <c r="K163" i="7"/>
  <c r="J163" i="7"/>
  <c r="I163" i="7"/>
  <c r="K164" i="7"/>
  <c r="J164" i="7"/>
  <c r="I164" i="7"/>
  <c r="K165" i="7"/>
  <c r="J165" i="7"/>
  <c r="I165" i="7"/>
  <c r="K166" i="7"/>
  <c r="J166" i="7"/>
  <c r="I166" i="7"/>
  <c r="K167" i="7"/>
  <c r="J167" i="7"/>
  <c r="I167" i="7"/>
  <c r="K168" i="7"/>
  <c r="J168" i="7"/>
  <c r="I168" i="7"/>
  <c r="K169" i="7"/>
  <c r="J169" i="7"/>
  <c r="I169" i="7"/>
  <c r="K170" i="7"/>
  <c r="J170" i="7"/>
  <c r="I170" i="7"/>
  <c r="K171" i="7"/>
  <c r="J171" i="7"/>
  <c r="I171" i="7"/>
  <c r="K172" i="7"/>
  <c r="J172" i="7"/>
  <c r="I172" i="7"/>
  <c r="K173" i="7"/>
  <c r="J173" i="7"/>
  <c r="I173" i="7"/>
  <c r="K174" i="7"/>
  <c r="J174" i="7"/>
  <c r="I174" i="7"/>
  <c r="K175" i="7"/>
  <c r="J175" i="7"/>
  <c r="I175" i="7"/>
  <c r="K176" i="7"/>
  <c r="J176" i="7"/>
  <c r="I176" i="7"/>
  <c r="K177" i="7"/>
  <c r="J177" i="7"/>
  <c r="I177" i="7"/>
  <c r="K178" i="7"/>
  <c r="J178" i="7"/>
  <c r="I178" i="7"/>
  <c r="K179" i="7"/>
  <c r="J179" i="7"/>
  <c r="I179" i="7"/>
  <c r="K180" i="7"/>
  <c r="J180" i="7"/>
  <c r="I180" i="7"/>
  <c r="K181" i="7"/>
  <c r="J181" i="7"/>
  <c r="I181" i="7"/>
  <c r="K182" i="7"/>
  <c r="J182" i="7"/>
  <c r="I182" i="7"/>
  <c r="K183" i="7"/>
  <c r="J183" i="7"/>
  <c r="I183" i="7"/>
  <c r="K184" i="7"/>
  <c r="J184" i="7"/>
  <c r="I184" i="7"/>
  <c r="K185" i="7"/>
  <c r="J185" i="7"/>
  <c r="I185" i="7"/>
  <c r="K186" i="7"/>
  <c r="J186" i="7"/>
  <c r="I186" i="7"/>
  <c r="K187" i="7"/>
  <c r="J187" i="7"/>
  <c r="I187" i="7"/>
  <c r="K188" i="7"/>
  <c r="J188" i="7"/>
  <c r="I188" i="7"/>
  <c r="K189" i="7"/>
  <c r="J189" i="7"/>
  <c r="I189" i="7"/>
  <c r="K190" i="7"/>
  <c r="J190" i="7"/>
  <c r="I190" i="7"/>
  <c r="K191" i="7"/>
  <c r="J191" i="7"/>
  <c r="I191" i="7"/>
  <c r="K192" i="7"/>
  <c r="J192" i="7"/>
  <c r="I192" i="7"/>
  <c r="K193" i="7"/>
  <c r="J193" i="7"/>
  <c r="I193" i="7"/>
  <c r="K194" i="7"/>
  <c r="J194" i="7"/>
  <c r="I194" i="7"/>
  <c r="K195" i="7"/>
  <c r="J195" i="7"/>
  <c r="I195" i="7"/>
  <c r="K196" i="7"/>
  <c r="J196" i="7"/>
  <c r="I196" i="7"/>
  <c r="K197" i="7"/>
  <c r="J197" i="7"/>
  <c r="I197" i="7"/>
  <c r="K198" i="7"/>
  <c r="J198" i="7"/>
  <c r="I198" i="7"/>
  <c r="K199" i="7"/>
  <c r="J199" i="7"/>
  <c r="I199" i="7"/>
  <c r="K200" i="7"/>
  <c r="J200" i="7"/>
  <c r="I200" i="7"/>
  <c r="K201" i="7"/>
  <c r="J201" i="7"/>
  <c r="I201" i="7"/>
  <c r="K202" i="7"/>
  <c r="J202" i="7"/>
  <c r="I202" i="7"/>
  <c r="K203" i="7"/>
  <c r="J203" i="7"/>
  <c r="I203" i="7"/>
  <c r="K204" i="7"/>
  <c r="J204" i="7"/>
  <c r="I204" i="7"/>
  <c r="K205" i="7"/>
  <c r="J205" i="7"/>
  <c r="I205" i="7"/>
  <c r="K206" i="7"/>
  <c r="J206" i="7"/>
  <c r="I206" i="7"/>
  <c r="K207" i="7"/>
  <c r="J207" i="7"/>
  <c r="I207" i="7"/>
  <c r="K208" i="7"/>
  <c r="J208" i="7"/>
  <c r="I208" i="7"/>
  <c r="K209" i="7"/>
  <c r="J209" i="7"/>
  <c r="I209" i="7"/>
  <c r="K210" i="7"/>
  <c r="J210" i="7"/>
  <c r="I210" i="7"/>
  <c r="K211" i="7"/>
  <c r="J211" i="7"/>
  <c r="I211" i="7"/>
  <c r="K212" i="7"/>
  <c r="J212" i="7"/>
  <c r="I212" i="7"/>
  <c r="K213" i="7"/>
  <c r="J213" i="7"/>
  <c r="I213" i="7"/>
  <c r="K214" i="7"/>
  <c r="J214" i="7"/>
  <c r="I214" i="7"/>
  <c r="K215" i="7"/>
  <c r="J215" i="7"/>
  <c r="I215" i="7"/>
  <c r="K216" i="7"/>
  <c r="J216" i="7"/>
  <c r="I216" i="7"/>
  <c r="K217" i="7"/>
  <c r="J217" i="7"/>
  <c r="I217" i="7"/>
  <c r="K218" i="7"/>
  <c r="J218" i="7"/>
  <c r="I218" i="7"/>
  <c r="K219" i="7"/>
  <c r="J219" i="7"/>
  <c r="I219" i="7"/>
  <c r="K220" i="7"/>
  <c r="J220" i="7"/>
  <c r="I220" i="7"/>
  <c r="K221" i="7"/>
  <c r="J221" i="7"/>
  <c r="I221" i="7"/>
  <c r="K222" i="7"/>
  <c r="J222" i="7"/>
  <c r="I222" i="7"/>
  <c r="K223" i="7"/>
  <c r="J223" i="7"/>
  <c r="I223" i="7"/>
  <c r="K224" i="7"/>
  <c r="J224" i="7"/>
  <c r="I224" i="7"/>
  <c r="K225" i="7"/>
  <c r="J225" i="7"/>
  <c r="I225" i="7"/>
  <c r="K226" i="7"/>
  <c r="J226" i="7"/>
  <c r="I226" i="7"/>
  <c r="K227" i="7"/>
  <c r="J227" i="7"/>
  <c r="I227" i="7"/>
  <c r="K228" i="7"/>
  <c r="J228" i="7"/>
  <c r="I228" i="7"/>
  <c r="K229" i="7"/>
  <c r="J229" i="7"/>
  <c r="I229" i="7"/>
  <c r="K230" i="7"/>
  <c r="J230" i="7"/>
  <c r="I230" i="7"/>
  <c r="K231" i="7"/>
  <c r="J231" i="7"/>
  <c r="I231" i="7"/>
  <c r="K232" i="7"/>
  <c r="J232" i="7"/>
  <c r="I232" i="7"/>
  <c r="K233" i="7"/>
  <c r="J233" i="7"/>
  <c r="I233" i="7"/>
  <c r="K234" i="7"/>
  <c r="J234" i="7"/>
  <c r="I234" i="7"/>
  <c r="K235" i="7"/>
  <c r="J235" i="7"/>
  <c r="I235" i="7"/>
  <c r="K236" i="7"/>
  <c r="J236" i="7"/>
  <c r="I236" i="7"/>
  <c r="K237" i="7"/>
  <c r="J237" i="7"/>
  <c r="I237" i="7"/>
  <c r="K238" i="7"/>
  <c r="J238" i="7"/>
  <c r="I238" i="7"/>
  <c r="K239" i="7"/>
  <c r="J239" i="7"/>
  <c r="I239" i="7"/>
  <c r="K240" i="7"/>
  <c r="J240" i="7"/>
  <c r="I240" i="7"/>
  <c r="K241" i="7"/>
  <c r="J241" i="7"/>
  <c r="I241" i="7"/>
  <c r="K242" i="7"/>
  <c r="J242" i="7"/>
  <c r="I242" i="7"/>
  <c r="K243" i="7"/>
  <c r="J243" i="7"/>
  <c r="I243" i="7"/>
  <c r="K244" i="7"/>
  <c r="J244" i="7"/>
  <c r="I244" i="7"/>
  <c r="K245" i="7"/>
  <c r="J245" i="7"/>
  <c r="I245" i="7"/>
  <c r="K246" i="7"/>
  <c r="J246" i="7"/>
  <c r="I246" i="7"/>
  <c r="K247" i="7"/>
  <c r="J247" i="7"/>
  <c r="V11" i="7"/>
  <c r="C14" i="7"/>
  <c r="V5" i="7"/>
  <c r="S124" i="7"/>
  <c r="R124" i="7"/>
  <c r="Q124" i="7"/>
  <c r="P124" i="7"/>
  <c r="S243" i="7"/>
  <c r="V12" i="7"/>
  <c r="S125" i="7"/>
  <c r="R125" i="7"/>
  <c r="Q125" i="7"/>
  <c r="P125" i="7"/>
  <c r="S126" i="7"/>
  <c r="R126" i="7"/>
  <c r="Q126" i="7"/>
  <c r="P126" i="7"/>
  <c r="S127" i="7"/>
  <c r="R127" i="7"/>
  <c r="Q127" i="7"/>
  <c r="P127" i="7"/>
  <c r="S128" i="7"/>
  <c r="R128" i="7"/>
  <c r="Q128" i="7"/>
  <c r="P128" i="7"/>
  <c r="S129" i="7"/>
  <c r="R129" i="7"/>
  <c r="Q129" i="7"/>
  <c r="P129" i="7"/>
  <c r="S130" i="7"/>
  <c r="R130" i="7"/>
  <c r="Q130" i="7"/>
  <c r="P130" i="7"/>
  <c r="S131" i="7"/>
  <c r="R131" i="7"/>
  <c r="Q131" i="7"/>
  <c r="P131" i="7"/>
  <c r="S132" i="7"/>
  <c r="R132" i="7"/>
  <c r="Q132" i="7"/>
  <c r="P132" i="7"/>
  <c r="S133" i="7"/>
  <c r="R133" i="7"/>
  <c r="Q133" i="7"/>
  <c r="P133" i="7"/>
  <c r="S134" i="7"/>
  <c r="R134" i="7"/>
  <c r="Q134" i="7"/>
  <c r="P134" i="7"/>
  <c r="S135" i="7"/>
  <c r="R135" i="7"/>
  <c r="Q135" i="7"/>
  <c r="P135" i="7"/>
  <c r="S136" i="7"/>
  <c r="R136" i="7"/>
  <c r="Q136" i="7"/>
  <c r="P136" i="7"/>
  <c r="S137" i="7"/>
  <c r="R137" i="7"/>
  <c r="Q137" i="7"/>
  <c r="P137" i="7"/>
  <c r="S138" i="7"/>
  <c r="R138" i="7"/>
  <c r="Q138" i="7"/>
  <c r="P138" i="7"/>
  <c r="S139" i="7"/>
  <c r="R139" i="7"/>
  <c r="Q139" i="7"/>
  <c r="P139" i="7"/>
  <c r="S140" i="7"/>
  <c r="R140" i="7"/>
  <c r="Q140" i="7"/>
  <c r="P140" i="7"/>
  <c r="S141" i="7"/>
  <c r="R141" i="7"/>
  <c r="Q141" i="7"/>
  <c r="P141" i="7"/>
  <c r="S142" i="7"/>
  <c r="R142" i="7"/>
  <c r="Q142" i="7"/>
  <c r="P142" i="7"/>
  <c r="S143" i="7"/>
  <c r="R143" i="7"/>
  <c r="Q143" i="7"/>
  <c r="P143" i="7"/>
  <c r="S144" i="7"/>
  <c r="R144" i="7"/>
  <c r="Q144" i="7"/>
  <c r="P144" i="7"/>
  <c r="S145" i="7"/>
  <c r="R145" i="7"/>
  <c r="Q145" i="7"/>
  <c r="P145" i="7"/>
  <c r="S146" i="7"/>
  <c r="R146" i="7"/>
  <c r="Q146" i="7"/>
  <c r="P146" i="7"/>
  <c r="S147" i="7"/>
  <c r="R147" i="7"/>
  <c r="Q147" i="7"/>
  <c r="P147" i="7"/>
  <c r="S148" i="7"/>
  <c r="R148" i="7"/>
  <c r="Q148" i="7"/>
  <c r="P148" i="7"/>
  <c r="S149" i="7"/>
  <c r="R149" i="7"/>
  <c r="Q149" i="7"/>
  <c r="P149" i="7"/>
  <c r="S150" i="7"/>
  <c r="R150" i="7"/>
  <c r="Q150" i="7"/>
  <c r="P150" i="7"/>
  <c r="S151" i="7"/>
  <c r="R151" i="7"/>
  <c r="Q151" i="7"/>
  <c r="P151" i="7"/>
  <c r="S152" i="7"/>
  <c r="R152" i="7"/>
  <c r="Q152" i="7"/>
  <c r="P152" i="7"/>
  <c r="S153" i="7"/>
  <c r="R153" i="7"/>
  <c r="Q153" i="7"/>
  <c r="P153" i="7"/>
  <c r="S154" i="7"/>
  <c r="R154" i="7"/>
  <c r="Q154" i="7"/>
  <c r="P154" i="7"/>
  <c r="S155" i="7"/>
  <c r="R155" i="7"/>
  <c r="Q155" i="7"/>
  <c r="P155" i="7"/>
  <c r="S156" i="7"/>
  <c r="R156" i="7"/>
  <c r="Q156" i="7"/>
  <c r="P156" i="7"/>
  <c r="S157" i="7"/>
  <c r="R157" i="7"/>
  <c r="Q157" i="7"/>
  <c r="P157" i="7"/>
  <c r="S158" i="7"/>
  <c r="R158" i="7"/>
  <c r="Q158" i="7"/>
  <c r="P158" i="7"/>
  <c r="S159" i="7"/>
  <c r="R159" i="7"/>
  <c r="Q159" i="7"/>
  <c r="P159" i="7"/>
  <c r="S160" i="7"/>
  <c r="R160" i="7"/>
  <c r="Q160" i="7"/>
  <c r="P160" i="7"/>
  <c r="S161" i="7"/>
  <c r="R161" i="7"/>
  <c r="Q161" i="7"/>
  <c r="P161" i="7"/>
  <c r="S162" i="7"/>
  <c r="R162" i="7"/>
  <c r="Q162" i="7"/>
  <c r="P162" i="7"/>
  <c r="S163" i="7"/>
  <c r="R163" i="7"/>
  <c r="Q163" i="7"/>
  <c r="P163" i="7"/>
  <c r="S164" i="7"/>
  <c r="R164" i="7"/>
  <c r="Q164" i="7"/>
  <c r="P164" i="7"/>
  <c r="S165" i="7"/>
  <c r="R165" i="7"/>
  <c r="Q165" i="7"/>
  <c r="P165" i="7"/>
  <c r="S166" i="7"/>
  <c r="R166" i="7"/>
  <c r="Q166" i="7"/>
  <c r="P166" i="7"/>
  <c r="S167" i="7"/>
  <c r="R167" i="7"/>
  <c r="Q167" i="7"/>
  <c r="P167" i="7"/>
  <c r="S168" i="7"/>
  <c r="R168" i="7"/>
  <c r="Q168" i="7"/>
  <c r="P168" i="7"/>
  <c r="S169" i="7"/>
  <c r="R169" i="7"/>
  <c r="Q169" i="7"/>
  <c r="P169" i="7"/>
  <c r="S170" i="7"/>
  <c r="R170" i="7"/>
  <c r="Q170" i="7"/>
  <c r="P170" i="7"/>
  <c r="S171" i="7"/>
  <c r="R171" i="7"/>
  <c r="Q171" i="7"/>
  <c r="P171" i="7"/>
  <c r="S172" i="7"/>
  <c r="R172" i="7"/>
  <c r="Q172" i="7"/>
  <c r="P172" i="7"/>
  <c r="S173" i="7"/>
  <c r="R173" i="7"/>
  <c r="Q173" i="7"/>
  <c r="P173" i="7"/>
  <c r="S174" i="7"/>
  <c r="R174" i="7"/>
  <c r="Q174" i="7"/>
  <c r="P174" i="7"/>
  <c r="S175" i="7"/>
  <c r="R175" i="7"/>
  <c r="Q175" i="7"/>
  <c r="P175" i="7"/>
  <c r="S176" i="7"/>
  <c r="R176" i="7"/>
  <c r="Q176" i="7"/>
  <c r="P176" i="7"/>
  <c r="S177" i="7"/>
  <c r="R177" i="7"/>
  <c r="Q177" i="7"/>
  <c r="P177" i="7"/>
  <c r="S178" i="7"/>
  <c r="R178" i="7"/>
  <c r="Q178" i="7"/>
  <c r="P178" i="7"/>
  <c r="S179" i="7"/>
  <c r="R179" i="7"/>
  <c r="Q179" i="7"/>
  <c r="P179" i="7"/>
  <c r="S180" i="7"/>
  <c r="R180" i="7"/>
  <c r="Q180" i="7"/>
  <c r="P180" i="7"/>
  <c r="S181" i="7"/>
  <c r="R181" i="7"/>
  <c r="Q181" i="7"/>
  <c r="P181" i="7"/>
  <c r="S182" i="7"/>
  <c r="R182" i="7"/>
  <c r="Q182" i="7"/>
  <c r="P182" i="7"/>
  <c r="S183" i="7"/>
  <c r="R183" i="7"/>
  <c r="Q183" i="7"/>
  <c r="P183" i="7"/>
  <c r="S184" i="7"/>
  <c r="R184" i="7"/>
  <c r="Q184" i="7"/>
  <c r="P184" i="7"/>
  <c r="S185" i="7"/>
  <c r="R185" i="7"/>
  <c r="Q185" i="7"/>
  <c r="P185" i="7"/>
  <c r="S186" i="7"/>
  <c r="R186" i="7"/>
  <c r="Q186" i="7"/>
  <c r="P186" i="7"/>
  <c r="S187" i="7"/>
  <c r="R187" i="7"/>
  <c r="Q187" i="7"/>
  <c r="P187" i="7"/>
  <c r="S188" i="7"/>
  <c r="R188" i="7"/>
  <c r="Q188" i="7"/>
  <c r="P188" i="7"/>
  <c r="S189" i="7"/>
  <c r="R189" i="7"/>
  <c r="Q189" i="7"/>
  <c r="P189" i="7"/>
  <c r="S190" i="7"/>
  <c r="R190" i="7"/>
  <c r="Q190" i="7"/>
  <c r="P190" i="7"/>
  <c r="S191" i="7"/>
  <c r="R191" i="7"/>
  <c r="Q191" i="7"/>
  <c r="P191" i="7"/>
  <c r="S192" i="7"/>
  <c r="R192" i="7"/>
  <c r="Q192" i="7"/>
  <c r="P192" i="7"/>
  <c r="S193" i="7"/>
  <c r="R193" i="7"/>
  <c r="Q193" i="7"/>
  <c r="P193" i="7"/>
  <c r="S194" i="7"/>
  <c r="R194" i="7"/>
  <c r="Q194" i="7"/>
  <c r="P194" i="7"/>
  <c r="S195" i="7"/>
  <c r="R195" i="7"/>
  <c r="Q195" i="7"/>
  <c r="P195" i="7"/>
  <c r="S196" i="7"/>
  <c r="R196" i="7"/>
  <c r="Q196" i="7"/>
  <c r="P196" i="7"/>
  <c r="S197" i="7"/>
  <c r="R197" i="7"/>
  <c r="Q197" i="7"/>
  <c r="P197" i="7"/>
  <c r="S198" i="7"/>
  <c r="R198" i="7"/>
  <c r="Q198" i="7"/>
  <c r="P198" i="7"/>
  <c r="S199" i="7"/>
  <c r="R199" i="7"/>
  <c r="Q199" i="7"/>
  <c r="P199" i="7"/>
  <c r="S200" i="7"/>
  <c r="R200" i="7"/>
  <c r="Q200" i="7"/>
  <c r="P200" i="7"/>
  <c r="S201" i="7"/>
  <c r="R201" i="7"/>
  <c r="Q201" i="7"/>
  <c r="P201" i="7"/>
  <c r="S202" i="7"/>
  <c r="R202" i="7"/>
  <c r="Q202" i="7"/>
  <c r="P202" i="7"/>
  <c r="S203" i="7"/>
  <c r="R203" i="7"/>
  <c r="Q203" i="7"/>
  <c r="P203" i="7"/>
  <c r="S204" i="7"/>
  <c r="R204" i="7"/>
  <c r="Q204" i="7"/>
  <c r="P204" i="7"/>
  <c r="S205" i="7"/>
  <c r="R205" i="7"/>
  <c r="Q205" i="7"/>
  <c r="P205" i="7"/>
  <c r="S206" i="7"/>
  <c r="R206" i="7"/>
  <c r="Q206" i="7"/>
  <c r="P206" i="7"/>
  <c r="S207" i="7"/>
  <c r="R207" i="7"/>
  <c r="Q207" i="7"/>
  <c r="P207" i="7"/>
  <c r="S208" i="7"/>
  <c r="R208" i="7"/>
  <c r="Q208" i="7"/>
  <c r="P208" i="7"/>
  <c r="S209" i="7"/>
  <c r="R209" i="7"/>
  <c r="Q209" i="7"/>
  <c r="P209" i="7"/>
  <c r="S210" i="7"/>
  <c r="R210" i="7"/>
  <c r="Q210" i="7"/>
  <c r="P210" i="7"/>
  <c r="S211" i="7"/>
  <c r="R211" i="7"/>
  <c r="Q211" i="7"/>
  <c r="P211" i="7"/>
  <c r="S212" i="7"/>
  <c r="R212" i="7"/>
  <c r="Q212" i="7"/>
  <c r="P212" i="7"/>
  <c r="S213" i="7"/>
  <c r="R213" i="7"/>
  <c r="Q213" i="7"/>
  <c r="P213" i="7"/>
  <c r="S214" i="7"/>
  <c r="R214" i="7"/>
  <c r="Q214" i="7"/>
  <c r="P214" i="7"/>
  <c r="S215" i="7"/>
  <c r="R215" i="7"/>
  <c r="Q215" i="7"/>
  <c r="P215" i="7"/>
  <c r="S216" i="7"/>
  <c r="R216" i="7"/>
  <c r="Q216" i="7"/>
  <c r="P216" i="7"/>
  <c r="S217" i="7"/>
  <c r="R217" i="7"/>
  <c r="Q217" i="7"/>
  <c r="P217" i="7"/>
  <c r="S218" i="7"/>
  <c r="R218" i="7"/>
  <c r="Q218" i="7"/>
  <c r="P218" i="7"/>
  <c r="S219" i="7"/>
  <c r="R219" i="7"/>
  <c r="Q219" i="7"/>
  <c r="P219" i="7"/>
  <c r="S220" i="7"/>
  <c r="R220" i="7"/>
  <c r="Q220" i="7"/>
  <c r="P220" i="7"/>
  <c r="S221" i="7"/>
  <c r="R221" i="7"/>
  <c r="Q221" i="7"/>
  <c r="P221" i="7"/>
  <c r="S222" i="7"/>
  <c r="R222" i="7"/>
  <c r="Q222" i="7"/>
  <c r="P222" i="7"/>
  <c r="S223" i="7"/>
  <c r="R223" i="7"/>
  <c r="Q223" i="7"/>
  <c r="P223" i="7"/>
  <c r="S224" i="7"/>
  <c r="R224" i="7"/>
  <c r="Q224" i="7"/>
  <c r="P224" i="7"/>
  <c r="S225" i="7"/>
  <c r="R225" i="7"/>
  <c r="Q225" i="7"/>
  <c r="P225" i="7"/>
  <c r="S226" i="7"/>
  <c r="R226" i="7"/>
  <c r="Q226" i="7"/>
  <c r="P226" i="7"/>
  <c r="S227" i="7"/>
  <c r="R227" i="7"/>
  <c r="Q227" i="7"/>
  <c r="P227" i="7"/>
  <c r="S228" i="7"/>
  <c r="R228" i="7"/>
  <c r="Q228" i="7"/>
  <c r="P228" i="7"/>
  <c r="S229" i="7"/>
  <c r="R229" i="7"/>
  <c r="Q229" i="7"/>
  <c r="P229" i="7"/>
  <c r="S230" i="7"/>
  <c r="R230" i="7"/>
  <c r="Q230" i="7"/>
  <c r="P230" i="7"/>
  <c r="S231" i="7"/>
  <c r="R231" i="7"/>
  <c r="Q231" i="7"/>
  <c r="P231" i="7"/>
  <c r="S232" i="7"/>
  <c r="R232" i="7"/>
  <c r="Q232" i="7"/>
  <c r="P232" i="7"/>
  <c r="S233" i="7"/>
  <c r="R233" i="7"/>
  <c r="Q233" i="7"/>
  <c r="P233" i="7"/>
  <c r="S234" i="7"/>
  <c r="R234" i="7"/>
  <c r="Q234" i="7"/>
  <c r="P234" i="7"/>
  <c r="S235" i="7"/>
  <c r="R235" i="7"/>
  <c r="Q235" i="7"/>
  <c r="P235" i="7"/>
  <c r="S236" i="7"/>
  <c r="R236" i="7"/>
  <c r="Q236" i="7"/>
  <c r="P236" i="7"/>
  <c r="S237" i="7"/>
  <c r="R237" i="7"/>
  <c r="Q237" i="7"/>
  <c r="P237" i="7"/>
  <c r="S238" i="7"/>
  <c r="R238" i="7"/>
  <c r="Q238" i="7"/>
  <c r="P238" i="7"/>
  <c r="S239" i="7"/>
  <c r="R239" i="7"/>
  <c r="Q239" i="7"/>
  <c r="P239" i="7"/>
  <c r="S240" i="7"/>
  <c r="R240" i="7"/>
  <c r="Q240" i="7"/>
  <c r="P240" i="7"/>
  <c r="S241" i="7"/>
  <c r="R241" i="7"/>
  <c r="Q241" i="7"/>
  <c r="P241" i="7"/>
  <c r="S242" i="7"/>
  <c r="R242" i="7"/>
  <c r="Q242" i="7"/>
  <c r="P242" i="7"/>
  <c r="R243" i="7"/>
  <c r="Q243" i="7"/>
  <c r="P243" i="7"/>
  <c r="C51" i="7"/>
  <c r="C20" i="7"/>
  <c r="C24" i="7"/>
  <c r="C26" i="7"/>
  <c r="C27" i="7"/>
  <c r="C31" i="7"/>
  <c r="V19" i="7"/>
  <c r="C4" i="3"/>
  <c r="C4" i="7"/>
  <c r="C2" i="3"/>
  <c r="C2" i="7"/>
  <c r="K255" i="6"/>
  <c r="A255" i="6"/>
  <c r="C255" i="6"/>
  <c r="J255" i="6"/>
  <c r="I255" i="6"/>
  <c r="H255" i="6"/>
  <c r="G255" i="6"/>
  <c r="F255" i="6"/>
  <c r="E255" i="6"/>
  <c r="D25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K254" i="6"/>
  <c r="A254" i="6"/>
  <c r="C254" i="6"/>
  <c r="J254" i="6"/>
  <c r="I254" i="6"/>
  <c r="H254" i="6"/>
  <c r="G254" i="6"/>
  <c r="F254" i="6"/>
  <c r="E254" i="6"/>
  <c r="D254" i="6"/>
  <c r="K253" i="6"/>
  <c r="A253" i="6"/>
  <c r="C253" i="6"/>
  <c r="J253" i="6"/>
  <c r="I253" i="6"/>
  <c r="H253" i="6"/>
  <c r="G253" i="6"/>
  <c r="F253" i="6"/>
  <c r="E253" i="6"/>
  <c r="D253" i="6"/>
  <c r="K252" i="6"/>
  <c r="A252" i="6"/>
  <c r="C252" i="6"/>
  <c r="J252" i="6"/>
  <c r="I252" i="6"/>
  <c r="H252" i="6"/>
  <c r="G252" i="6"/>
  <c r="F252" i="6"/>
  <c r="E252" i="6"/>
  <c r="D252" i="6"/>
  <c r="K251" i="6"/>
  <c r="A251" i="6"/>
  <c r="C251" i="6"/>
  <c r="J251" i="6"/>
  <c r="I251" i="6"/>
  <c r="H251" i="6"/>
  <c r="G251" i="6"/>
  <c r="F251" i="6"/>
  <c r="E251" i="6"/>
  <c r="D251" i="6"/>
  <c r="K250" i="6"/>
  <c r="A250" i="6"/>
  <c r="C250" i="6"/>
  <c r="J250" i="6"/>
  <c r="I250" i="6"/>
  <c r="H250" i="6"/>
  <c r="G250" i="6"/>
  <c r="F250" i="6"/>
  <c r="E250" i="6"/>
  <c r="D250" i="6"/>
  <c r="K249" i="6"/>
  <c r="A249" i="6"/>
  <c r="C249" i="6"/>
  <c r="J249" i="6"/>
  <c r="I249" i="6"/>
  <c r="H249" i="6"/>
  <c r="G249" i="6"/>
  <c r="F249" i="6"/>
  <c r="E249" i="6"/>
  <c r="D249" i="6"/>
  <c r="K248" i="6"/>
  <c r="A248" i="6"/>
  <c r="C248" i="6"/>
  <c r="J248" i="6"/>
  <c r="I248" i="6"/>
  <c r="H248" i="6"/>
  <c r="G248" i="6"/>
  <c r="F248" i="6"/>
  <c r="E248" i="6"/>
  <c r="D248" i="6"/>
  <c r="K247" i="6"/>
  <c r="A247" i="6"/>
  <c r="C247" i="6"/>
  <c r="J247" i="6"/>
  <c r="I247" i="6"/>
  <c r="H247" i="6"/>
  <c r="G247" i="6"/>
  <c r="F247" i="6"/>
  <c r="E247" i="6"/>
  <c r="D247" i="6"/>
  <c r="K246" i="6"/>
  <c r="A246" i="6"/>
  <c r="C246" i="6"/>
  <c r="J246" i="6"/>
  <c r="I246" i="6"/>
  <c r="H246" i="6"/>
  <c r="G246" i="6"/>
  <c r="F246" i="6"/>
  <c r="E246" i="6"/>
  <c r="D246" i="6"/>
  <c r="K245" i="6"/>
  <c r="A245" i="6"/>
  <c r="C245" i="6"/>
  <c r="J245" i="6"/>
  <c r="I245" i="6"/>
  <c r="H245" i="6"/>
  <c r="G245" i="6"/>
  <c r="F245" i="6"/>
  <c r="E245" i="6"/>
  <c r="D245" i="6"/>
  <c r="K244" i="6"/>
  <c r="A244" i="6"/>
  <c r="C244" i="6"/>
  <c r="J244" i="6"/>
  <c r="I244" i="6"/>
  <c r="H244" i="6"/>
  <c r="G244" i="6"/>
  <c r="F244" i="6"/>
  <c r="E244" i="6"/>
  <c r="D244" i="6"/>
  <c r="K243" i="6"/>
  <c r="A243" i="6"/>
  <c r="C243" i="6"/>
  <c r="J243" i="6"/>
  <c r="I243" i="6"/>
  <c r="H243" i="6"/>
  <c r="G243" i="6"/>
  <c r="F243" i="6"/>
  <c r="E243" i="6"/>
  <c r="D243" i="6"/>
  <c r="K242" i="6"/>
  <c r="A242" i="6"/>
  <c r="C242" i="6"/>
  <c r="J242" i="6"/>
  <c r="I242" i="6"/>
  <c r="H242" i="6"/>
  <c r="G242" i="6"/>
  <c r="F242" i="6"/>
  <c r="E242" i="6"/>
  <c r="D242" i="6"/>
  <c r="K241" i="6"/>
  <c r="A241" i="6"/>
  <c r="C241" i="6"/>
  <c r="J241" i="6"/>
  <c r="I241" i="6"/>
  <c r="H241" i="6"/>
  <c r="G241" i="6"/>
  <c r="F241" i="6"/>
  <c r="E241" i="6"/>
  <c r="D241" i="6"/>
  <c r="K240" i="6"/>
  <c r="A240" i="6"/>
  <c r="C240" i="6"/>
  <c r="J240" i="6"/>
  <c r="I240" i="6"/>
  <c r="H240" i="6"/>
  <c r="G240" i="6"/>
  <c r="F240" i="6"/>
  <c r="E240" i="6"/>
  <c r="D240" i="6"/>
  <c r="K239" i="6"/>
  <c r="A239" i="6"/>
  <c r="C239" i="6"/>
  <c r="J239" i="6"/>
  <c r="I239" i="6"/>
  <c r="H239" i="6"/>
  <c r="G239" i="6"/>
  <c r="F239" i="6"/>
  <c r="E239" i="6"/>
  <c r="D239" i="6"/>
  <c r="K238" i="6"/>
  <c r="A238" i="6"/>
  <c r="C238" i="6"/>
  <c r="J238" i="6"/>
  <c r="I238" i="6"/>
  <c r="H238" i="6"/>
  <c r="G238" i="6"/>
  <c r="F238" i="6"/>
  <c r="E238" i="6"/>
  <c r="D238" i="6"/>
  <c r="K237" i="6"/>
  <c r="A237" i="6"/>
  <c r="C237" i="6"/>
  <c r="J237" i="6"/>
  <c r="I237" i="6"/>
  <c r="H237" i="6"/>
  <c r="G237" i="6"/>
  <c r="F237" i="6"/>
  <c r="E237" i="6"/>
  <c r="D237" i="6"/>
  <c r="K236" i="6"/>
  <c r="A236" i="6"/>
  <c r="C236" i="6"/>
  <c r="J236" i="6"/>
  <c r="I236" i="6"/>
  <c r="H236" i="6"/>
  <c r="G236" i="6"/>
  <c r="F236" i="6"/>
  <c r="E236" i="6"/>
  <c r="D236" i="6"/>
  <c r="K235" i="6"/>
  <c r="A235" i="6"/>
  <c r="C235" i="6"/>
  <c r="J235" i="6"/>
  <c r="I235" i="6"/>
  <c r="H235" i="6"/>
  <c r="G235" i="6"/>
  <c r="F235" i="6"/>
  <c r="E235" i="6"/>
  <c r="D235" i="6"/>
  <c r="K234" i="6"/>
  <c r="A234" i="6"/>
  <c r="C234" i="6"/>
  <c r="J234" i="6"/>
  <c r="I234" i="6"/>
  <c r="H234" i="6"/>
  <c r="G234" i="6"/>
  <c r="F234" i="6"/>
  <c r="E234" i="6"/>
  <c r="D234" i="6"/>
  <c r="K233" i="6"/>
  <c r="A233" i="6"/>
  <c r="C233" i="6"/>
  <c r="J233" i="6"/>
  <c r="I233" i="6"/>
  <c r="H233" i="6"/>
  <c r="G233" i="6"/>
  <c r="F233" i="6"/>
  <c r="E233" i="6"/>
  <c r="D233" i="6"/>
  <c r="K232" i="6"/>
  <c r="A232" i="6"/>
  <c r="C232" i="6"/>
  <c r="J232" i="6"/>
  <c r="I232" i="6"/>
  <c r="H232" i="6"/>
  <c r="G232" i="6"/>
  <c r="F232" i="6"/>
  <c r="E232" i="6"/>
  <c r="D232" i="6"/>
  <c r="K231" i="6"/>
  <c r="A231" i="6"/>
  <c r="C231" i="6"/>
  <c r="J231" i="6"/>
  <c r="I231" i="6"/>
  <c r="H231" i="6"/>
  <c r="G231" i="6"/>
  <c r="F231" i="6"/>
  <c r="E231" i="6"/>
  <c r="D231" i="6"/>
  <c r="K230" i="6"/>
  <c r="A230" i="6"/>
  <c r="C230" i="6"/>
  <c r="J230" i="6"/>
  <c r="I230" i="6"/>
  <c r="H230" i="6"/>
  <c r="G230" i="6"/>
  <c r="F230" i="6"/>
  <c r="E230" i="6"/>
  <c r="D230" i="6"/>
  <c r="K229" i="6"/>
  <c r="A229" i="6"/>
  <c r="C229" i="6"/>
  <c r="J229" i="6"/>
  <c r="I229" i="6"/>
  <c r="H229" i="6"/>
  <c r="G229" i="6"/>
  <c r="F229" i="6"/>
  <c r="E229" i="6"/>
  <c r="D229" i="6"/>
  <c r="K228" i="6"/>
  <c r="A228" i="6"/>
  <c r="C228" i="6"/>
  <c r="J228" i="6"/>
  <c r="I228" i="6"/>
  <c r="H228" i="6"/>
  <c r="G228" i="6"/>
  <c r="F228" i="6"/>
  <c r="E228" i="6"/>
  <c r="D228" i="6"/>
  <c r="K227" i="6"/>
  <c r="A227" i="6"/>
  <c r="C227" i="6"/>
  <c r="J227" i="6"/>
  <c r="I227" i="6"/>
  <c r="H227" i="6"/>
  <c r="G227" i="6"/>
  <c r="F227" i="6"/>
  <c r="E227" i="6"/>
  <c r="D227" i="6"/>
  <c r="K226" i="6"/>
  <c r="A226" i="6"/>
  <c r="C226" i="6"/>
  <c r="J226" i="6"/>
  <c r="I226" i="6"/>
  <c r="H226" i="6"/>
  <c r="G226" i="6"/>
  <c r="F226" i="6"/>
  <c r="E226" i="6"/>
  <c r="D226" i="6"/>
  <c r="K225" i="6"/>
  <c r="A225" i="6"/>
  <c r="C225" i="6"/>
  <c r="J225" i="6"/>
  <c r="I225" i="6"/>
  <c r="H225" i="6"/>
  <c r="G225" i="6"/>
  <c r="F225" i="6"/>
  <c r="E225" i="6"/>
  <c r="D225" i="6"/>
  <c r="K224" i="6"/>
  <c r="A224" i="6"/>
  <c r="C224" i="6"/>
  <c r="J224" i="6"/>
  <c r="I224" i="6"/>
  <c r="H224" i="6"/>
  <c r="G224" i="6"/>
  <c r="F224" i="6"/>
  <c r="E224" i="6"/>
  <c r="D224" i="6"/>
  <c r="K223" i="6"/>
  <c r="A223" i="6"/>
  <c r="C223" i="6"/>
  <c r="J223" i="6"/>
  <c r="I223" i="6"/>
  <c r="H223" i="6"/>
  <c r="G223" i="6"/>
  <c r="F223" i="6"/>
  <c r="E223" i="6"/>
  <c r="D223" i="6"/>
  <c r="K222" i="6"/>
  <c r="A222" i="6"/>
  <c r="C222" i="6"/>
  <c r="J222" i="6"/>
  <c r="I222" i="6"/>
  <c r="H222" i="6"/>
  <c r="G222" i="6"/>
  <c r="F222" i="6"/>
  <c r="E222" i="6"/>
  <c r="D222" i="6"/>
  <c r="K221" i="6"/>
  <c r="A221" i="6"/>
  <c r="C221" i="6"/>
  <c r="J221" i="6"/>
  <c r="I221" i="6"/>
  <c r="H221" i="6"/>
  <c r="G221" i="6"/>
  <c r="F221" i="6"/>
  <c r="E221" i="6"/>
  <c r="D221" i="6"/>
  <c r="K220" i="6"/>
  <c r="A220" i="6"/>
  <c r="C220" i="6"/>
  <c r="J220" i="6"/>
  <c r="I220" i="6"/>
  <c r="H220" i="6"/>
  <c r="G220" i="6"/>
  <c r="F220" i="6"/>
  <c r="E220" i="6"/>
  <c r="D220" i="6"/>
  <c r="K219" i="6"/>
  <c r="A219" i="6"/>
  <c r="C219" i="6"/>
  <c r="J219" i="6"/>
  <c r="I219" i="6"/>
  <c r="H219" i="6"/>
  <c r="G219" i="6"/>
  <c r="F219" i="6"/>
  <c r="E219" i="6"/>
  <c r="D219" i="6"/>
  <c r="K218" i="6"/>
  <c r="A218" i="6"/>
  <c r="C218" i="6"/>
  <c r="J218" i="6"/>
  <c r="I218" i="6"/>
  <c r="H218" i="6"/>
  <c r="G218" i="6"/>
  <c r="F218" i="6"/>
  <c r="E218" i="6"/>
  <c r="D218" i="6"/>
  <c r="K217" i="6"/>
  <c r="A217" i="6"/>
  <c r="C217" i="6"/>
  <c r="J217" i="6"/>
  <c r="I217" i="6"/>
  <c r="H217" i="6"/>
  <c r="G217" i="6"/>
  <c r="F217" i="6"/>
  <c r="E217" i="6"/>
  <c r="D217" i="6"/>
  <c r="K216" i="6"/>
  <c r="A216" i="6"/>
  <c r="C216" i="6"/>
  <c r="J216" i="6"/>
  <c r="I216" i="6"/>
  <c r="H216" i="6"/>
  <c r="G216" i="6"/>
  <c r="F216" i="6"/>
  <c r="E216" i="6"/>
  <c r="D216" i="6"/>
  <c r="K215" i="6"/>
  <c r="A215" i="6"/>
  <c r="C215" i="6"/>
  <c r="J215" i="6"/>
  <c r="I215" i="6"/>
  <c r="H215" i="6"/>
  <c r="G215" i="6"/>
  <c r="F215" i="6"/>
  <c r="E215" i="6"/>
  <c r="D215" i="6"/>
  <c r="K214" i="6"/>
  <c r="A214" i="6"/>
  <c r="C214" i="6"/>
  <c r="J214" i="6"/>
  <c r="I214" i="6"/>
  <c r="H214" i="6"/>
  <c r="G214" i="6"/>
  <c r="F214" i="6"/>
  <c r="E214" i="6"/>
  <c r="D214" i="6"/>
  <c r="K213" i="6"/>
  <c r="A213" i="6"/>
  <c r="C213" i="6"/>
  <c r="J213" i="6"/>
  <c r="I213" i="6"/>
  <c r="H213" i="6"/>
  <c r="G213" i="6"/>
  <c r="F213" i="6"/>
  <c r="E213" i="6"/>
  <c r="D213" i="6"/>
  <c r="K212" i="6"/>
  <c r="A212" i="6"/>
  <c r="C212" i="6"/>
  <c r="J212" i="6"/>
  <c r="I212" i="6"/>
  <c r="H212" i="6"/>
  <c r="G212" i="6"/>
  <c r="F212" i="6"/>
  <c r="E212" i="6"/>
  <c r="D212" i="6"/>
  <c r="K211" i="6"/>
  <c r="A211" i="6"/>
  <c r="C211" i="6"/>
  <c r="J211" i="6"/>
  <c r="I211" i="6"/>
  <c r="H211" i="6"/>
  <c r="G211" i="6"/>
  <c r="F211" i="6"/>
  <c r="E211" i="6"/>
  <c r="D211" i="6"/>
  <c r="K210" i="6"/>
  <c r="A210" i="6"/>
  <c r="C210" i="6"/>
  <c r="J210" i="6"/>
  <c r="I210" i="6"/>
  <c r="H210" i="6"/>
  <c r="G210" i="6"/>
  <c r="F210" i="6"/>
  <c r="E210" i="6"/>
  <c r="D210" i="6"/>
  <c r="K209" i="6"/>
  <c r="A209" i="6"/>
  <c r="C209" i="6"/>
  <c r="J209" i="6"/>
  <c r="I209" i="6"/>
  <c r="H209" i="6"/>
  <c r="G209" i="6"/>
  <c r="F209" i="6"/>
  <c r="E209" i="6"/>
  <c r="D209" i="6"/>
  <c r="K208" i="6"/>
  <c r="A208" i="6"/>
  <c r="C208" i="6"/>
  <c r="J208" i="6"/>
  <c r="I208" i="6"/>
  <c r="H208" i="6"/>
  <c r="G208" i="6"/>
  <c r="F208" i="6"/>
  <c r="E208" i="6"/>
  <c r="D208" i="6"/>
  <c r="K207" i="6"/>
  <c r="A207" i="6"/>
  <c r="C207" i="6"/>
  <c r="J207" i="6"/>
  <c r="I207" i="6"/>
  <c r="H207" i="6"/>
  <c r="G207" i="6"/>
  <c r="F207" i="6"/>
  <c r="E207" i="6"/>
  <c r="D207" i="6"/>
  <c r="K206" i="6"/>
  <c r="A206" i="6"/>
  <c r="C206" i="6"/>
  <c r="J206" i="6"/>
  <c r="I206" i="6"/>
  <c r="H206" i="6"/>
  <c r="G206" i="6"/>
  <c r="F206" i="6"/>
  <c r="E206" i="6"/>
  <c r="D206" i="6"/>
  <c r="K205" i="6"/>
  <c r="A205" i="6"/>
  <c r="C205" i="6"/>
  <c r="J205" i="6"/>
  <c r="I205" i="6"/>
  <c r="H205" i="6"/>
  <c r="G205" i="6"/>
  <c r="F205" i="6"/>
  <c r="E205" i="6"/>
  <c r="D205" i="6"/>
  <c r="K204" i="6"/>
  <c r="A204" i="6"/>
  <c r="C204" i="6"/>
  <c r="J204" i="6"/>
  <c r="I204" i="6"/>
  <c r="H204" i="6"/>
  <c r="G204" i="6"/>
  <c r="F204" i="6"/>
  <c r="E204" i="6"/>
  <c r="D204" i="6"/>
  <c r="K203" i="6"/>
  <c r="A203" i="6"/>
  <c r="C203" i="6"/>
  <c r="J203" i="6"/>
  <c r="I203" i="6"/>
  <c r="H203" i="6"/>
  <c r="G203" i="6"/>
  <c r="F203" i="6"/>
  <c r="E203" i="6"/>
  <c r="D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K202" i="6"/>
  <c r="C202" i="6"/>
  <c r="J202" i="6"/>
  <c r="I202" i="6"/>
  <c r="H202" i="6"/>
  <c r="G202" i="6"/>
  <c r="F202" i="6"/>
  <c r="E202" i="6"/>
  <c r="D202" i="6"/>
  <c r="K201" i="6"/>
  <c r="C201" i="6"/>
  <c r="J201" i="6"/>
  <c r="I201" i="6"/>
  <c r="H201" i="6"/>
  <c r="G201" i="6"/>
  <c r="F201" i="6"/>
  <c r="E201" i="6"/>
  <c r="D201" i="6"/>
  <c r="K200" i="6"/>
  <c r="C200" i="6"/>
  <c r="J200" i="6"/>
  <c r="I200" i="6"/>
  <c r="H200" i="6"/>
  <c r="G200" i="6"/>
  <c r="F200" i="6"/>
  <c r="E200" i="6"/>
  <c r="D200" i="6"/>
  <c r="K199" i="6"/>
  <c r="C199" i="6"/>
  <c r="J199" i="6"/>
  <c r="I199" i="6"/>
  <c r="H199" i="6"/>
  <c r="G199" i="6"/>
  <c r="F199" i="6"/>
  <c r="E199" i="6"/>
  <c r="D199" i="6"/>
  <c r="K198" i="6"/>
  <c r="C198" i="6"/>
  <c r="J198" i="6"/>
  <c r="I198" i="6"/>
  <c r="H198" i="6"/>
  <c r="G198" i="6"/>
  <c r="F198" i="6"/>
  <c r="E198" i="6"/>
  <c r="D198" i="6"/>
  <c r="K197" i="6"/>
  <c r="C197" i="6"/>
  <c r="J197" i="6"/>
  <c r="I197" i="6"/>
  <c r="H197" i="6"/>
  <c r="G197" i="6"/>
  <c r="F197" i="6"/>
  <c r="E197" i="6"/>
  <c r="D197" i="6"/>
  <c r="K196" i="6"/>
  <c r="C196" i="6"/>
  <c r="J196" i="6"/>
  <c r="I196" i="6"/>
  <c r="H196" i="6"/>
  <c r="G196" i="6"/>
  <c r="F196" i="6"/>
  <c r="E196" i="6"/>
  <c r="D196" i="6"/>
  <c r="K195" i="6"/>
  <c r="C195" i="6"/>
  <c r="J195" i="6"/>
  <c r="I195" i="6"/>
  <c r="H195" i="6"/>
  <c r="G195" i="6"/>
  <c r="F195" i="6"/>
  <c r="E195" i="6"/>
  <c r="D195" i="6"/>
  <c r="K194" i="6"/>
  <c r="C194" i="6"/>
  <c r="J194" i="6"/>
  <c r="I194" i="6"/>
  <c r="H194" i="6"/>
  <c r="G194" i="6"/>
  <c r="F194" i="6"/>
  <c r="E194" i="6"/>
  <c r="D194" i="6"/>
  <c r="K193" i="6"/>
  <c r="C193" i="6"/>
  <c r="J193" i="6"/>
  <c r="I193" i="6"/>
  <c r="H193" i="6"/>
  <c r="G193" i="6"/>
  <c r="F193" i="6"/>
  <c r="E193" i="6"/>
  <c r="D193" i="6"/>
  <c r="K192" i="6"/>
  <c r="C192" i="6"/>
  <c r="J192" i="6"/>
  <c r="I192" i="6"/>
  <c r="H192" i="6"/>
  <c r="G192" i="6"/>
  <c r="F192" i="6"/>
  <c r="E192" i="6"/>
  <c r="D192" i="6"/>
  <c r="K191" i="6"/>
  <c r="C191" i="6"/>
  <c r="J191" i="6"/>
  <c r="I191" i="6"/>
  <c r="H191" i="6"/>
  <c r="G191" i="6"/>
  <c r="F191" i="6"/>
  <c r="E191" i="6"/>
  <c r="D191" i="6"/>
  <c r="K190" i="6"/>
  <c r="C190" i="6"/>
  <c r="J190" i="6"/>
  <c r="I190" i="6"/>
  <c r="H190" i="6"/>
  <c r="G190" i="6"/>
  <c r="F190" i="6"/>
  <c r="E190" i="6"/>
  <c r="D190" i="6"/>
  <c r="K189" i="6"/>
  <c r="C189" i="6"/>
  <c r="J189" i="6"/>
  <c r="I189" i="6"/>
  <c r="H189" i="6"/>
  <c r="G189" i="6"/>
  <c r="F189" i="6"/>
  <c r="E189" i="6"/>
  <c r="D189" i="6"/>
  <c r="K188" i="6"/>
  <c r="C188" i="6"/>
  <c r="J188" i="6"/>
  <c r="I188" i="6"/>
  <c r="H188" i="6"/>
  <c r="G188" i="6"/>
  <c r="F188" i="6"/>
  <c r="E188" i="6"/>
  <c r="D188" i="6"/>
  <c r="K187" i="6"/>
  <c r="C187" i="6"/>
  <c r="J187" i="6"/>
  <c r="I187" i="6"/>
  <c r="H187" i="6"/>
  <c r="G187" i="6"/>
  <c r="F187" i="6"/>
  <c r="E187" i="6"/>
  <c r="D187" i="6"/>
  <c r="K186" i="6"/>
  <c r="C186" i="6"/>
  <c r="J186" i="6"/>
  <c r="I186" i="6"/>
  <c r="H186" i="6"/>
  <c r="G186" i="6"/>
  <c r="F186" i="6"/>
  <c r="E186" i="6"/>
  <c r="D186" i="6"/>
  <c r="K185" i="6"/>
  <c r="C185" i="6"/>
  <c r="J185" i="6"/>
  <c r="I185" i="6"/>
  <c r="H185" i="6"/>
  <c r="G185" i="6"/>
  <c r="F185" i="6"/>
  <c r="E185" i="6"/>
  <c r="D185" i="6"/>
  <c r="K184" i="6"/>
  <c r="C184" i="6"/>
  <c r="J184" i="6"/>
  <c r="I184" i="6"/>
  <c r="H184" i="6"/>
  <c r="G184" i="6"/>
  <c r="F184" i="6"/>
  <c r="E184" i="6"/>
  <c r="D184" i="6"/>
  <c r="K183" i="6"/>
  <c r="C183" i="6"/>
  <c r="J183" i="6"/>
  <c r="I183" i="6"/>
  <c r="H183" i="6"/>
  <c r="G183" i="6"/>
  <c r="F183" i="6"/>
  <c r="E183" i="6"/>
  <c r="D183" i="6"/>
  <c r="K182" i="6"/>
  <c r="C182" i="6"/>
  <c r="J182" i="6"/>
  <c r="I182" i="6"/>
  <c r="H182" i="6"/>
  <c r="G182" i="6"/>
  <c r="F182" i="6"/>
  <c r="E182" i="6"/>
  <c r="D182" i="6"/>
  <c r="K181" i="6"/>
  <c r="C181" i="6"/>
  <c r="J181" i="6"/>
  <c r="I181" i="6"/>
  <c r="H181" i="6"/>
  <c r="G181" i="6"/>
  <c r="F181" i="6"/>
  <c r="E181" i="6"/>
  <c r="D181" i="6"/>
  <c r="K180" i="6"/>
  <c r="C180" i="6"/>
  <c r="J180" i="6"/>
  <c r="I180" i="6"/>
  <c r="H180" i="6"/>
  <c r="G180" i="6"/>
  <c r="F180" i="6"/>
  <c r="E180" i="6"/>
  <c r="D180" i="6"/>
  <c r="K179" i="6"/>
  <c r="C179" i="6"/>
  <c r="J179" i="6"/>
  <c r="I179" i="6"/>
  <c r="H179" i="6"/>
  <c r="G179" i="6"/>
  <c r="F179" i="6"/>
  <c r="E179" i="6"/>
  <c r="D179" i="6"/>
  <c r="K178" i="6"/>
  <c r="C178" i="6"/>
  <c r="J178" i="6"/>
  <c r="I178" i="6"/>
  <c r="H178" i="6"/>
  <c r="G178" i="6"/>
  <c r="F178" i="6"/>
  <c r="E178" i="6"/>
  <c r="D178" i="6"/>
  <c r="K177" i="6"/>
  <c r="C177" i="6"/>
  <c r="J177" i="6"/>
  <c r="I177" i="6"/>
  <c r="H177" i="6"/>
  <c r="G177" i="6"/>
  <c r="F177" i="6"/>
  <c r="E177" i="6"/>
  <c r="D177" i="6"/>
  <c r="K176" i="6"/>
  <c r="C176" i="6"/>
  <c r="J176" i="6"/>
  <c r="I176" i="6"/>
  <c r="H176" i="6"/>
  <c r="G176" i="6"/>
  <c r="F176" i="6"/>
  <c r="E176" i="6"/>
  <c r="D176" i="6"/>
  <c r="K175" i="6"/>
  <c r="C175" i="6"/>
  <c r="J175" i="6"/>
  <c r="I175" i="6"/>
  <c r="H175" i="6"/>
  <c r="G175" i="6"/>
  <c r="F175" i="6"/>
  <c r="E175" i="6"/>
  <c r="D175" i="6"/>
  <c r="K174" i="6"/>
  <c r="C174" i="6"/>
  <c r="J174" i="6"/>
  <c r="I174" i="6"/>
  <c r="H174" i="6"/>
  <c r="G174" i="6"/>
  <c r="F174" i="6"/>
  <c r="E174" i="6"/>
  <c r="D174" i="6"/>
  <c r="K173" i="6"/>
  <c r="C173" i="6"/>
  <c r="J173" i="6"/>
  <c r="I173" i="6"/>
  <c r="H173" i="6"/>
  <c r="G173" i="6"/>
  <c r="F173" i="6"/>
  <c r="E173" i="6"/>
  <c r="D173" i="6"/>
  <c r="K172" i="6"/>
  <c r="C172" i="6"/>
  <c r="J172" i="6"/>
  <c r="I172" i="6"/>
  <c r="H172" i="6"/>
  <c r="G172" i="6"/>
  <c r="F172" i="6"/>
  <c r="E172" i="6"/>
  <c r="D172" i="6"/>
  <c r="K171" i="6"/>
  <c r="C171" i="6"/>
  <c r="J171" i="6"/>
  <c r="I171" i="6"/>
  <c r="H171" i="6"/>
  <c r="G171" i="6"/>
  <c r="F171" i="6"/>
  <c r="E171" i="6"/>
  <c r="D171" i="6"/>
  <c r="K170" i="6"/>
  <c r="C170" i="6"/>
  <c r="J170" i="6"/>
  <c r="I170" i="6"/>
  <c r="H170" i="6"/>
  <c r="G170" i="6"/>
  <c r="F170" i="6"/>
  <c r="E170" i="6"/>
  <c r="D170" i="6"/>
  <c r="K169" i="6"/>
  <c r="C169" i="6"/>
  <c r="J169" i="6"/>
  <c r="I169" i="6"/>
  <c r="H169" i="6"/>
  <c r="G169" i="6"/>
  <c r="F169" i="6"/>
  <c r="E169" i="6"/>
  <c r="D169" i="6"/>
  <c r="K168" i="6"/>
  <c r="C168" i="6"/>
  <c r="J168" i="6"/>
  <c r="I168" i="6"/>
  <c r="H168" i="6"/>
  <c r="G168" i="6"/>
  <c r="F168" i="6"/>
  <c r="E168" i="6"/>
  <c r="D168" i="6"/>
  <c r="K167" i="6"/>
  <c r="C167" i="6"/>
  <c r="J167" i="6"/>
  <c r="I167" i="6"/>
  <c r="H167" i="6"/>
  <c r="G167" i="6"/>
  <c r="F167" i="6"/>
  <c r="E167" i="6"/>
  <c r="D167" i="6"/>
  <c r="K166" i="6"/>
  <c r="C166" i="6"/>
  <c r="J166" i="6"/>
  <c r="I166" i="6"/>
  <c r="H166" i="6"/>
  <c r="G166" i="6"/>
  <c r="F166" i="6"/>
  <c r="E166" i="6"/>
  <c r="D166" i="6"/>
  <c r="K165" i="6"/>
  <c r="C165" i="6"/>
  <c r="J165" i="6"/>
  <c r="I165" i="6"/>
  <c r="H165" i="6"/>
  <c r="G165" i="6"/>
  <c r="F165" i="6"/>
  <c r="E165" i="6"/>
  <c r="D165" i="6"/>
  <c r="K164" i="6"/>
  <c r="C164" i="6"/>
  <c r="J164" i="6"/>
  <c r="I164" i="6"/>
  <c r="H164" i="6"/>
  <c r="G164" i="6"/>
  <c r="F164" i="6"/>
  <c r="E164" i="6"/>
  <c r="D164" i="6"/>
  <c r="K163" i="6"/>
  <c r="C163" i="6"/>
  <c r="J163" i="6"/>
  <c r="I163" i="6"/>
  <c r="H163" i="6"/>
  <c r="G163" i="6"/>
  <c r="F163" i="6"/>
  <c r="E163" i="6"/>
  <c r="D163" i="6"/>
  <c r="K162" i="6"/>
  <c r="C162" i="6"/>
  <c r="J162" i="6"/>
  <c r="I162" i="6"/>
  <c r="H162" i="6"/>
  <c r="G162" i="6"/>
  <c r="F162" i="6"/>
  <c r="E162" i="6"/>
  <c r="D162" i="6"/>
  <c r="K161" i="6"/>
  <c r="C161" i="6"/>
  <c r="J161" i="6"/>
  <c r="I161" i="6"/>
  <c r="H161" i="6"/>
  <c r="G161" i="6"/>
  <c r="F161" i="6"/>
  <c r="E161" i="6"/>
  <c r="D161" i="6"/>
  <c r="K160" i="6"/>
  <c r="C160" i="6"/>
  <c r="J160" i="6"/>
  <c r="I160" i="6"/>
  <c r="H160" i="6"/>
  <c r="G160" i="6"/>
  <c r="F160" i="6"/>
  <c r="E160" i="6"/>
  <c r="D160" i="6"/>
  <c r="K159" i="6"/>
  <c r="C159" i="6"/>
  <c r="J159" i="6"/>
  <c r="I159" i="6"/>
  <c r="H159" i="6"/>
  <c r="G159" i="6"/>
  <c r="F159" i="6"/>
  <c r="E159" i="6"/>
  <c r="D159" i="6"/>
  <c r="K158" i="6"/>
  <c r="C158" i="6"/>
  <c r="J158" i="6"/>
  <c r="I158" i="6"/>
  <c r="H158" i="6"/>
  <c r="G158" i="6"/>
  <c r="F158" i="6"/>
  <c r="E158" i="6"/>
  <c r="D158" i="6"/>
  <c r="K157" i="6"/>
  <c r="C157" i="6"/>
  <c r="J157" i="6"/>
  <c r="I157" i="6"/>
  <c r="H157" i="6"/>
  <c r="G157" i="6"/>
  <c r="F157" i="6"/>
  <c r="E157" i="6"/>
  <c r="D157" i="6"/>
  <c r="K156" i="6"/>
  <c r="C156" i="6"/>
  <c r="J156" i="6"/>
  <c r="I156" i="6"/>
  <c r="H156" i="6"/>
  <c r="G156" i="6"/>
  <c r="F156" i="6"/>
  <c r="E156" i="6"/>
  <c r="D156" i="6"/>
  <c r="K155" i="6"/>
  <c r="C155" i="6"/>
  <c r="J155" i="6"/>
  <c r="I155" i="6"/>
  <c r="H155" i="6"/>
  <c r="G155" i="6"/>
  <c r="F155" i="6"/>
  <c r="E155" i="6"/>
  <c r="D155" i="6"/>
  <c r="K154" i="6"/>
  <c r="C154" i="6"/>
  <c r="J154" i="6"/>
  <c r="I154" i="6"/>
  <c r="H154" i="6"/>
  <c r="G154" i="6"/>
  <c r="F154" i="6"/>
  <c r="E154" i="6"/>
  <c r="D154" i="6"/>
  <c r="K153" i="6"/>
  <c r="C153" i="6"/>
  <c r="J153" i="6"/>
  <c r="I153" i="6"/>
  <c r="H153" i="6"/>
  <c r="G153" i="6"/>
  <c r="F153" i="6"/>
  <c r="E153" i="6"/>
  <c r="D153" i="6"/>
  <c r="K152" i="6"/>
  <c r="C152" i="6"/>
  <c r="J152" i="6"/>
  <c r="I152" i="6"/>
  <c r="H152" i="6"/>
  <c r="G152" i="6"/>
  <c r="F152" i="6"/>
  <c r="E152" i="6"/>
  <c r="D152" i="6"/>
  <c r="K151" i="6"/>
  <c r="C151" i="6"/>
  <c r="J151" i="6"/>
  <c r="I151" i="6"/>
  <c r="H151" i="6"/>
  <c r="G151" i="6"/>
  <c r="F151" i="6"/>
  <c r="E151" i="6"/>
  <c r="D151" i="6"/>
  <c r="K150" i="6"/>
  <c r="C150" i="6"/>
  <c r="J150" i="6"/>
  <c r="I150" i="6"/>
  <c r="H150" i="6"/>
  <c r="G150" i="6"/>
  <c r="F150" i="6"/>
  <c r="E150" i="6"/>
  <c r="D150" i="6"/>
  <c r="K149" i="6"/>
  <c r="C149" i="6"/>
  <c r="J149" i="6"/>
  <c r="I149" i="6"/>
  <c r="H149" i="6"/>
  <c r="G149" i="6"/>
  <c r="F149" i="6"/>
  <c r="E149" i="6"/>
  <c r="D149" i="6"/>
  <c r="K148" i="6"/>
  <c r="C148" i="6"/>
  <c r="J148" i="6"/>
  <c r="I148" i="6"/>
  <c r="H148" i="6"/>
  <c r="G148" i="6"/>
  <c r="F148" i="6"/>
  <c r="E148" i="6"/>
  <c r="D148" i="6"/>
  <c r="K147" i="6"/>
  <c r="C147" i="6"/>
  <c r="J147" i="6"/>
  <c r="I147" i="6"/>
  <c r="H147" i="6"/>
  <c r="G147" i="6"/>
  <c r="F147" i="6"/>
  <c r="E147" i="6"/>
  <c r="D147" i="6"/>
  <c r="K146" i="6"/>
  <c r="C146" i="6"/>
  <c r="J146" i="6"/>
  <c r="I146" i="6"/>
  <c r="H146" i="6"/>
  <c r="G146" i="6"/>
  <c r="F146" i="6"/>
  <c r="E146" i="6"/>
  <c r="D146" i="6"/>
  <c r="K145" i="6"/>
  <c r="C145" i="6"/>
  <c r="J145" i="6"/>
  <c r="I145" i="6"/>
  <c r="H145" i="6"/>
  <c r="G145" i="6"/>
  <c r="F145" i="6"/>
  <c r="E145" i="6"/>
  <c r="D145" i="6"/>
  <c r="K144" i="6"/>
  <c r="C144" i="6"/>
  <c r="J144" i="6"/>
  <c r="I144" i="6"/>
  <c r="H144" i="6"/>
  <c r="G144" i="6"/>
  <c r="F144" i="6"/>
  <c r="E144" i="6"/>
  <c r="D144" i="6"/>
  <c r="K143" i="6"/>
  <c r="C143" i="6"/>
  <c r="J143" i="6"/>
  <c r="I143" i="6"/>
  <c r="H143" i="6"/>
  <c r="G143" i="6"/>
  <c r="F143" i="6"/>
  <c r="E143" i="6"/>
  <c r="D143" i="6"/>
  <c r="K142" i="6"/>
  <c r="C142" i="6"/>
  <c r="J142" i="6"/>
  <c r="I142" i="6"/>
  <c r="H142" i="6"/>
  <c r="G142" i="6"/>
  <c r="F142" i="6"/>
  <c r="E142" i="6"/>
  <c r="D142" i="6"/>
  <c r="K141" i="6"/>
  <c r="C141" i="6"/>
  <c r="J141" i="6"/>
  <c r="I141" i="6"/>
  <c r="H141" i="6"/>
  <c r="G141" i="6"/>
  <c r="F141" i="6"/>
  <c r="E141" i="6"/>
  <c r="D141" i="6"/>
  <c r="K140" i="6"/>
  <c r="C140" i="6"/>
  <c r="J140" i="6"/>
  <c r="I140" i="6"/>
  <c r="H140" i="6"/>
  <c r="G140" i="6"/>
  <c r="F140" i="6"/>
  <c r="E140" i="6"/>
  <c r="D140" i="6"/>
  <c r="K139" i="6"/>
  <c r="C139" i="6"/>
  <c r="J139" i="6"/>
  <c r="I139" i="6"/>
  <c r="H139" i="6"/>
  <c r="G139" i="6"/>
  <c r="F139" i="6"/>
  <c r="E139" i="6"/>
  <c r="D139" i="6"/>
  <c r="K138" i="6"/>
  <c r="C138" i="6"/>
  <c r="J138" i="6"/>
  <c r="I138" i="6"/>
  <c r="H138" i="6"/>
  <c r="G138" i="6"/>
  <c r="F138" i="6"/>
  <c r="E138" i="6"/>
  <c r="D138" i="6"/>
  <c r="K137" i="6"/>
  <c r="C137" i="6"/>
  <c r="J137" i="6"/>
  <c r="I137" i="6"/>
  <c r="H137" i="6"/>
  <c r="G137" i="6"/>
  <c r="F137" i="6"/>
  <c r="E137" i="6"/>
  <c r="D137" i="6"/>
  <c r="K136" i="6"/>
  <c r="C136" i="6"/>
  <c r="J136" i="6"/>
  <c r="I136" i="6"/>
  <c r="H136" i="6"/>
  <c r="G136" i="6"/>
  <c r="F136" i="6"/>
  <c r="E136" i="6"/>
  <c r="D136" i="6"/>
  <c r="K135" i="6"/>
  <c r="C135" i="6"/>
  <c r="J135" i="6"/>
  <c r="I135" i="6"/>
  <c r="H135" i="6"/>
  <c r="G135" i="6"/>
  <c r="F135" i="6"/>
  <c r="E135" i="6"/>
  <c r="D135" i="6"/>
  <c r="K134" i="6"/>
  <c r="C134" i="6"/>
  <c r="J134" i="6"/>
  <c r="I134" i="6"/>
  <c r="H134" i="6"/>
  <c r="G134" i="6"/>
  <c r="F134" i="6"/>
  <c r="E134" i="6"/>
  <c r="D134" i="6"/>
  <c r="K133" i="6"/>
  <c r="C133" i="6"/>
  <c r="J133" i="6"/>
  <c r="I133" i="6"/>
  <c r="H133" i="6"/>
  <c r="G133" i="6"/>
  <c r="F133" i="6"/>
  <c r="E133" i="6"/>
  <c r="D133" i="6"/>
  <c r="K132" i="6"/>
  <c r="C132" i="6"/>
  <c r="J132" i="6"/>
  <c r="I132" i="6"/>
  <c r="H132" i="6"/>
  <c r="G132" i="6"/>
  <c r="F132" i="6"/>
  <c r="E132" i="6"/>
  <c r="D132" i="6"/>
  <c r="K131" i="6"/>
  <c r="C131" i="6"/>
  <c r="J131" i="6"/>
  <c r="I131" i="6"/>
  <c r="H131" i="6"/>
  <c r="G131" i="6"/>
  <c r="F131" i="6"/>
  <c r="E131" i="6"/>
  <c r="D131" i="6"/>
  <c r="K130" i="6"/>
  <c r="C130" i="6"/>
  <c r="J130" i="6"/>
  <c r="I130" i="6"/>
  <c r="H130" i="6"/>
  <c r="G130" i="6"/>
  <c r="F130" i="6"/>
  <c r="E130" i="6"/>
  <c r="D130" i="6"/>
  <c r="K129" i="6"/>
  <c r="C129" i="6"/>
  <c r="J129" i="6"/>
  <c r="I129" i="6"/>
  <c r="H129" i="6"/>
  <c r="G129" i="6"/>
  <c r="F129" i="6"/>
  <c r="E129" i="6"/>
  <c r="D129" i="6"/>
  <c r="K128" i="6"/>
  <c r="C128" i="6"/>
  <c r="J128" i="6"/>
  <c r="I128" i="6"/>
  <c r="H128" i="6"/>
  <c r="G128" i="6"/>
  <c r="F128" i="6"/>
  <c r="E128" i="6"/>
  <c r="D128" i="6"/>
  <c r="K127" i="6"/>
  <c r="C127" i="6"/>
  <c r="J127" i="6"/>
  <c r="I127" i="6"/>
  <c r="H127" i="6"/>
  <c r="G127" i="6"/>
  <c r="F127" i="6"/>
  <c r="E127" i="6"/>
  <c r="D127" i="6"/>
  <c r="K126" i="6"/>
  <c r="C126" i="6"/>
  <c r="J126" i="6"/>
  <c r="I126" i="6"/>
  <c r="H126" i="6"/>
  <c r="G126" i="6"/>
  <c r="F126" i="6"/>
  <c r="E126" i="6"/>
  <c r="D126" i="6"/>
  <c r="K125" i="6"/>
  <c r="C125" i="6"/>
  <c r="J125" i="6"/>
  <c r="I125" i="6"/>
  <c r="H125" i="6"/>
  <c r="G125" i="6"/>
  <c r="F125" i="6"/>
  <c r="E125" i="6"/>
  <c r="D125" i="6"/>
  <c r="K124" i="6"/>
  <c r="C124" i="6"/>
  <c r="J124" i="6"/>
  <c r="I124" i="6"/>
  <c r="H124" i="6"/>
  <c r="G124" i="6"/>
  <c r="F124" i="6"/>
  <c r="E124" i="6"/>
  <c r="D124" i="6"/>
  <c r="K123" i="6"/>
  <c r="C123" i="6"/>
  <c r="J123" i="6"/>
  <c r="I123" i="6"/>
  <c r="H123" i="6"/>
  <c r="G123" i="6"/>
  <c r="F123" i="6"/>
  <c r="E123" i="6"/>
  <c r="D123" i="6"/>
  <c r="K122" i="6"/>
  <c r="C122" i="6"/>
  <c r="J122" i="6"/>
  <c r="I122" i="6"/>
  <c r="H122" i="6"/>
  <c r="G122" i="6"/>
  <c r="F122" i="6"/>
  <c r="E122" i="6"/>
  <c r="D122" i="6"/>
  <c r="K121" i="6"/>
  <c r="C121" i="6"/>
  <c r="J121" i="6"/>
  <c r="I121" i="6"/>
  <c r="H121" i="6"/>
  <c r="G121" i="6"/>
  <c r="F121" i="6"/>
  <c r="E121" i="6"/>
  <c r="D121" i="6"/>
  <c r="K120" i="6"/>
  <c r="C120" i="6"/>
  <c r="J120" i="6"/>
  <c r="I120" i="6"/>
  <c r="H120" i="6"/>
  <c r="G120" i="6"/>
  <c r="F120" i="6"/>
  <c r="E120" i="6"/>
  <c r="D120" i="6"/>
  <c r="K119" i="6"/>
  <c r="C119" i="6"/>
  <c r="J119" i="6"/>
  <c r="I119" i="6"/>
  <c r="H119" i="6"/>
  <c r="G119" i="6"/>
  <c r="F119" i="6"/>
  <c r="E119" i="6"/>
  <c r="D119" i="6"/>
  <c r="K118" i="6"/>
  <c r="C118" i="6"/>
  <c r="J118" i="6"/>
  <c r="I118" i="6"/>
  <c r="H118" i="6"/>
  <c r="G118" i="6"/>
  <c r="F118" i="6"/>
  <c r="E118" i="6"/>
  <c r="D118" i="6"/>
  <c r="K117" i="6"/>
  <c r="C117" i="6"/>
  <c r="J117" i="6"/>
  <c r="I117" i="6"/>
  <c r="H117" i="6"/>
  <c r="G117" i="6"/>
  <c r="F117" i="6"/>
  <c r="E117" i="6"/>
  <c r="D117" i="6"/>
  <c r="K116" i="6"/>
  <c r="C116" i="6"/>
  <c r="J116" i="6"/>
  <c r="I116" i="6"/>
  <c r="H116" i="6"/>
  <c r="G116" i="6"/>
  <c r="F116" i="6"/>
  <c r="E116" i="6"/>
  <c r="D116" i="6"/>
  <c r="K115" i="6"/>
  <c r="C115" i="6"/>
  <c r="J115" i="6"/>
  <c r="I115" i="6"/>
  <c r="H115" i="6"/>
  <c r="G115" i="6"/>
  <c r="F115" i="6"/>
  <c r="E115" i="6"/>
  <c r="D115" i="6"/>
  <c r="K114" i="6"/>
  <c r="C114" i="6"/>
  <c r="J114" i="6"/>
  <c r="I114" i="6"/>
  <c r="H114" i="6"/>
  <c r="G114" i="6"/>
  <c r="F114" i="6"/>
  <c r="E114" i="6"/>
  <c r="D114" i="6"/>
  <c r="K113" i="6"/>
  <c r="C113" i="6"/>
  <c r="J113" i="6"/>
  <c r="I113" i="6"/>
  <c r="H113" i="6"/>
  <c r="G113" i="6"/>
  <c r="F113" i="6"/>
  <c r="E113" i="6"/>
  <c r="D113" i="6"/>
  <c r="K112" i="6"/>
  <c r="C112" i="6"/>
  <c r="J112" i="6"/>
  <c r="I112" i="6"/>
  <c r="H112" i="6"/>
  <c r="G112" i="6"/>
  <c r="F112" i="6"/>
  <c r="E112" i="6"/>
  <c r="D112" i="6"/>
  <c r="K111" i="6"/>
  <c r="C111" i="6"/>
  <c r="J111" i="6"/>
  <c r="I111" i="6"/>
  <c r="H111" i="6"/>
  <c r="G111" i="6"/>
  <c r="F111" i="6"/>
  <c r="E111" i="6"/>
  <c r="D111" i="6"/>
  <c r="K110" i="6"/>
  <c r="C110" i="6"/>
  <c r="J110" i="6"/>
  <c r="I110" i="6"/>
  <c r="H110" i="6"/>
  <c r="G110" i="6"/>
  <c r="F110" i="6"/>
  <c r="E110" i="6"/>
  <c r="D110" i="6"/>
  <c r="K109" i="6"/>
  <c r="C109" i="6"/>
  <c r="J109" i="6"/>
  <c r="I109" i="6"/>
  <c r="H109" i="6"/>
  <c r="G109" i="6"/>
  <c r="F109" i="6"/>
  <c r="E109" i="6"/>
  <c r="D109" i="6"/>
  <c r="K108" i="6"/>
  <c r="C108" i="6"/>
  <c r="J108" i="6"/>
  <c r="I108" i="6"/>
  <c r="H108" i="6"/>
  <c r="G108" i="6"/>
  <c r="F108" i="6"/>
  <c r="E108" i="6"/>
  <c r="D108" i="6"/>
  <c r="K107" i="6"/>
  <c r="C107" i="6"/>
  <c r="J107" i="6"/>
  <c r="I107" i="6"/>
  <c r="H107" i="6"/>
  <c r="G107" i="6"/>
  <c r="F107" i="6"/>
  <c r="E107" i="6"/>
  <c r="D107" i="6"/>
  <c r="K106" i="6"/>
  <c r="C106" i="6"/>
  <c r="J106" i="6"/>
  <c r="I106" i="6"/>
  <c r="H106" i="6"/>
  <c r="G106" i="6"/>
  <c r="F106" i="6"/>
  <c r="E106" i="6"/>
  <c r="D106" i="6"/>
  <c r="K105" i="6"/>
  <c r="C105" i="6"/>
  <c r="J105" i="6"/>
  <c r="I105" i="6"/>
  <c r="H105" i="6"/>
  <c r="G105" i="6"/>
  <c r="F105" i="6"/>
  <c r="E105" i="6"/>
  <c r="D105" i="6"/>
  <c r="K104" i="6"/>
  <c r="C104" i="6"/>
  <c r="J104" i="6"/>
  <c r="I104" i="6"/>
  <c r="H104" i="6"/>
  <c r="G104" i="6"/>
  <c r="F104" i="6"/>
  <c r="E104" i="6"/>
  <c r="D104" i="6"/>
  <c r="K103" i="6"/>
  <c r="C103" i="6"/>
  <c r="J103" i="6"/>
  <c r="I103" i="6"/>
  <c r="H103" i="6"/>
  <c r="G103" i="6"/>
  <c r="F103" i="6"/>
  <c r="E103" i="6"/>
  <c r="D103" i="6"/>
  <c r="K102" i="6"/>
  <c r="C102" i="6"/>
  <c r="J102" i="6"/>
  <c r="I102" i="6"/>
  <c r="H102" i="6"/>
  <c r="G102" i="6"/>
  <c r="F102" i="6"/>
  <c r="E102" i="6"/>
  <c r="D102" i="6"/>
  <c r="K101" i="6"/>
  <c r="C101" i="6"/>
  <c r="J101" i="6"/>
  <c r="I101" i="6"/>
  <c r="H101" i="6"/>
  <c r="G101" i="6"/>
  <c r="F101" i="6"/>
  <c r="E101" i="6"/>
  <c r="D101" i="6"/>
  <c r="K100" i="6"/>
  <c r="C100" i="6"/>
  <c r="J100" i="6"/>
  <c r="I100" i="6"/>
  <c r="H100" i="6"/>
  <c r="G100" i="6"/>
  <c r="F100" i="6"/>
  <c r="E100" i="6"/>
  <c r="D100" i="6"/>
  <c r="K99" i="6"/>
  <c r="C99" i="6"/>
  <c r="J99" i="6"/>
  <c r="I99" i="6"/>
  <c r="H99" i="6"/>
  <c r="G99" i="6"/>
  <c r="F99" i="6"/>
  <c r="E99" i="6"/>
  <c r="D99" i="6"/>
  <c r="K98" i="6"/>
  <c r="C98" i="6"/>
  <c r="J98" i="6"/>
  <c r="I98" i="6"/>
  <c r="H98" i="6"/>
  <c r="G98" i="6"/>
  <c r="F98" i="6"/>
  <c r="E98" i="6"/>
  <c r="D98" i="6"/>
  <c r="K97" i="6"/>
  <c r="C97" i="6"/>
  <c r="J97" i="6"/>
  <c r="I97" i="6"/>
  <c r="H97" i="6"/>
  <c r="G97" i="6"/>
  <c r="F97" i="6"/>
  <c r="E97" i="6"/>
  <c r="D97" i="6"/>
  <c r="K96" i="6"/>
  <c r="C96" i="6"/>
  <c r="J96" i="6"/>
  <c r="I96" i="6"/>
  <c r="H96" i="6"/>
  <c r="G96" i="6"/>
  <c r="F96" i="6"/>
  <c r="E96" i="6"/>
  <c r="D96" i="6"/>
  <c r="K95" i="6"/>
  <c r="C95" i="6"/>
  <c r="J95" i="6"/>
  <c r="I95" i="6"/>
  <c r="H95" i="6"/>
  <c r="G95" i="6"/>
  <c r="F95" i="6"/>
  <c r="E95" i="6"/>
  <c r="D95" i="6"/>
  <c r="K94" i="6"/>
  <c r="C94" i="6"/>
  <c r="J94" i="6"/>
  <c r="I94" i="6"/>
  <c r="H94" i="6"/>
  <c r="G94" i="6"/>
  <c r="F94" i="6"/>
  <c r="E94" i="6"/>
  <c r="D94" i="6"/>
  <c r="K93" i="6"/>
  <c r="C93" i="6"/>
  <c r="J93" i="6"/>
  <c r="I93" i="6"/>
  <c r="H93" i="6"/>
  <c r="G93" i="6"/>
  <c r="F93" i="6"/>
  <c r="E93" i="6"/>
  <c r="D93" i="6"/>
  <c r="K92" i="6"/>
  <c r="C92" i="6"/>
  <c r="J92" i="6"/>
  <c r="I92" i="6"/>
  <c r="H92" i="6"/>
  <c r="G92" i="6"/>
  <c r="F92" i="6"/>
  <c r="E92" i="6"/>
  <c r="D92" i="6"/>
  <c r="K91" i="6"/>
  <c r="C91" i="6"/>
  <c r="J91" i="6"/>
  <c r="I91" i="6"/>
  <c r="H91" i="6"/>
  <c r="G91" i="6"/>
  <c r="F91" i="6"/>
  <c r="E91" i="6"/>
  <c r="D91" i="6"/>
  <c r="K90" i="6"/>
  <c r="C90" i="6"/>
  <c r="J90" i="6"/>
  <c r="I90" i="6"/>
  <c r="H90" i="6"/>
  <c r="G90" i="6"/>
  <c r="F90" i="6"/>
  <c r="E90" i="6"/>
  <c r="D90" i="6"/>
  <c r="K89" i="6"/>
  <c r="C89" i="6"/>
  <c r="J89" i="6"/>
  <c r="I89" i="6"/>
  <c r="H89" i="6"/>
  <c r="G89" i="6"/>
  <c r="F89" i="6"/>
  <c r="E89" i="6"/>
  <c r="D89" i="6"/>
  <c r="K88" i="6"/>
  <c r="C88" i="6"/>
  <c r="J88" i="6"/>
  <c r="I88" i="6"/>
  <c r="H88" i="6"/>
  <c r="G88" i="6"/>
  <c r="F88" i="6"/>
  <c r="E88" i="6"/>
  <c r="D88" i="6"/>
  <c r="K87" i="6"/>
  <c r="C87" i="6"/>
  <c r="J87" i="6"/>
  <c r="I87" i="6"/>
  <c r="H87" i="6"/>
  <c r="G87" i="6"/>
  <c r="F87" i="6"/>
  <c r="E87" i="6"/>
  <c r="D87" i="6"/>
  <c r="K86" i="6"/>
  <c r="C86" i="6"/>
  <c r="J86" i="6"/>
  <c r="I86" i="6"/>
  <c r="H86" i="6"/>
  <c r="G86" i="6"/>
  <c r="F86" i="6"/>
  <c r="E86" i="6"/>
  <c r="D86" i="6"/>
  <c r="K85" i="6"/>
  <c r="C85" i="6"/>
  <c r="J85" i="6"/>
  <c r="I85" i="6"/>
  <c r="H85" i="6"/>
  <c r="G85" i="6"/>
  <c r="F85" i="6"/>
  <c r="E85" i="6"/>
  <c r="D85" i="6"/>
  <c r="K84" i="6"/>
  <c r="C84" i="6"/>
  <c r="J84" i="6"/>
  <c r="I84" i="6"/>
  <c r="H84" i="6"/>
  <c r="G84" i="6"/>
  <c r="F84" i="6"/>
  <c r="E84" i="6"/>
  <c r="D84" i="6"/>
  <c r="K83" i="6"/>
  <c r="C83" i="6"/>
  <c r="J83" i="6"/>
  <c r="I83" i="6"/>
  <c r="H83" i="6"/>
  <c r="G83" i="6"/>
  <c r="F83" i="6"/>
  <c r="E83" i="6"/>
  <c r="D83" i="6"/>
  <c r="K82" i="6"/>
  <c r="C82" i="6"/>
  <c r="J82" i="6"/>
  <c r="I82" i="6"/>
  <c r="H82" i="6"/>
  <c r="G82" i="6"/>
  <c r="F82" i="6"/>
  <c r="E82" i="6"/>
  <c r="D82" i="6"/>
  <c r="K81" i="6"/>
  <c r="C81" i="6"/>
  <c r="J81" i="6"/>
  <c r="I81" i="6"/>
  <c r="H81" i="6"/>
  <c r="G81" i="6"/>
  <c r="F81" i="6"/>
  <c r="E81" i="6"/>
  <c r="D81" i="6"/>
  <c r="K80" i="6"/>
  <c r="C80" i="6"/>
  <c r="J80" i="6"/>
  <c r="I80" i="6"/>
  <c r="H80" i="6"/>
  <c r="G80" i="6"/>
  <c r="F80" i="6"/>
  <c r="E80" i="6"/>
  <c r="D80" i="6"/>
  <c r="K79" i="6"/>
  <c r="C79" i="6"/>
  <c r="J79" i="6"/>
  <c r="I79" i="6"/>
  <c r="H79" i="6"/>
  <c r="G79" i="6"/>
  <c r="F79" i="6"/>
  <c r="E79" i="6"/>
  <c r="D79" i="6"/>
  <c r="K78" i="6"/>
  <c r="C78" i="6"/>
  <c r="J78" i="6"/>
  <c r="I78" i="6"/>
  <c r="H78" i="6"/>
  <c r="G78" i="6"/>
  <c r="F78" i="6"/>
  <c r="E78" i="6"/>
  <c r="D78" i="6"/>
  <c r="K77" i="6"/>
  <c r="C77" i="6"/>
  <c r="J77" i="6"/>
  <c r="I77" i="6"/>
  <c r="H77" i="6"/>
  <c r="G77" i="6"/>
  <c r="F77" i="6"/>
  <c r="E77" i="6"/>
  <c r="D77" i="6"/>
  <c r="K76" i="6"/>
  <c r="C76" i="6"/>
  <c r="J76" i="6"/>
  <c r="I76" i="6"/>
  <c r="H76" i="6"/>
  <c r="G76" i="6"/>
  <c r="F76" i="6"/>
  <c r="E76" i="6"/>
  <c r="D76" i="6"/>
  <c r="K75" i="6"/>
  <c r="C75" i="6"/>
  <c r="J75" i="6"/>
  <c r="I75" i="6"/>
  <c r="H75" i="6"/>
  <c r="G75" i="6"/>
  <c r="F75" i="6"/>
  <c r="E75" i="6"/>
  <c r="D75" i="6"/>
  <c r="K74" i="6"/>
  <c r="C74" i="6"/>
  <c r="J74" i="6"/>
  <c r="I74" i="6"/>
  <c r="H74" i="6"/>
  <c r="G74" i="6"/>
  <c r="F74" i="6"/>
  <c r="E74" i="6"/>
  <c r="D74" i="6"/>
  <c r="K73" i="6"/>
  <c r="C73" i="6"/>
  <c r="J73" i="6"/>
  <c r="I73" i="6"/>
  <c r="H73" i="6"/>
  <c r="G73" i="6"/>
  <c r="F73" i="6"/>
  <c r="E73" i="6"/>
  <c r="D73" i="6"/>
  <c r="K72" i="6"/>
  <c r="C72" i="6"/>
  <c r="J72" i="6"/>
  <c r="I72" i="6"/>
  <c r="H72" i="6"/>
  <c r="G72" i="6"/>
  <c r="F72" i="6"/>
  <c r="E72" i="6"/>
  <c r="D72" i="6"/>
  <c r="K71" i="6"/>
  <c r="C71" i="6"/>
  <c r="J71" i="6"/>
  <c r="I71" i="6"/>
  <c r="H71" i="6"/>
  <c r="G71" i="6"/>
  <c r="F71" i="6"/>
  <c r="E71" i="6"/>
  <c r="D71" i="6"/>
  <c r="K70" i="6"/>
  <c r="C70" i="6"/>
  <c r="J70" i="6"/>
  <c r="I70" i="6"/>
  <c r="H70" i="6"/>
  <c r="G70" i="6"/>
  <c r="F70" i="6"/>
  <c r="E70" i="6"/>
  <c r="D70" i="6"/>
  <c r="K69" i="6"/>
  <c r="C69" i="6"/>
  <c r="J69" i="6"/>
  <c r="I69" i="6"/>
  <c r="H69" i="6"/>
  <c r="G69" i="6"/>
  <c r="F69" i="6"/>
  <c r="E69" i="6"/>
  <c r="D69" i="6"/>
  <c r="K68" i="6"/>
  <c r="C68" i="6"/>
  <c r="J68" i="6"/>
  <c r="I68" i="6"/>
  <c r="H68" i="6"/>
  <c r="G68" i="6"/>
  <c r="F68" i="6"/>
  <c r="E68" i="6"/>
  <c r="D68" i="6"/>
  <c r="K67" i="6"/>
  <c r="C67" i="6"/>
  <c r="J67" i="6"/>
  <c r="I67" i="6"/>
  <c r="H67" i="6"/>
  <c r="G67" i="6"/>
  <c r="F67" i="6"/>
  <c r="E67" i="6"/>
  <c r="D67" i="6"/>
  <c r="K66" i="6"/>
  <c r="C66" i="6"/>
  <c r="J66" i="6"/>
  <c r="I66" i="6"/>
  <c r="H66" i="6"/>
  <c r="G66" i="6"/>
  <c r="F66" i="6"/>
  <c r="E66" i="6"/>
  <c r="D66" i="6"/>
  <c r="K65" i="6"/>
  <c r="C65" i="6"/>
  <c r="J65" i="6"/>
  <c r="I65" i="6"/>
  <c r="H65" i="6"/>
  <c r="G65" i="6"/>
  <c r="F65" i="6"/>
  <c r="E65" i="6"/>
  <c r="D65" i="6"/>
  <c r="K64" i="6"/>
  <c r="C64" i="6"/>
  <c r="J64" i="6"/>
  <c r="I64" i="6"/>
  <c r="H64" i="6"/>
  <c r="G64" i="6"/>
  <c r="F64" i="6"/>
  <c r="E64" i="6"/>
  <c r="D64" i="6"/>
  <c r="K63" i="6"/>
  <c r="C63" i="6"/>
  <c r="J63" i="6"/>
  <c r="I63" i="6"/>
  <c r="H63" i="6"/>
  <c r="G63" i="6"/>
  <c r="F63" i="6"/>
  <c r="E63" i="6"/>
  <c r="D63" i="6"/>
  <c r="K62" i="6"/>
  <c r="C62" i="6"/>
  <c r="J62" i="6"/>
  <c r="I62" i="6"/>
  <c r="H62" i="6"/>
  <c r="G62" i="6"/>
  <c r="F62" i="6"/>
  <c r="E62" i="6"/>
  <c r="D62" i="6"/>
  <c r="K61" i="6"/>
  <c r="C61" i="6"/>
  <c r="J61" i="6"/>
  <c r="I61" i="6"/>
  <c r="H61" i="6"/>
  <c r="G61" i="6"/>
  <c r="F61" i="6"/>
  <c r="E61" i="6"/>
  <c r="D61" i="6"/>
  <c r="K60" i="6"/>
  <c r="C60" i="6"/>
  <c r="J60" i="6"/>
  <c r="I60" i="6"/>
  <c r="H60" i="6"/>
  <c r="G60" i="6"/>
  <c r="F60" i="6"/>
  <c r="E60" i="6"/>
  <c r="D60" i="6"/>
  <c r="K59" i="6"/>
  <c r="C59" i="6"/>
  <c r="J59" i="6"/>
  <c r="I59" i="6"/>
  <c r="H59" i="6"/>
  <c r="G59" i="6"/>
  <c r="F59" i="6"/>
  <c r="E59" i="6"/>
  <c r="D59" i="6"/>
  <c r="K58" i="6"/>
  <c r="C58" i="6"/>
  <c r="J58" i="6"/>
  <c r="I58" i="6"/>
  <c r="H58" i="6"/>
  <c r="G58" i="6"/>
  <c r="F58" i="6"/>
  <c r="E58" i="6"/>
  <c r="D58" i="6"/>
  <c r="K57" i="6"/>
  <c r="C57" i="6"/>
  <c r="J57" i="6"/>
  <c r="I57" i="6"/>
  <c r="H57" i="6"/>
  <c r="G57" i="6"/>
  <c r="F57" i="6"/>
  <c r="E57" i="6"/>
  <c r="D57" i="6"/>
  <c r="K56" i="6"/>
  <c r="C56" i="6"/>
  <c r="J56" i="6"/>
  <c r="I56" i="6"/>
  <c r="H56" i="6"/>
  <c r="G56" i="6"/>
  <c r="F56" i="6"/>
  <c r="E56" i="6"/>
  <c r="D56" i="6"/>
  <c r="K55" i="6"/>
  <c r="C55" i="6"/>
  <c r="J55" i="6"/>
  <c r="I55" i="6"/>
  <c r="H55" i="6"/>
  <c r="G55" i="6"/>
  <c r="F55" i="6"/>
  <c r="E55" i="6"/>
  <c r="D55" i="6"/>
  <c r="K54" i="6"/>
  <c r="C54" i="6"/>
  <c r="J54" i="6"/>
  <c r="I54" i="6"/>
  <c r="H54" i="6"/>
  <c r="G54" i="6"/>
  <c r="F54" i="6"/>
  <c r="E54" i="6"/>
  <c r="D54" i="6"/>
  <c r="K53" i="6"/>
  <c r="C53" i="6"/>
  <c r="J53" i="6"/>
  <c r="I53" i="6"/>
  <c r="H53" i="6"/>
  <c r="G53" i="6"/>
  <c r="F53" i="6"/>
  <c r="E53" i="6"/>
  <c r="D53" i="6"/>
  <c r="K52" i="6"/>
  <c r="C52" i="6"/>
  <c r="J52" i="6"/>
  <c r="I52" i="6"/>
  <c r="H52" i="6"/>
  <c r="G52" i="6"/>
  <c r="F52" i="6"/>
  <c r="E52" i="6"/>
  <c r="D52" i="6"/>
  <c r="K51" i="6"/>
  <c r="C51" i="6"/>
  <c r="J51" i="6"/>
  <c r="I51" i="6"/>
  <c r="H51" i="6"/>
  <c r="G51" i="6"/>
  <c r="F51" i="6"/>
  <c r="E51" i="6"/>
  <c r="D51" i="6"/>
  <c r="K50" i="6"/>
  <c r="C50" i="6"/>
  <c r="J50" i="6"/>
  <c r="I50" i="6"/>
  <c r="H50" i="6"/>
  <c r="G50" i="6"/>
  <c r="F50" i="6"/>
  <c r="E50" i="6"/>
  <c r="D50" i="6"/>
  <c r="K49" i="6"/>
  <c r="C49" i="6"/>
  <c r="J49" i="6"/>
  <c r="I49" i="6"/>
  <c r="H49" i="6"/>
  <c r="G49" i="6"/>
  <c r="F49" i="6"/>
  <c r="E49" i="6"/>
  <c r="D49" i="6"/>
  <c r="K48" i="6"/>
  <c r="C48" i="6"/>
  <c r="J48" i="6"/>
  <c r="I48" i="6"/>
  <c r="H48" i="6"/>
  <c r="G48" i="6"/>
  <c r="F48" i="6"/>
  <c r="E48" i="6"/>
  <c r="D48" i="6"/>
  <c r="K47" i="6"/>
  <c r="C47" i="6"/>
  <c r="J47" i="6"/>
  <c r="I47" i="6"/>
  <c r="H47" i="6"/>
  <c r="G47" i="6"/>
  <c r="F47" i="6"/>
  <c r="E47" i="6"/>
  <c r="D47" i="6"/>
  <c r="K46" i="6"/>
  <c r="C46" i="6"/>
  <c r="J46" i="6"/>
  <c r="I46" i="6"/>
  <c r="H46" i="6"/>
  <c r="G46" i="6"/>
  <c r="F46" i="6"/>
  <c r="E46" i="6"/>
  <c r="D46" i="6"/>
  <c r="K45" i="6"/>
  <c r="C45" i="6"/>
  <c r="J45" i="6"/>
  <c r="I45" i="6"/>
  <c r="H45" i="6"/>
  <c r="G45" i="6"/>
  <c r="F45" i="6"/>
  <c r="E45" i="6"/>
  <c r="D45" i="6"/>
  <c r="K44" i="6"/>
  <c r="C44" i="6"/>
  <c r="J44" i="6"/>
  <c r="I44" i="6"/>
  <c r="H44" i="6"/>
  <c r="G44" i="6"/>
  <c r="F44" i="6"/>
  <c r="E44" i="6"/>
  <c r="D44" i="6"/>
  <c r="K43" i="6"/>
  <c r="C43" i="6"/>
  <c r="J43" i="6"/>
  <c r="I43" i="6"/>
  <c r="H43" i="6"/>
  <c r="G43" i="6"/>
  <c r="F43" i="6"/>
  <c r="E43" i="6"/>
  <c r="D43" i="6"/>
  <c r="K42" i="6"/>
  <c r="C42" i="6"/>
  <c r="J42" i="6"/>
  <c r="I42" i="6"/>
  <c r="H42" i="6"/>
  <c r="G42" i="6"/>
  <c r="F42" i="6"/>
  <c r="E42" i="6"/>
  <c r="D42" i="6"/>
  <c r="K41" i="6"/>
  <c r="C41" i="6"/>
  <c r="J41" i="6"/>
  <c r="I41" i="6"/>
  <c r="H41" i="6"/>
  <c r="G41" i="6"/>
  <c r="F41" i="6"/>
  <c r="E41" i="6"/>
  <c r="D41" i="6"/>
  <c r="K40" i="6"/>
  <c r="C40" i="6"/>
  <c r="J40" i="6"/>
  <c r="I40" i="6"/>
  <c r="H40" i="6"/>
  <c r="G40" i="6"/>
  <c r="F40" i="6"/>
  <c r="E40" i="6"/>
  <c r="D40" i="6"/>
  <c r="K39" i="6"/>
  <c r="C39" i="6"/>
  <c r="J39" i="6"/>
  <c r="I39" i="6"/>
  <c r="H39" i="6"/>
  <c r="G39" i="6"/>
  <c r="F39" i="6"/>
  <c r="E39" i="6"/>
  <c r="D39" i="6"/>
  <c r="K38" i="6"/>
  <c r="C38" i="6"/>
  <c r="J38" i="6"/>
  <c r="I38" i="6"/>
  <c r="H38" i="6"/>
  <c r="G38" i="6"/>
  <c r="F38" i="6"/>
  <c r="E38" i="6"/>
  <c r="D38" i="6"/>
  <c r="K37" i="6"/>
  <c r="C37" i="6"/>
  <c r="J37" i="6"/>
  <c r="I37" i="6"/>
  <c r="H37" i="6"/>
  <c r="G37" i="6"/>
  <c r="F37" i="6"/>
  <c r="E37" i="6"/>
  <c r="D37" i="6"/>
  <c r="K36" i="6"/>
  <c r="C36" i="6"/>
  <c r="J36" i="6"/>
  <c r="I36" i="6"/>
  <c r="H36" i="6"/>
  <c r="G36" i="6"/>
  <c r="F36" i="6"/>
  <c r="E36" i="6"/>
  <c r="D36" i="6"/>
  <c r="K35" i="6"/>
  <c r="C35" i="6"/>
  <c r="J35" i="6"/>
  <c r="I35" i="6"/>
  <c r="H35" i="6"/>
  <c r="G35" i="6"/>
  <c r="F35" i="6"/>
  <c r="E35" i="6"/>
  <c r="D35" i="6"/>
  <c r="K34" i="6"/>
  <c r="C34" i="6"/>
  <c r="J34" i="6"/>
  <c r="I34" i="6"/>
  <c r="H34" i="6"/>
  <c r="G34" i="6"/>
  <c r="F34" i="6"/>
  <c r="E34" i="6"/>
  <c r="D34" i="6"/>
  <c r="K33" i="6"/>
  <c r="C33" i="6"/>
  <c r="J33" i="6"/>
  <c r="I33" i="6"/>
  <c r="H33" i="6"/>
  <c r="G33" i="6"/>
  <c r="F33" i="6"/>
  <c r="E33" i="6"/>
  <c r="D33" i="6"/>
  <c r="K32" i="6"/>
  <c r="C32" i="6"/>
  <c r="J32" i="6"/>
  <c r="I32" i="6"/>
  <c r="H32" i="6"/>
  <c r="G32" i="6"/>
  <c r="F32" i="6"/>
  <c r="E32" i="6"/>
  <c r="D32" i="6"/>
  <c r="K31" i="6"/>
  <c r="C31" i="6"/>
  <c r="J31" i="6"/>
  <c r="I31" i="6"/>
  <c r="H31" i="6"/>
  <c r="G31" i="6"/>
  <c r="F31" i="6"/>
  <c r="E31" i="6"/>
  <c r="D31" i="6"/>
  <c r="K30" i="6"/>
  <c r="C30" i="6"/>
  <c r="J30" i="6"/>
  <c r="I30" i="6"/>
  <c r="H30" i="6"/>
  <c r="G30" i="6"/>
  <c r="F30" i="6"/>
  <c r="E30" i="6"/>
  <c r="D30" i="6"/>
  <c r="K29" i="6"/>
  <c r="C29" i="6"/>
  <c r="J29" i="6"/>
  <c r="I29" i="6"/>
  <c r="H29" i="6"/>
  <c r="G29" i="6"/>
  <c r="F29" i="6"/>
  <c r="E29" i="6"/>
  <c r="D29" i="6"/>
  <c r="K28" i="6"/>
  <c r="C28" i="6"/>
  <c r="J28" i="6"/>
  <c r="I28" i="6"/>
  <c r="H28" i="6"/>
  <c r="G28" i="6"/>
  <c r="F28" i="6"/>
  <c r="E28" i="6"/>
  <c r="D28" i="6"/>
  <c r="K27" i="6"/>
  <c r="C27" i="6"/>
  <c r="J27" i="6"/>
  <c r="I27" i="6"/>
  <c r="H27" i="6"/>
  <c r="G27" i="6"/>
  <c r="F27" i="6"/>
  <c r="E27" i="6"/>
  <c r="D27" i="6"/>
  <c r="K26" i="6"/>
  <c r="C26" i="6"/>
  <c r="J26" i="6"/>
  <c r="I26" i="6"/>
  <c r="H26" i="6"/>
  <c r="G26" i="6"/>
  <c r="F26" i="6"/>
  <c r="E26" i="6"/>
  <c r="D26" i="6"/>
  <c r="K25" i="6"/>
  <c r="C25" i="6"/>
  <c r="J25" i="6"/>
  <c r="I25" i="6"/>
  <c r="H25" i="6"/>
  <c r="G25" i="6"/>
  <c r="F25" i="6"/>
  <c r="E25" i="6"/>
  <c r="D25" i="6"/>
  <c r="K24" i="6"/>
  <c r="C24" i="6"/>
  <c r="J24" i="6"/>
  <c r="I24" i="6"/>
  <c r="H24" i="6"/>
  <c r="G24" i="6"/>
  <c r="F24" i="6"/>
  <c r="E24" i="6"/>
  <c r="D24" i="6"/>
  <c r="K23" i="6"/>
  <c r="C23" i="6"/>
  <c r="J23" i="6"/>
  <c r="I23" i="6"/>
  <c r="H23" i="6"/>
  <c r="G23" i="6"/>
  <c r="F23" i="6"/>
  <c r="E23" i="6"/>
  <c r="D23" i="6"/>
  <c r="K22" i="6"/>
  <c r="C22" i="6"/>
  <c r="J22" i="6"/>
  <c r="I22" i="6"/>
  <c r="H22" i="6"/>
  <c r="G22" i="6"/>
  <c r="F22" i="6"/>
  <c r="E22" i="6"/>
  <c r="D22" i="6"/>
  <c r="K21" i="6"/>
  <c r="C21" i="6"/>
  <c r="J21" i="6"/>
  <c r="I21" i="6"/>
  <c r="H21" i="6"/>
  <c r="G21" i="6"/>
  <c r="F21" i="6"/>
  <c r="E21" i="6"/>
  <c r="D21" i="6"/>
  <c r="K20" i="6"/>
  <c r="C20" i="6"/>
  <c r="J20" i="6"/>
  <c r="I20" i="6"/>
  <c r="H20" i="6"/>
  <c r="G20" i="6"/>
  <c r="F20" i="6"/>
  <c r="E20" i="6"/>
  <c r="D20" i="6"/>
  <c r="K19" i="6"/>
  <c r="C19" i="6"/>
  <c r="J19" i="6"/>
  <c r="I19" i="6"/>
  <c r="H19" i="6"/>
  <c r="G19" i="6"/>
  <c r="F19" i="6"/>
  <c r="E19" i="6"/>
  <c r="D19" i="6"/>
  <c r="K18" i="6"/>
  <c r="C18" i="6"/>
  <c r="J18" i="6"/>
  <c r="I18" i="6"/>
  <c r="H18" i="6"/>
  <c r="G18" i="6"/>
  <c r="F18" i="6"/>
  <c r="E18" i="6"/>
  <c r="D18" i="6"/>
  <c r="K17" i="6"/>
  <c r="C17" i="6"/>
  <c r="J17" i="6"/>
  <c r="I17" i="6"/>
  <c r="H17" i="6"/>
  <c r="G17" i="6"/>
  <c r="F17" i="6"/>
  <c r="E17" i="6"/>
  <c r="D17" i="6"/>
  <c r="K16" i="6"/>
  <c r="C16" i="6"/>
  <c r="J16" i="6"/>
  <c r="I16" i="6"/>
  <c r="H16" i="6"/>
  <c r="G16" i="6"/>
  <c r="F16" i="6"/>
  <c r="E16" i="6"/>
  <c r="D16" i="6"/>
  <c r="A16" i="6"/>
  <c r="D12" i="6"/>
  <c r="D11" i="6"/>
  <c r="D10" i="6"/>
  <c r="D8" i="6"/>
  <c r="D9" i="6"/>
  <c r="E9" i="6"/>
  <c r="E8" i="6"/>
  <c r="G4" i="6"/>
  <c r="C14" i="3"/>
  <c r="V4" i="3"/>
  <c r="S124" i="3"/>
  <c r="R124" i="3"/>
  <c r="Q124" i="3"/>
  <c r="P124" i="3"/>
  <c r="V9" i="3"/>
  <c r="D4" i="6"/>
  <c r="F35" i="2"/>
  <c r="E35" i="2"/>
  <c r="B35" i="2"/>
  <c r="J3" i="6"/>
  <c r="G3" i="6"/>
  <c r="E32" i="2"/>
  <c r="D3" i="6"/>
  <c r="F34" i="2"/>
  <c r="E34" i="2"/>
  <c r="B34" i="2"/>
  <c r="J2" i="6"/>
  <c r="G2" i="6"/>
  <c r="D2" i="6"/>
  <c r="A195" i="5"/>
  <c r="I6" i="2"/>
  <c r="G7" i="2"/>
  <c r="I7" i="2"/>
  <c r="C7" i="3"/>
  <c r="V10" i="3"/>
  <c r="S125" i="3"/>
  <c r="R125" i="3"/>
  <c r="Q125" i="3"/>
  <c r="P125" i="3"/>
  <c r="S126" i="3"/>
  <c r="R126" i="3"/>
  <c r="Q126" i="3"/>
  <c r="P126" i="3"/>
  <c r="S127" i="3"/>
  <c r="R127" i="3"/>
  <c r="Q127" i="3"/>
  <c r="P127" i="3"/>
  <c r="S128" i="3"/>
  <c r="R128" i="3"/>
  <c r="Q128" i="3"/>
  <c r="P128" i="3"/>
  <c r="S129" i="3"/>
  <c r="R129" i="3"/>
  <c r="Q129" i="3"/>
  <c r="P129" i="3"/>
  <c r="S130" i="3"/>
  <c r="R130" i="3"/>
  <c r="Q130" i="3"/>
  <c r="P130" i="3"/>
  <c r="S131" i="3"/>
  <c r="R131" i="3"/>
  <c r="Q131" i="3"/>
  <c r="P131" i="3"/>
  <c r="S132" i="3"/>
  <c r="R132" i="3"/>
  <c r="Q132" i="3"/>
  <c r="P132" i="3"/>
  <c r="S133" i="3"/>
  <c r="R133" i="3"/>
  <c r="Q133" i="3"/>
  <c r="P133" i="3"/>
  <c r="S134" i="3"/>
  <c r="R134" i="3"/>
  <c r="Q134" i="3"/>
  <c r="P134" i="3"/>
  <c r="S135" i="3"/>
  <c r="R135" i="3"/>
  <c r="Q135" i="3"/>
  <c r="P135" i="3"/>
  <c r="S136" i="3"/>
  <c r="R136" i="3"/>
  <c r="Q136" i="3"/>
  <c r="P136" i="3"/>
  <c r="S137" i="3"/>
  <c r="R137" i="3"/>
  <c r="Q137" i="3"/>
  <c r="P137" i="3"/>
  <c r="S138" i="3"/>
  <c r="R138" i="3"/>
  <c r="Q138" i="3"/>
  <c r="P138" i="3"/>
  <c r="S139" i="3"/>
  <c r="R139" i="3"/>
  <c r="Q139" i="3"/>
  <c r="P139" i="3"/>
  <c r="S140" i="3"/>
  <c r="R140" i="3"/>
  <c r="Q140" i="3"/>
  <c r="P140" i="3"/>
  <c r="S141" i="3"/>
  <c r="R141" i="3"/>
  <c r="Q141" i="3"/>
  <c r="P141" i="3"/>
  <c r="S142" i="3"/>
  <c r="R142" i="3"/>
  <c r="Q142" i="3"/>
  <c r="P142" i="3"/>
  <c r="S143" i="3"/>
  <c r="R143" i="3"/>
  <c r="Q143" i="3"/>
  <c r="P143" i="3"/>
  <c r="S144" i="3"/>
  <c r="R144" i="3"/>
  <c r="Q144" i="3"/>
  <c r="P144" i="3"/>
  <c r="S145" i="3"/>
  <c r="R145" i="3"/>
  <c r="Q145" i="3"/>
  <c r="P145" i="3"/>
  <c r="S146" i="3"/>
  <c r="R146" i="3"/>
  <c r="Q146" i="3"/>
  <c r="P146" i="3"/>
  <c r="S147" i="3"/>
  <c r="R147" i="3"/>
  <c r="Q147" i="3"/>
  <c r="P147" i="3"/>
  <c r="S148" i="3"/>
  <c r="R148" i="3"/>
  <c r="Q148" i="3"/>
  <c r="P148" i="3"/>
  <c r="S149" i="3"/>
  <c r="R149" i="3"/>
  <c r="Q149" i="3"/>
  <c r="P149" i="3"/>
  <c r="S150" i="3"/>
  <c r="R150" i="3"/>
  <c r="Q150" i="3"/>
  <c r="P150" i="3"/>
  <c r="S151" i="3"/>
  <c r="R151" i="3"/>
  <c r="Q151" i="3"/>
  <c r="P151" i="3"/>
  <c r="S152" i="3"/>
  <c r="R152" i="3"/>
  <c r="Q152" i="3"/>
  <c r="P152" i="3"/>
  <c r="S153" i="3"/>
  <c r="R153" i="3"/>
  <c r="Q153" i="3"/>
  <c r="P153" i="3"/>
  <c r="S154" i="3"/>
  <c r="R154" i="3"/>
  <c r="Q154" i="3"/>
  <c r="P154" i="3"/>
  <c r="S155" i="3"/>
  <c r="R155" i="3"/>
  <c r="Q155" i="3"/>
  <c r="P155" i="3"/>
  <c r="S156" i="3"/>
  <c r="R156" i="3"/>
  <c r="Q156" i="3"/>
  <c r="P156" i="3"/>
  <c r="S157" i="3"/>
  <c r="R157" i="3"/>
  <c r="Q157" i="3"/>
  <c r="P157" i="3"/>
  <c r="S158" i="3"/>
  <c r="R158" i="3"/>
  <c r="Q158" i="3"/>
  <c r="P158" i="3"/>
  <c r="S159" i="3"/>
  <c r="R159" i="3"/>
  <c r="Q159" i="3"/>
  <c r="P159" i="3"/>
  <c r="S160" i="3"/>
  <c r="R160" i="3"/>
  <c r="Q160" i="3"/>
  <c r="P160" i="3"/>
  <c r="S161" i="3"/>
  <c r="R161" i="3"/>
  <c r="Q161" i="3"/>
  <c r="P161" i="3"/>
  <c r="S162" i="3"/>
  <c r="R162" i="3"/>
  <c r="Q162" i="3"/>
  <c r="P162" i="3"/>
  <c r="S163" i="3"/>
  <c r="R163" i="3"/>
  <c r="Q163" i="3"/>
  <c r="P163" i="3"/>
  <c r="S164" i="3"/>
  <c r="R164" i="3"/>
  <c r="Q164" i="3"/>
  <c r="P164" i="3"/>
  <c r="S165" i="3"/>
  <c r="R165" i="3"/>
  <c r="Q165" i="3"/>
  <c r="P165" i="3"/>
  <c r="S166" i="3"/>
  <c r="R166" i="3"/>
  <c r="Q166" i="3"/>
  <c r="P166" i="3"/>
  <c r="S167" i="3"/>
  <c r="R167" i="3"/>
  <c r="Q167" i="3"/>
  <c r="P167" i="3"/>
  <c r="S168" i="3"/>
  <c r="R168" i="3"/>
  <c r="Q168" i="3"/>
  <c r="P168" i="3"/>
  <c r="S169" i="3"/>
  <c r="R169" i="3"/>
  <c r="Q169" i="3"/>
  <c r="P169" i="3"/>
  <c r="S170" i="3"/>
  <c r="R170" i="3"/>
  <c r="Q170" i="3"/>
  <c r="P170" i="3"/>
  <c r="S171" i="3"/>
  <c r="R171" i="3"/>
  <c r="Q171" i="3"/>
  <c r="P171" i="3"/>
  <c r="S172" i="3"/>
  <c r="R172" i="3"/>
  <c r="Q172" i="3"/>
  <c r="P172" i="3"/>
  <c r="S173" i="3"/>
  <c r="R173" i="3"/>
  <c r="Q173" i="3"/>
  <c r="P173" i="3"/>
  <c r="S174" i="3"/>
  <c r="R174" i="3"/>
  <c r="Q174" i="3"/>
  <c r="P174" i="3"/>
  <c r="S175" i="3"/>
  <c r="R175" i="3"/>
  <c r="Q175" i="3"/>
  <c r="P175" i="3"/>
  <c r="S176" i="3"/>
  <c r="R176" i="3"/>
  <c r="Q176" i="3"/>
  <c r="P176" i="3"/>
  <c r="S177" i="3"/>
  <c r="R177" i="3"/>
  <c r="Q177" i="3"/>
  <c r="P177" i="3"/>
  <c r="S178" i="3"/>
  <c r="R178" i="3"/>
  <c r="Q178" i="3"/>
  <c r="P178" i="3"/>
  <c r="S179" i="3"/>
  <c r="R179" i="3"/>
  <c r="Q179" i="3"/>
  <c r="P179" i="3"/>
  <c r="S180" i="3"/>
  <c r="R180" i="3"/>
  <c r="Q180" i="3"/>
  <c r="P180" i="3"/>
  <c r="S181" i="3"/>
  <c r="R181" i="3"/>
  <c r="Q181" i="3"/>
  <c r="P181" i="3"/>
  <c r="S182" i="3"/>
  <c r="R182" i="3"/>
  <c r="Q182" i="3"/>
  <c r="P182" i="3"/>
  <c r="S183" i="3"/>
  <c r="R183" i="3"/>
  <c r="Q183" i="3"/>
  <c r="P183" i="3"/>
  <c r="C195" i="5"/>
  <c r="T195" i="5"/>
  <c r="H195" i="5"/>
  <c r="S195" i="5"/>
  <c r="G195" i="5"/>
  <c r="R195" i="5"/>
  <c r="K195" i="5"/>
  <c r="Q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P195" i="5"/>
  <c r="O195" i="5"/>
  <c r="J195" i="5"/>
  <c r="I195" i="5"/>
  <c r="F195" i="5"/>
  <c r="E195" i="5"/>
  <c r="D195" i="5"/>
  <c r="C194" i="5"/>
  <c r="T194" i="5"/>
  <c r="H194" i="5"/>
  <c r="S194" i="5"/>
  <c r="G194" i="5"/>
  <c r="R194" i="5"/>
  <c r="K194" i="5"/>
  <c r="Q194" i="5"/>
  <c r="P194" i="5"/>
  <c r="O194" i="5"/>
  <c r="J194" i="5"/>
  <c r="I194" i="5"/>
  <c r="F194" i="5"/>
  <c r="E194" i="5"/>
  <c r="D194" i="5"/>
  <c r="C193" i="5"/>
  <c r="T193" i="5"/>
  <c r="H193" i="5"/>
  <c r="S193" i="5"/>
  <c r="G193" i="5"/>
  <c r="R193" i="5"/>
  <c r="K193" i="5"/>
  <c r="Q193" i="5"/>
  <c r="P193" i="5"/>
  <c r="O193" i="5"/>
  <c r="J193" i="5"/>
  <c r="I193" i="5"/>
  <c r="F193" i="5"/>
  <c r="E193" i="5"/>
  <c r="D193" i="5"/>
  <c r="C192" i="5"/>
  <c r="T192" i="5"/>
  <c r="H192" i="5"/>
  <c r="S192" i="5"/>
  <c r="G192" i="5"/>
  <c r="R192" i="5"/>
  <c r="K192" i="5"/>
  <c r="Q192" i="5"/>
  <c r="P192" i="5"/>
  <c r="O192" i="5"/>
  <c r="J192" i="5"/>
  <c r="I192" i="5"/>
  <c r="F192" i="5"/>
  <c r="E192" i="5"/>
  <c r="D192" i="5"/>
  <c r="C191" i="5"/>
  <c r="T191" i="5"/>
  <c r="H191" i="5"/>
  <c r="S191" i="5"/>
  <c r="G191" i="5"/>
  <c r="R191" i="5"/>
  <c r="K191" i="5"/>
  <c r="Q191" i="5"/>
  <c r="P191" i="5"/>
  <c r="O191" i="5"/>
  <c r="J191" i="5"/>
  <c r="I191" i="5"/>
  <c r="F191" i="5"/>
  <c r="E191" i="5"/>
  <c r="D191" i="5"/>
  <c r="C190" i="5"/>
  <c r="T190" i="5"/>
  <c r="H190" i="5"/>
  <c r="S190" i="5"/>
  <c r="G190" i="5"/>
  <c r="R190" i="5"/>
  <c r="K190" i="5"/>
  <c r="Q190" i="5"/>
  <c r="P190" i="5"/>
  <c r="O190" i="5"/>
  <c r="J190" i="5"/>
  <c r="I190" i="5"/>
  <c r="F190" i="5"/>
  <c r="E190" i="5"/>
  <c r="D190" i="5"/>
  <c r="C189" i="5"/>
  <c r="T189" i="5"/>
  <c r="H189" i="5"/>
  <c r="S189" i="5"/>
  <c r="G189" i="5"/>
  <c r="R189" i="5"/>
  <c r="K189" i="5"/>
  <c r="Q189" i="5"/>
  <c r="P189" i="5"/>
  <c r="O189" i="5"/>
  <c r="J189" i="5"/>
  <c r="I189" i="5"/>
  <c r="F189" i="5"/>
  <c r="E189" i="5"/>
  <c r="D189" i="5"/>
  <c r="C188" i="5"/>
  <c r="T188" i="5"/>
  <c r="H188" i="5"/>
  <c r="S188" i="5"/>
  <c r="G188" i="5"/>
  <c r="R188" i="5"/>
  <c r="K188" i="5"/>
  <c r="Q188" i="5"/>
  <c r="P188" i="5"/>
  <c r="O188" i="5"/>
  <c r="J188" i="5"/>
  <c r="I188" i="5"/>
  <c r="F188" i="5"/>
  <c r="E188" i="5"/>
  <c r="D188" i="5"/>
  <c r="C187" i="5"/>
  <c r="T187" i="5"/>
  <c r="H187" i="5"/>
  <c r="S187" i="5"/>
  <c r="G187" i="5"/>
  <c r="R187" i="5"/>
  <c r="K187" i="5"/>
  <c r="Q187" i="5"/>
  <c r="P187" i="5"/>
  <c r="O187" i="5"/>
  <c r="J187" i="5"/>
  <c r="I187" i="5"/>
  <c r="F187" i="5"/>
  <c r="E187" i="5"/>
  <c r="D187" i="5"/>
  <c r="C186" i="5"/>
  <c r="T186" i="5"/>
  <c r="H186" i="5"/>
  <c r="S186" i="5"/>
  <c r="G186" i="5"/>
  <c r="R186" i="5"/>
  <c r="K186" i="5"/>
  <c r="Q186" i="5"/>
  <c r="P186" i="5"/>
  <c r="O186" i="5"/>
  <c r="J186" i="5"/>
  <c r="I186" i="5"/>
  <c r="F186" i="5"/>
  <c r="E186" i="5"/>
  <c r="D186" i="5"/>
  <c r="C185" i="5"/>
  <c r="T185" i="5"/>
  <c r="H185" i="5"/>
  <c r="S185" i="5"/>
  <c r="G185" i="5"/>
  <c r="R185" i="5"/>
  <c r="K185" i="5"/>
  <c r="Q185" i="5"/>
  <c r="P185" i="5"/>
  <c r="O185" i="5"/>
  <c r="J185" i="5"/>
  <c r="I185" i="5"/>
  <c r="F185" i="5"/>
  <c r="E185" i="5"/>
  <c r="D185" i="5"/>
  <c r="C184" i="5"/>
  <c r="T184" i="5"/>
  <c r="H184" i="5"/>
  <c r="S184" i="5"/>
  <c r="G184" i="5"/>
  <c r="R184" i="5"/>
  <c r="K184" i="5"/>
  <c r="Q184" i="5"/>
  <c r="P184" i="5"/>
  <c r="O184" i="5"/>
  <c r="J184" i="5"/>
  <c r="I184" i="5"/>
  <c r="F184" i="5"/>
  <c r="E184" i="5"/>
  <c r="D184" i="5"/>
  <c r="C183" i="5"/>
  <c r="T183" i="5"/>
  <c r="H183" i="5"/>
  <c r="S183" i="5"/>
  <c r="G183" i="5"/>
  <c r="R183" i="5"/>
  <c r="K183" i="5"/>
  <c r="Q183" i="5"/>
  <c r="P183" i="5"/>
  <c r="O183" i="5"/>
  <c r="J183" i="5"/>
  <c r="I183" i="5"/>
  <c r="F183" i="5"/>
  <c r="E183" i="5"/>
  <c r="D183" i="5"/>
  <c r="C182" i="5"/>
  <c r="T182" i="5"/>
  <c r="H182" i="5"/>
  <c r="S182" i="5"/>
  <c r="G182" i="5"/>
  <c r="R182" i="5"/>
  <c r="K182" i="5"/>
  <c r="Q182" i="5"/>
  <c r="P182" i="5"/>
  <c r="O182" i="5"/>
  <c r="J182" i="5"/>
  <c r="I182" i="5"/>
  <c r="F182" i="5"/>
  <c r="E182" i="5"/>
  <c r="D182" i="5"/>
  <c r="C181" i="5"/>
  <c r="T181" i="5"/>
  <c r="H181" i="5"/>
  <c r="S181" i="5"/>
  <c r="G181" i="5"/>
  <c r="R181" i="5"/>
  <c r="K181" i="5"/>
  <c r="Q181" i="5"/>
  <c r="P181" i="5"/>
  <c r="O181" i="5"/>
  <c r="J181" i="5"/>
  <c r="I181" i="5"/>
  <c r="F181" i="5"/>
  <c r="E181" i="5"/>
  <c r="D181" i="5"/>
  <c r="C180" i="5"/>
  <c r="T180" i="5"/>
  <c r="H180" i="5"/>
  <c r="S180" i="5"/>
  <c r="G180" i="5"/>
  <c r="R180" i="5"/>
  <c r="K180" i="5"/>
  <c r="Q180" i="5"/>
  <c r="P180" i="5"/>
  <c r="O180" i="5"/>
  <c r="J180" i="5"/>
  <c r="I180" i="5"/>
  <c r="F180" i="5"/>
  <c r="E180" i="5"/>
  <c r="D180" i="5"/>
  <c r="C179" i="5"/>
  <c r="T179" i="5"/>
  <c r="H179" i="5"/>
  <c r="S179" i="5"/>
  <c r="G179" i="5"/>
  <c r="R179" i="5"/>
  <c r="K179" i="5"/>
  <c r="Q179" i="5"/>
  <c r="P179" i="5"/>
  <c r="O179" i="5"/>
  <c r="J179" i="5"/>
  <c r="I179" i="5"/>
  <c r="F179" i="5"/>
  <c r="E179" i="5"/>
  <c r="D179" i="5"/>
  <c r="C178" i="5"/>
  <c r="T178" i="5"/>
  <c r="H178" i="5"/>
  <c r="S178" i="5"/>
  <c r="G178" i="5"/>
  <c r="R178" i="5"/>
  <c r="K178" i="5"/>
  <c r="Q178" i="5"/>
  <c r="P178" i="5"/>
  <c r="O178" i="5"/>
  <c r="J178" i="5"/>
  <c r="I178" i="5"/>
  <c r="F178" i="5"/>
  <c r="E178" i="5"/>
  <c r="D178" i="5"/>
  <c r="C177" i="5"/>
  <c r="T177" i="5"/>
  <c r="H177" i="5"/>
  <c r="S177" i="5"/>
  <c r="G177" i="5"/>
  <c r="R177" i="5"/>
  <c r="K177" i="5"/>
  <c r="Q177" i="5"/>
  <c r="P177" i="5"/>
  <c r="O177" i="5"/>
  <c r="J177" i="5"/>
  <c r="I177" i="5"/>
  <c r="F177" i="5"/>
  <c r="E177" i="5"/>
  <c r="D177" i="5"/>
  <c r="C176" i="5"/>
  <c r="T176" i="5"/>
  <c r="H176" i="5"/>
  <c r="S176" i="5"/>
  <c r="G176" i="5"/>
  <c r="R176" i="5"/>
  <c r="K176" i="5"/>
  <c r="Q176" i="5"/>
  <c r="P176" i="5"/>
  <c r="O176" i="5"/>
  <c r="J176" i="5"/>
  <c r="I176" i="5"/>
  <c r="F176" i="5"/>
  <c r="E176" i="5"/>
  <c r="D176" i="5"/>
  <c r="C175" i="5"/>
  <c r="T175" i="5"/>
  <c r="H175" i="5"/>
  <c r="S175" i="5"/>
  <c r="G175" i="5"/>
  <c r="R175" i="5"/>
  <c r="K175" i="5"/>
  <c r="Q175" i="5"/>
  <c r="P175" i="5"/>
  <c r="O175" i="5"/>
  <c r="J175" i="5"/>
  <c r="I175" i="5"/>
  <c r="F175" i="5"/>
  <c r="E175" i="5"/>
  <c r="D175" i="5"/>
  <c r="C174" i="5"/>
  <c r="T174" i="5"/>
  <c r="H174" i="5"/>
  <c r="S174" i="5"/>
  <c r="G174" i="5"/>
  <c r="R174" i="5"/>
  <c r="K174" i="5"/>
  <c r="Q174" i="5"/>
  <c r="P174" i="5"/>
  <c r="O174" i="5"/>
  <c r="J174" i="5"/>
  <c r="I174" i="5"/>
  <c r="F174" i="5"/>
  <c r="E174" i="5"/>
  <c r="D174" i="5"/>
  <c r="C173" i="5"/>
  <c r="T173" i="5"/>
  <c r="H173" i="5"/>
  <c r="S173" i="5"/>
  <c r="G173" i="5"/>
  <c r="R173" i="5"/>
  <c r="K173" i="5"/>
  <c r="Q173" i="5"/>
  <c r="P173" i="5"/>
  <c r="O173" i="5"/>
  <c r="J173" i="5"/>
  <c r="I173" i="5"/>
  <c r="F173" i="5"/>
  <c r="E173" i="5"/>
  <c r="D173" i="5"/>
  <c r="C172" i="5"/>
  <c r="T172" i="5"/>
  <c r="H172" i="5"/>
  <c r="S172" i="5"/>
  <c r="G172" i="5"/>
  <c r="R172" i="5"/>
  <c r="K172" i="5"/>
  <c r="Q172" i="5"/>
  <c r="P172" i="5"/>
  <c r="O172" i="5"/>
  <c r="J172" i="5"/>
  <c r="I172" i="5"/>
  <c r="F172" i="5"/>
  <c r="E172" i="5"/>
  <c r="D172" i="5"/>
  <c r="C171" i="5"/>
  <c r="T171" i="5"/>
  <c r="H171" i="5"/>
  <c r="S171" i="5"/>
  <c r="G171" i="5"/>
  <c r="R171" i="5"/>
  <c r="K171" i="5"/>
  <c r="Q171" i="5"/>
  <c r="P171" i="5"/>
  <c r="O171" i="5"/>
  <c r="J171" i="5"/>
  <c r="I171" i="5"/>
  <c r="F171" i="5"/>
  <c r="E171" i="5"/>
  <c r="D171" i="5"/>
  <c r="C170" i="5"/>
  <c r="T170" i="5"/>
  <c r="H170" i="5"/>
  <c r="S170" i="5"/>
  <c r="G170" i="5"/>
  <c r="R170" i="5"/>
  <c r="K170" i="5"/>
  <c r="Q170" i="5"/>
  <c r="P170" i="5"/>
  <c r="O170" i="5"/>
  <c r="J170" i="5"/>
  <c r="I170" i="5"/>
  <c r="F170" i="5"/>
  <c r="E170" i="5"/>
  <c r="D170" i="5"/>
  <c r="C169" i="5"/>
  <c r="T169" i="5"/>
  <c r="H169" i="5"/>
  <c r="S169" i="5"/>
  <c r="G169" i="5"/>
  <c r="R169" i="5"/>
  <c r="K169" i="5"/>
  <c r="Q169" i="5"/>
  <c r="P169" i="5"/>
  <c r="O169" i="5"/>
  <c r="J169" i="5"/>
  <c r="I169" i="5"/>
  <c r="F169" i="5"/>
  <c r="E169" i="5"/>
  <c r="D169" i="5"/>
  <c r="C168" i="5"/>
  <c r="T168" i="5"/>
  <c r="H168" i="5"/>
  <c r="S168" i="5"/>
  <c r="G168" i="5"/>
  <c r="R168" i="5"/>
  <c r="K168" i="5"/>
  <c r="Q168" i="5"/>
  <c r="P168" i="5"/>
  <c r="O168" i="5"/>
  <c r="J168" i="5"/>
  <c r="I168" i="5"/>
  <c r="F168" i="5"/>
  <c r="E168" i="5"/>
  <c r="D168" i="5"/>
  <c r="C167" i="5"/>
  <c r="T167" i="5"/>
  <c r="H167" i="5"/>
  <c r="S167" i="5"/>
  <c r="G167" i="5"/>
  <c r="R167" i="5"/>
  <c r="K167" i="5"/>
  <c r="Q167" i="5"/>
  <c r="P167" i="5"/>
  <c r="O167" i="5"/>
  <c r="J167" i="5"/>
  <c r="I167" i="5"/>
  <c r="F167" i="5"/>
  <c r="E167" i="5"/>
  <c r="D167" i="5"/>
  <c r="C166" i="5"/>
  <c r="T166" i="5"/>
  <c r="H166" i="5"/>
  <c r="S166" i="5"/>
  <c r="G166" i="5"/>
  <c r="R166" i="5"/>
  <c r="K166" i="5"/>
  <c r="Q166" i="5"/>
  <c r="P166" i="5"/>
  <c r="O166" i="5"/>
  <c r="J166" i="5"/>
  <c r="I166" i="5"/>
  <c r="F166" i="5"/>
  <c r="E166" i="5"/>
  <c r="D166" i="5"/>
  <c r="C165" i="5"/>
  <c r="T165" i="5"/>
  <c r="H165" i="5"/>
  <c r="S165" i="5"/>
  <c r="G165" i="5"/>
  <c r="R165" i="5"/>
  <c r="K165" i="5"/>
  <c r="Q165" i="5"/>
  <c r="P165" i="5"/>
  <c r="O165" i="5"/>
  <c r="J165" i="5"/>
  <c r="I165" i="5"/>
  <c r="F165" i="5"/>
  <c r="E165" i="5"/>
  <c r="D165" i="5"/>
  <c r="C164" i="5"/>
  <c r="T164" i="5"/>
  <c r="H164" i="5"/>
  <c r="S164" i="5"/>
  <c r="G164" i="5"/>
  <c r="R164" i="5"/>
  <c r="K164" i="5"/>
  <c r="Q164" i="5"/>
  <c r="P164" i="5"/>
  <c r="O164" i="5"/>
  <c r="J164" i="5"/>
  <c r="I164" i="5"/>
  <c r="F164" i="5"/>
  <c r="E164" i="5"/>
  <c r="D164" i="5"/>
  <c r="C163" i="5"/>
  <c r="T163" i="5"/>
  <c r="H163" i="5"/>
  <c r="S163" i="5"/>
  <c r="G163" i="5"/>
  <c r="R163" i="5"/>
  <c r="K163" i="5"/>
  <c r="Q163" i="5"/>
  <c r="P163" i="5"/>
  <c r="O163" i="5"/>
  <c r="J163" i="5"/>
  <c r="I163" i="5"/>
  <c r="F163" i="5"/>
  <c r="E163" i="5"/>
  <c r="D163" i="5"/>
  <c r="C162" i="5"/>
  <c r="T162" i="5"/>
  <c r="H162" i="5"/>
  <c r="S162" i="5"/>
  <c r="G162" i="5"/>
  <c r="R162" i="5"/>
  <c r="K162" i="5"/>
  <c r="Q162" i="5"/>
  <c r="P162" i="5"/>
  <c r="O162" i="5"/>
  <c r="J162" i="5"/>
  <c r="I162" i="5"/>
  <c r="F162" i="5"/>
  <c r="E162" i="5"/>
  <c r="D162" i="5"/>
  <c r="C161" i="5"/>
  <c r="T161" i="5"/>
  <c r="H161" i="5"/>
  <c r="S161" i="5"/>
  <c r="G161" i="5"/>
  <c r="R161" i="5"/>
  <c r="K161" i="5"/>
  <c r="Q161" i="5"/>
  <c r="P161" i="5"/>
  <c r="O161" i="5"/>
  <c r="J161" i="5"/>
  <c r="I161" i="5"/>
  <c r="F161" i="5"/>
  <c r="E161" i="5"/>
  <c r="D161" i="5"/>
  <c r="C160" i="5"/>
  <c r="T160" i="5"/>
  <c r="H160" i="5"/>
  <c r="S160" i="5"/>
  <c r="G160" i="5"/>
  <c r="R160" i="5"/>
  <c r="K160" i="5"/>
  <c r="Q160" i="5"/>
  <c r="P160" i="5"/>
  <c r="O160" i="5"/>
  <c r="J160" i="5"/>
  <c r="I160" i="5"/>
  <c r="F160" i="5"/>
  <c r="E160" i="5"/>
  <c r="D160" i="5"/>
  <c r="C159" i="5"/>
  <c r="T159" i="5"/>
  <c r="H159" i="5"/>
  <c r="S159" i="5"/>
  <c r="G159" i="5"/>
  <c r="R159" i="5"/>
  <c r="K159" i="5"/>
  <c r="Q159" i="5"/>
  <c r="P159" i="5"/>
  <c r="O159" i="5"/>
  <c r="J159" i="5"/>
  <c r="I159" i="5"/>
  <c r="F159" i="5"/>
  <c r="E159" i="5"/>
  <c r="D159" i="5"/>
  <c r="C158" i="5"/>
  <c r="T158" i="5"/>
  <c r="H158" i="5"/>
  <c r="S158" i="5"/>
  <c r="G158" i="5"/>
  <c r="R158" i="5"/>
  <c r="K158" i="5"/>
  <c r="Q158" i="5"/>
  <c r="P158" i="5"/>
  <c r="O158" i="5"/>
  <c r="J158" i="5"/>
  <c r="I158" i="5"/>
  <c r="F158" i="5"/>
  <c r="E158" i="5"/>
  <c r="D158" i="5"/>
  <c r="C157" i="5"/>
  <c r="T157" i="5"/>
  <c r="H157" i="5"/>
  <c r="S157" i="5"/>
  <c r="G157" i="5"/>
  <c r="R157" i="5"/>
  <c r="K157" i="5"/>
  <c r="Q157" i="5"/>
  <c r="P157" i="5"/>
  <c r="O157" i="5"/>
  <c r="J157" i="5"/>
  <c r="I157" i="5"/>
  <c r="F157" i="5"/>
  <c r="E157" i="5"/>
  <c r="D157" i="5"/>
  <c r="C156" i="5"/>
  <c r="T156" i="5"/>
  <c r="H156" i="5"/>
  <c r="S156" i="5"/>
  <c r="G156" i="5"/>
  <c r="R156" i="5"/>
  <c r="K156" i="5"/>
  <c r="Q156" i="5"/>
  <c r="P156" i="5"/>
  <c r="O156" i="5"/>
  <c r="J156" i="5"/>
  <c r="I156" i="5"/>
  <c r="F156" i="5"/>
  <c r="E156" i="5"/>
  <c r="D156" i="5"/>
  <c r="C155" i="5"/>
  <c r="T155" i="5"/>
  <c r="H155" i="5"/>
  <c r="S155" i="5"/>
  <c r="G155" i="5"/>
  <c r="R155" i="5"/>
  <c r="K155" i="5"/>
  <c r="Q155" i="5"/>
  <c r="P155" i="5"/>
  <c r="O155" i="5"/>
  <c r="J155" i="5"/>
  <c r="I155" i="5"/>
  <c r="F155" i="5"/>
  <c r="E155" i="5"/>
  <c r="D155" i="5"/>
  <c r="C154" i="5"/>
  <c r="T154" i="5"/>
  <c r="H154" i="5"/>
  <c r="S154" i="5"/>
  <c r="G154" i="5"/>
  <c r="R154" i="5"/>
  <c r="K154" i="5"/>
  <c r="Q154" i="5"/>
  <c r="P154" i="5"/>
  <c r="O154" i="5"/>
  <c r="J154" i="5"/>
  <c r="I154" i="5"/>
  <c r="F154" i="5"/>
  <c r="E154" i="5"/>
  <c r="D154" i="5"/>
  <c r="C153" i="5"/>
  <c r="T153" i="5"/>
  <c r="H153" i="5"/>
  <c r="S153" i="5"/>
  <c r="G153" i="5"/>
  <c r="R153" i="5"/>
  <c r="K153" i="5"/>
  <c r="Q153" i="5"/>
  <c r="P153" i="5"/>
  <c r="O153" i="5"/>
  <c r="J153" i="5"/>
  <c r="I153" i="5"/>
  <c r="F153" i="5"/>
  <c r="E153" i="5"/>
  <c r="D153" i="5"/>
  <c r="C152" i="5"/>
  <c r="T152" i="5"/>
  <c r="H152" i="5"/>
  <c r="S152" i="5"/>
  <c r="G152" i="5"/>
  <c r="R152" i="5"/>
  <c r="K152" i="5"/>
  <c r="Q152" i="5"/>
  <c r="P152" i="5"/>
  <c r="O152" i="5"/>
  <c r="J152" i="5"/>
  <c r="I152" i="5"/>
  <c r="F152" i="5"/>
  <c r="E152" i="5"/>
  <c r="D152" i="5"/>
  <c r="C151" i="5"/>
  <c r="T151" i="5"/>
  <c r="H151" i="5"/>
  <c r="S151" i="5"/>
  <c r="G151" i="5"/>
  <c r="R151" i="5"/>
  <c r="K151" i="5"/>
  <c r="Q151" i="5"/>
  <c r="P151" i="5"/>
  <c r="O151" i="5"/>
  <c r="J151" i="5"/>
  <c r="I151" i="5"/>
  <c r="F151" i="5"/>
  <c r="E151" i="5"/>
  <c r="D151" i="5"/>
  <c r="C150" i="5"/>
  <c r="T150" i="5"/>
  <c r="H150" i="5"/>
  <c r="S150" i="5"/>
  <c r="G150" i="5"/>
  <c r="R150" i="5"/>
  <c r="K150" i="5"/>
  <c r="Q150" i="5"/>
  <c r="P150" i="5"/>
  <c r="O150" i="5"/>
  <c r="J150" i="5"/>
  <c r="I150" i="5"/>
  <c r="F150" i="5"/>
  <c r="E150" i="5"/>
  <c r="D150" i="5"/>
  <c r="C149" i="5"/>
  <c r="T149" i="5"/>
  <c r="H149" i="5"/>
  <c r="S149" i="5"/>
  <c r="G149" i="5"/>
  <c r="R149" i="5"/>
  <c r="K149" i="5"/>
  <c r="Q149" i="5"/>
  <c r="P149" i="5"/>
  <c r="O149" i="5"/>
  <c r="J149" i="5"/>
  <c r="I149" i="5"/>
  <c r="F149" i="5"/>
  <c r="E149" i="5"/>
  <c r="D149" i="5"/>
  <c r="C148" i="5"/>
  <c r="T148" i="5"/>
  <c r="H148" i="5"/>
  <c r="S148" i="5"/>
  <c r="G148" i="5"/>
  <c r="R148" i="5"/>
  <c r="K148" i="5"/>
  <c r="Q148" i="5"/>
  <c r="P148" i="5"/>
  <c r="O148" i="5"/>
  <c r="J148" i="5"/>
  <c r="I148" i="5"/>
  <c r="F148" i="5"/>
  <c r="E148" i="5"/>
  <c r="D148" i="5"/>
  <c r="C147" i="5"/>
  <c r="T147" i="5"/>
  <c r="H147" i="5"/>
  <c r="S147" i="5"/>
  <c r="G147" i="5"/>
  <c r="R147" i="5"/>
  <c r="K147" i="5"/>
  <c r="Q147" i="5"/>
  <c r="P147" i="5"/>
  <c r="O147" i="5"/>
  <c r="J147" i="5"/>
  <c r="I147" i="5"/>
  <c r="F147" i="5"/>
  <c r="E147" i="5"/>
  <c r="D147" i="5"/>
  <c r="C146" i="5"/>
  <c r="T146" i="5"/>
  <c r="H146" i="5"/>
  <c r="S146" i="5"/>
  <c r="G146" i="5"/>
  <c r="R146" i="5"/>
  <c r="K146" i="5"/>
  <c r="Q146" i="5"/>
  <c r="P146" i="5"/>
  <c r="O146" i="5"/>
  <c r="J146" i="5"/>
  <c r="I146" i="5"/>
  <c r="F146" i="5"/>
  <c r="E146" i="5"/>
  <c r="D146" i="5"/>
  <c r="C145" i="5"/>
  <c r="T145" i="5"/>
  <c r="H145" i="5"/>
  <c r="S145" i="5"/>
  <c r="G145" i="5"/>
  <c r="R145" i="5"/>
  <c r="K145" i="5"/>
  <c r="Q145" i="5"/>
  <c r="P145" i="5"/>
  <c r="O145" i="5"/>
  <c r="J145" i="5"/>
  <c r="I145" i="5"/>
  <c r="F145" i="5"/>
  <c r="E145" i="5"/>
  <c r="D145" i="5"/>
  <c r="C144" i="5"/>
  <c r="T144" i="5"/>
  <c r="H144" i="5"/>
  <c r="S144" i="5"/>
  <c r="G144" i="5"/>
  <c r="R144" i="5"/>
  <c r="K144" i="5"/>
  <c r="Q144" i="5"/>
  <c r="P144" i="5"/>
  <c r="O144" i="5"/>
  <c r="J144" i="5"/>
  <c r="I144" i="5"/>
  <c r="F144" i="5"/>
  <c r="E144" i="5"/>
  <c r="D144" i="5"/>
  <c r="C143" i="5"/>
  <c r="T143" i="5"/>
  <c r="H143" i="5"/>
  <c r="S143" i="5"/>
  <c r="G143" i="5"/>
  <c r="R143" i="5"/>
  <c r="K143" i="5"/>
  <c r="Q143" i="5"/>
  <c r="P143" i="5"/>
  <c r="O143" i="5"/>
  <c r="J143" i="5"/>
  <c r="I143" i="5"/>
  <c r="F143" i="5"/>
  <c r="E143" i="5"/>
  <c r="D143" i="5"/>
  <c r="C142" i="5"/>
  <c r="T142" i="5"/>
  <c r="H142" i="5"/>
  <c r="S142" i="5"/>
  <c r="G142" i="5"/>
  <c r="R142" i="5"/>
  <c r="K142" i="5"/>
  <c r="Q142" i="5"/>
  <c r="P142" i="5"/>
  <c r="O142" i="5"/>
  <c r="J142" i="5"/>
  <c r="I142" i="5"/>
  <c r="F142" i="5"/>
  <c r="E142" i="5"/>
  <c r="D142" i="5"/>
  <c r="C141" i="5"/>
  <c r="T141" i="5"/>
  <c r="H141" i="5"/>
  <c r="S141" i="5"/>
  <c r="G141" i="5"/>
  <c r="R141" i="5"/>
  <c r="K141" i="5"/>
  <c r="Q141" i="5"/>
  <c r="P141" i="5"/>
  <c r="O141" i="5"/>
  <c r="J141" i="5"/>
  <c r="I141" i="5"/>
  <c r="F141" i="5"/>
  <c r="E141" i="5"/>
  <c r="D141" i="5"/>
  <c r="C140" i="5"/>
  <c r="T140" i="5"/>
  <c r="H140" i="5"/>
  <c r="S140" i="5"/>
  <c r="G140" i="5"/>
  <c r="R140" i="5"/>
  <c r="K140" i="5"/>
  <c r="Q140" i="5"/>
  <c r="P140" i="5"/>
  <c r="O140" i="5"/>
  <c r="J140" i="5"/>
  <c r="I140" i="5"/>
  <c r="F140" i="5"/>
  <c r="E140" i="5"/>
  <c r="D140" i="5"/>
  <c r="C139" i="5"/>
  <c r="T139" i="5"/>
  <c r="H139" i="5"/>
  <c r="S139" i="5"/>
  <c r="G139" i="5"/>
  <c r="R139" i="5"/>
  <c r="K139" i="5"/>
  <c r="Q139" i="5"/>
  <c r="P139" i="5"/>
  <c r="O139" i="5"/>
  <c r="J139" i="5"/>
  <c r="I139" i="5"/>
  <c r="F139" i="5"/>
  <c r="E139" i="5"/>
  <c r="D139" i="5"/>
  <c r="C138" i="5"/>
  <c r="T138" i="5"/>
  <c r="H138" i="5"/>
  <c r="S138" i="5"/>
  <c r="G138" i="5"/>
  <c r="R138" i="5"/>
  <c r="K138" i="5"/>
  <c r="Q138" i="5"/>
  <c r="P138" i="5"/>
  <c r="O138" i="5"/>
  <c r="J138" i="5"/>
  <c r="I138" i="5"/>
  <c r="F138" i="5"/>
  <c r="E138" i="5"/>
  <c r="D138" i="5"/>
  <c r="C137" i="5"/>
  <c r="T137" i="5"/>
  <c r="H137" i="5"/>
  <c r="S137" i="5"/>
  <c r="G137" i="5"/>
  <c r="R137" i="5"/>
  <c r="K137" i="5"/>
  <c r="Q137" i="5"/>
  <c r="P137" i="5"/>
  <c r="O137" i="5"/>
  <c r="J137" i="5"/>
  <c r="I137" i="5"/>
  <c r="F137" i="5"/>
  <c r="E137" i="5"/>
  <c r="D137" i="5"/>
  <c r="C136" i="5"/>
  <c r="T136" i="5"/>
  <c r="H136" i="5"/>
  <c r="S136" i="5"/>
  <c r="G136" i="5"/>
  <c r="R136" i="5"/>
  <c r="K136" i="5"/>
  <c r="Q136" i="5"/>
  <c r="P136" i="5"/>
  <c r="O136" i="5"/>
  <c r="J136" i="5"/>
  <c r="I136" i="5"/>
  <c r="F136" i="5"/>
  <c r="E136" i="5"/>
  <c r="D136" i="5"/>
  <c r="C135" i="5"/>
  <c r="T135" i="5"/>
  <c r="H135" i="5"/>
  <c r="S135" i="5"/>
  <c r="G135" i="5"/>
  <c r="R135" i="5"/>
  <c r="K135" i="5"/>
  <c r="Q135" i="5"/>
  <c r="P135" i="5"/>
  <c r="O135" i="5"/>
  <c r="J135" i="5"/>
  <c r="I135" i="5"/>
  <c r="F135" i="5"/>
  <c r="E135" i="5"/>
  <c r="D135" i="5"/>
  <c r="C134" i="5"/>
  <c r="T134" i="5"/>
  <c r="H134" i="5"/>
  <c r="S134" i="5"/>
  <c r="G134" i="5"/>
  <c r="R134" i="5"/>
  <c r="K134" i="5"/>
  <c r="Q134" i="5"/>
  <c r="P134" i="5"/>
  <c r="O134" i="5"/>
  <c r="J134" i="5"/>
  <c r="I134" i="5"/>
  <c r="F134" i="5"/>
  <c r="E134" i="5"/>
  <c r="D134" i="5"/>
  <c r="C133" i="5"/>
  <c r="T133" i="5"/>
  <c r="H133" i="5"/>
  <c r="S133" i="5"/>
  <c r="G133" i="5"/>
  <c r="R133" i="5"/>
  <c r="K133" i="5"/>
  <c r="Q133" i="5"/>
  <c r="P133" i="5"/>
  <c r="O133" i="5"/>
  <c r="J133" i="5"/>
  <c r="I133" i="5"/>
  <c r="F133" i="5"/>
  <c r="E133" i="5"/>
  <c r="D133" i="5"/>
  <c r="C132" i="5"/>
  <c r="T132" i="5"/>
  <c r="H132" i="5"/>
  <c r="S132" i="5"/>
  <c r="G132" i="5"/>
  <c r="R132" i="5"/>
  <c r="K132" i="5"/>
  <c r="Q132" i="5"/>
  <c r="P132" i="5"/>
  <c r="O132" i="5"/>
  <c r="J132" i="5"/>
  <c r="I132" i="5"/>
  <c r="F132" i="5"/>
  <c r="E132" i="5"/>
  <c r="D132" i="5"/>
  <c r="C131" i="5"/>
  <c r="T131" i="5"/>
  <c r="H131" i="5"/>
  <c r="S131" i="5"/>
  <c r="G131" i="5"/>
  <c r="R131" i="5"/>
  <c r="K131" i="5"/>
  <c r="Q131" i="5"/>
  <c r="P131" i="5"/>
  <c r="O131" i="5"/>
  <c r="J131" i="5"/>
  <c r="I131" i="5"/>
  <c r="F131" i="5"/>
  <c r="E131" i="5"/>
  <c r="D131" i="5"/>
  <c r="C130" i="5"/>
  <c r="T130" i="5"/>
  <c r="H130" i="5"/>
  <c r="S130" i="5"/>
  <c r="G130" i="5"/>
  <c r="R130" i="5"/>
  <c r="K130" i="5"/>
  <c r="Q130" i="5"/>
  <c r="P130" i="5"/>
  <c r="O130" i="5"/>
  <c r="J130" i="5"/>
  <c r="I130" i="5"/>
  <c r="F130" i="5"/>
  <c r="E130" i="5"/>
  <c r="D130" i="5"/>
  <c r="C129" i="5"/>
  <c r="T129" i="5"/>
  <c r="H129" i="5"/>
  <c r="S129" i="5"/>
  <c r="G129" i="5"/>
  <c r="R129" i="5"/>
  <c r="K129" i="5"/>
  <c r="Q129" i="5"/>
  <c r="P129" i="5"/>
  <c r="O129" i="5"/>
  <c r="J129" i="5"/>
  <c r="I129" i="5"/>
  <c r="F129" i="5"/>
  <c r="E129" i="5"/>
  <c r="D129" i="5"/>
  <c r="C128" i="5"/>
  <c r="T128" i="5"/>
  <c r="H128" i="5"/>
  <c r="S128" i="5"/>
  <c r="G128" i="5"/>
  <c r="R128" i="5"/>
  <c r="K128" i="5"/>
  <c r="Q128" i="5"/>
  <c r="P128" i="5"/>
  <c r="O128" i="5"/>
  <c r="J128" i="5"/>
  <c r="I128" i="5"/>
  <c r="F128" i="5"/>
  <c r="E128" i="5"/>
  <c r="D128" i="5"/>
  <c r="C127" i="5"/>
  <c r="T127" i="5"/>
  <c r="H127" i="5"/>
  <c r="S127" i="5"/>
  <c r="G127" i="5"/>
  <c r="R127" i="5"/>
  <c r="K127" i="5"/>
  <c r="Q127" i="5"/>
  <c r="P127" i="5"/>
  <c r="O127" i="5"/>
  <c r="J127" i="5"/>
  <c r="I127" i="5"/>
  <c r="F127" i="5"/>
  <c r="E127" i="5"/>
  <c r="D127" i="5"/>
  <c r="C126" i="5"/>
  <c r="T126" i="5"/>
  <c r="H126" i="5"/>
  <c r="S126" i="5"/>
  <c r="G126" i="5"/>
  <c r="R126" i="5"/>
  <c r="K126" i="5"/>
  <c r="Q126" i="5"/>
  <c r="P126" i="5"/>
  <c r="O126" i="5"/>
  <c r="J126" i="5"/>
  <c r="I126" i="5"/>
  <c r="F126" i="5"/>
  <c r="E126" i="5"/>
  <c r="D126" i="5"/>
  <c r="C125" i="5"/>
  <c r="T125" i="5"/>
  <c r="H125" i="5"/>
  <c r="S125" i="5"/>
  <c r="G125" i="5"/>
  <c r="R125" i="5"/>
  <c r="K125" i="5"/>
  <c r="Q125" i="5"/>
  <c r="P125" i="5"/>
  <c r="O125" i="5"/>
  <c r="J125" i="5"/>
  <c r="I125" i="5"/>
  <c r="F125" i="5"/>
  <c r="E125" i="5"/>
  <c r="D125" i="5"/>
  <c r="C124" i="5"/>
  <c r="T124" i="5"/>
  <c r="H124" i="5"/>
  <c r="S124" i="5"/>
  <c r="G124" i="5"/>
  <c r="R124" i="5"/>
  <c r="K124" i="5"/>
  <c r="Q124" i="5"/>
  <c r="P124" i="5"/>
  <c r="O124" i="5"/>
  <c r="J124" i="5"/>
  <c r="I124" i="5"/>
  <c r="F124" i="5"/>
  <c r="E124" i="5"/>
  <c r="D124" i="5"/>
  <c r="C123" i="5"/>
  <c r="T123" i="5"/>
  <c r="H123" i="5"/>
  <c r="S123" i="5"/>
  <c r="G123" i="5"/>
  <c r="R123" i="5"/>
  <c r="K123" i="5"/>
  <c r="Q123" i="5"/>
  <c r="P123" i="5"/>
  <c r="O123" i="5"/>
  <c r="J123" i="5"/>
  <c r="I123" i="5"/>
  <c r="F123" i="5"/>
  <c r="E123" i="5"/>
  <c r="D123" i="5"/>
  <c r="C122" i="5"/>
  <c r="T122" i="5"/>
  <c r="H122" i="5"/>
  <c r="S122" i="5"/>
  <c r="G122" i="5"/>
  <c r="R122" i="5"/>
  <c r="K122" i="5"/>
  <c r="Q122" i="5"/>
  <c r="P122" i="5"/>
  <c r="O122" i="5"/>
  <c r="J122" i="5"/>
  <c r="I122" i="5"/>
  <c r="F122" i="5"/>
  <c r="E122" i="5"/>
  <c r="D122" i="5"/>
  <c r="C121" i="5"/>
  <c r="T121" i="5"/>
  <c r="H121" i="5"/>
  <c r="S121" i="5"/>
  <c r="G121" i="5"/>
  <c r="R121" i="5"/>
  <c r="K121" i="5"/>
  <c r="Q121" i="5"/>
  <c r="P121" i="5"/>
  <c r="O121" i="5"/>
  <c r="J121" i="5"/>
  <c r="I121" i="5"/>
  <c r="F121" i="5"/>
  <c r="E121" i="5"/>
  <c r="D121" i="5"/>
  <c r="C120" i="5"/>
  <c r="T120" i="5"/>
  <c r="H120" i="5"/>
  <c r="S120" i="5"/>
  <c r="G120" i="5"/>
  <c r="R120" i="5"/>
  <c r="K120" i="5"/>
  <c r="Q120" i="5"/>
  <c r="P120" i="5"/>
  <c r="O120" i="5"/>
  <c r="J120" i="5"/>
  <c r="I120" i="5"/>
  <c r="F120" i="5"/>
  <c r="E120" i="5"/>
  <c r="D120" i="5"/>
  <c r="C119" i="5"/>
  <c r="T119" i="5"/>
  <c r="H119" i="5"/>
  <c r="S119" i="5"/>
  <c r="G119" i="5"/>
  <c r="R119" i="5"/>
  <c r="K119" i="5"/>
  <c r="Q119" i="5"/>
  <c r="P119" i="5"/>
  <c r="O119" i="5"/>
  <c r="J119" i="5"/>
  <c r="I119" i="5"/>
  <c r="F119" i="5"/>
  <c r="E119" i="5"/>
  <c r="D119" i="5"/>
  <c r="C118" i="5"/>
  <c r="T118" i="5"/>
  <c r="H118" i="5"/>
  <c r="S118" i="5"/>
  <c r="G118" i="5"/>
  <c r="R118" i="5"/>
  <c r="K118" i="5"/>
  <c r="Q118" i="5"/>
  <c r="P118" i="5"/>
  <c r="O118" i="5"/>
  <c r="J118" i="5"/>
  <c r="I118" i="5"/>
  <c r="F118" i="5"/>
  <c r="E118" i="5"/>
  <c r="D118" i="5"/>
  <c r="C117" i="5"/>
  <c r="T117" i="5"/>
  <c r="H117" i="5"/>
  <c r="S117" i="5"/>
  <c r="G117" i="5"/>
  <c r="R117" i="5"/>
  <c r="K117" i="5"/>
  <c r="Q117" i="5"/>
  <c r="P117" i="5"/>
  <c r="O117" i="5"/>
  <c r="J117" i="5"/>
  <c r="I117" i="5"/>
  <c r="F117" i="5"/>
  <c r="E117" i="5"/>
  <c r="D117" i="5"/>
  <c r="C116" i="5"/>
  <c r="T116" i="5"/>
  <c r="H116" i="5"/>
  <c r="S116" i="5"/>
  <c r="G116" i="5"/>
  <c r="R116" i="5"/>
  <c r="K116" i="5"/>
  <c r="Q116" i="5"/>
  <c r="P116" i="5"/>
  <c r="O116" i="5"/>
  <c r="J116" i="5"/>
  <c r="I116" i="5"/>
  <c r="F116" i="5"/>
  <c r="E116" i="5"/>
  <c r="D116" i="5"/>
  <c r="C115" i="5"/>
  <c r="T115" i="5"/>
  <c r="H115" i="5"/>
  <c r="S115" i="5"/>
  <c r="G115" i="5"/>
  <c r="R115" i="5"/>
  <c r="K115" i="5"/>
  <c r="Q115" i="5"/>
  <c r="P115" i="5"/>
  <c r="O115" i="5"/>
  <c r="J115" i="5"/>
  <c r="I115" i="5"/>
  <c r="F115" i="5"/>
  <c r="E115" i="5"/>
  <c r="D115" i="5"/>
  <c r="C114" i="5"/>
  <c r="T114" i="5"/>
  <c r="H114" i="5"/>
  <c r="S114" i="5"/>
  <c r="G114" i="5"/>
  <c r="R114" i="5"/>
  <c r="K114" i="5"/>
  <c r="Q114" i="5"/>
  <c r="P114" i="5"/>
  <c r="O114" i="5"/>
  <c r="J114" i="5"/>
  <c r="I114" i="5"/>
  <c r="F114" i="5"/>
  <c r="E114" i="5"/>
  <c r="D114" i="5"/>
  <c r="C113" i="5"/>
  <c r="T113" i="5"/>
  <c r="H113" i="5"/>
  <c r="S113" i="5"/>
  <c r="G113" i="5"/>
  <c r="R113" i="5"/>
  <c r="K113" i="5"/>
  <c r="Q113" i="5"/>
  <c r="P113" i="5"/>
  <c r="O113" i="5"/>
  <c r="J113" i="5"/>
  <c r="I113" i="5"/>
  <c r="F113" i="5"/>
  <c r="E113" i="5"/>
  <c r="D113" i="5"/>
  <c r="C112" i="5"/>
  <c r="T112" i="5"/>
  <c r="H112" i="5"/>
  <c r="S112" i="5"/>
  <c r="G112" i="5"/>
  <c r="R112" i="5"/>
  <c r="K112" i="5"/>
  <c r="Q112" i="5"/>
  <c r="P112" i="5"/>
  <c r="O112" i="5"/>
  <c r="J112" i="5"/>
  <c r="I112" i="5"/>
  <c r="F112" i="5"/>
  <c r="E112" i="5"/>
  <c r="D112" i="5"/>
  <c r="C111" i="5"/>
  <c r="T111" i="5"/>
  <c r="H111" i="5"/>
  <c r="S111" i="5"/>
  <c r="G111" i="5"/>
  <c r="R111" i="5"/>
  <c r="K111" i="5"/>
  <c r="Q111" i="5"/>
  <c r="P111" i="5"/>
  <c r="O111" i="5"/>
  <c r="J111" i="5"/>
  <c r="I111" i="5"/>
  <c r="F111" i="5"/>
  <c r="E111" i="5"/>
  <c r="D111" i="5"/>
  <c r="C110" i="5"/>
  <c r="T110" i="5"/>
  <c r="H110" i="5"/>
  <c r="S110" i="5"/>
  <c r="G110" i="5"/>
  <c r="R110" i="5"/>
  <c r="K110" i="5"/>
  <c r="Q110" i="5"/>
  <c r="P110" i="5"/>
  <c r="O110" i="5"/>
  <c r="J110" i="5"/>
  <c r="I110" i="5"/>
  <c r="F110" i="5"/>
  <c r="E110" i="5"/>
  <c r="D110" i="5"/>
  <c r="C109" i="5"/>
  <c r="T109" i="5"/>
  <c r="H109" i="5"/>
  <c r="S109" i="5"/>
  <c r="G109" i="5"/>
  <c r="R109" i="5"/>
  <c r="K109" i="5"/>
  <c r="Q109" i="5"/>
  <c r="P109" i="5"/>
  <c r="O109" i="5"/>
  <c r="J109" i="5"/>
  <c r="I109" i="5"/>
  <c r="F109" i="5"/>
  <c r="E109" i="5"/>
  <c r="D109" i="5"/>
  <c r="C108" i="5"/>
  <c r="T108" i="5"/>
  <c r="H108" i="5"/>
  <c r="S108" i="5"/>
  <c r="G108" i="5"/>
  <c r="R108" i="5"/>
  <c r="K108" i="5"/>
  <c r="Q108" i="5"/>
  <c r="P108" i="5"/>
  <c r="O108" i="5"/>
  <c r="J108" i="5"/>
  <c r="I108" i="5"/>
  <c r="F108" i="5"/>
  <c r="E108" i="5"/>
  <c r="D108" i="5"/>
  <c r="C107" i="5"/>
  <c r="T107" i="5"/>
  <c r="H107" i="5"/>
  <c r="S107" i="5"/>
  <c r="G107" i="5"/>
  <c r="R107" i="5"/>
  <c r="K107" i="5"/>
  <c r="Q107" i="5"/>
  <c r="P107" i="5"/>
  <c r="O107" i="5"/>
  <c r="J107" i="5"/>
  <c r="I107" i="5"/>
  <c r="F107" i="5"/>
  <c r="E107" i="5"/>
  <c r="D107" i="5"/>
  <c r="C106" i="5"/>
  <c r="T106" i="5"/>
  <c r="H106" i="5"/>
  <c r="S106" i="5"/>
  <c r="G106" i="5"/>
  <c r="R106" i="5"/>
  <c r="K106" i="5"/>
  <c r="Q106" i="5"/>
  <c r="P106" i="5"/>
  <c r="O106" i="5"/>
  <c r="J106" i="5"/>
  <c r="I106" i="5"/>
  <c r="F106" i="5"/>
  <c r="E106" i="5"/>
  <c r="D106" i="5"/>
  <c r="C105" i="5"/>
  <c r="T105" i="5"/>
  <c r="H105" i="5"/>
  <c r="S105" i="5"/>
  <c r="G105" i="5"/>
  <c r="R105" i="5"/>
  <c r="K105" i="5"/>
  <c r="Q105" i="5"/>
  <c r="P105" i="5"/>
  <c r="O105" i="5"/>
  <c r="J105" i="5"/>
  <c r="I105" i="5"/>
  <c r="F105" i="5"/>
  <c r="E105" i="5"/>
  <c r="D105" i="5"/>
  <c r="C104" i="5"/>
  <c r="T104" i="5"/>
  <c r="H104" i="5"/>
  <c r="S104" i="5"/>
  <c r="G104" i="5"/>
  <c r="R104" i="5"/>
  <c r="K104" i="5"/>
  <c r="Q104" i="5"/>
  <c r="P104" i="5"/>
  <c r="O104" i="5"/>
  <c r="J104" i="5"/>
  <c r="I104" i="5"/>
  <c r="F104" i="5"/>
  <c r="E104" i="5"/>
  <c r="D104" i="5"/>
  <c r="C103" i="5"/>
  <c r="T103" i="5"/>
  <c r="H103" i="5"/>
  <c r="S103" i="5"/>
  <c r="G103" i="5"/>
  <c r="R103" i="5"/>
  <c r="K103" i="5"/>
  <c r="Q103" i="5"/>
  <c r="P103" i="5"/>
  <c r="O103" i="5"/>
  <c r="J103" i="5"/>
  <c r="I103" i="5"/>
  <c r="F103" i="5"/>
  <c r="E103" i="5"/>
  <c r="D103" i="5"/>
  <c r="C102" i="5"/>
  <c r="T102" i="5"/>
  <c r="H102" i="5"/>
  <c r="S102" i="5"/>
  <c r="G102" i="5"/>
  <c r="R102" i="5"/>
  <c r="K102" i="5"/>
  <c r="Q102" i="5"/>
  <c r="P102" i="5"/>
  <c r="O102" i="5"/>
  <c r="J102" i="5"/>
  <c r="I102" i="5"/>
  <c r="F102" i="5"/>
  <c r="E102" i="5"/>
  <c r="D102" i="5"/>
  <c r="C101" i="5"/>
  <c r="T101" i="5"/>
  <c r="H101" i="5"/>
  <c r="S101" i="5"/>
  <c r="G101" i="5"/>
  <c r="R101" i="5"/>
  <c r="K101" i="5"/>
  <c r="Q101" i="5"/>
  <c r="P101" i="5"/>
  <c r="O101" i="5"/>
  <c r="J101" i="5"/>
  <c r="I101" i="5"/>
  <c r="F101" i="5"/>
  <c r="E101" i="5"/>
  <c r="D101" i="5"/>
  <c r="C100" i="5"/>
  <c r="T100" i="5"/>
  <c r="H100" i="5"/>
  <c r="S100" i="5"/>
  <c r="G100" i="5"/>
  <c r="R100" i="5"/>
  <c r="K100" i="5"/>
  <c r="Q100" i="5"/>
  <c r="P100" i="5"/>
  <c r="O100" i="5"/>
  <c r="J100" i="5"/>
  <c r="I100" i="5"/>
  <c r="F100" i="5"/>
  <c r="E100" i="5"/>
  <c r="D100" i="5"/>
  <c r="C99" i="5"/>
  <c r="T99" i="5"/>
  <c r="H99" i="5"/>
  <c r="S99" i="5"/>
  <c r="G99" i="5"/>
  <c r="R99" i="5"/>
  <c r="K99" i="5"/>
  <c r="Q99" i="5"/>
  <c r="P99" i="5"/>
  <c r="O99" i="5"/>
  <c r="J99" i="5"/>
  <c r="I99" i="5"/>
  <c r="F99" i="5"/>
  <c r="E99" i="5"/>
  <c r="D99" i="5"/>
  <c r="C98" i="5"/>
  <c r="T98" i="5"/>
  <c r="H98" i="5"/>
  <c r="S98" i="5"/>
  <c r="G98" i="5"/>
  <c r="R98" i="5"/>
  <c r="K98" i="5"/>
  <c r="Q98" i="5"/>
  <c r="P98" i="5"/>
  <c r="O98" i="5"/>
  <c r="J98" i="5"/>
  <c r="I98" i="5"/>
  <c r="F98" i="5"/>
  <c r="E98" i="5"/>
  <c r="D98" i="5"/>
  <c r="C97" i="5"/>
  <c r="T97" i="5"/>
  <c r="H97" i="5"/>
  <c r="S97" i="5"/>
  <c r="G97" i="5"/>
  <c r="R97" i="5"/>
  <c r="K97" i="5"/>
  <c r="Q97" i="5"/>
  <c r="P97" i="5"/>
  <c r="O97" i="5"/>
  <c r="J97" i="5"/>
  <c r="I97" i="5"/>
  <c r="F97" i="5"/>
  <c r="E97" i="5"/>
  <c r="D97" i="5"/>
  <c r="C96" i="5"/>
  <c r="T96" i="5"/>
  <c r="H96" i="5"/>
  <c r="S96" i="5"/>
  <c r="G96" i="5"/>
  <c r="R96" i="5"/>
  <c r="K96" i="5"/>
  <c r="Q96" i="5"/>
  <c r="P96" i="5"/>
  <c r="O96" i="5"/>
  <c r="J96" i="5"/>
  <c r="I96" i="5"/>
  <c r="F96" i="5"/>
  <c r="E96" i="5"/>
  <c r="D96" i="5"/>
  <c r="C95" i="5"/>
  <c r="T95" i="5"/>
  <c r="H95" i="5"/>
  <c r="S95" i="5"/>
  <c r="G95" i="5"/>
  <c r="R95" i="5"/>
  <c r="K95" i="5"/>
  <c r="Q95" i="5"/>
  <c r="P95" i="5"/>
  <c r="O95" i="5"/>
  <c r="J95" i="5"/>
  <c r="I95" i="5"/>
  <c r="F95" i="5"/>
  <c r="E95" i="5"/>
  <c r="D95" i="5"/>
  <c r="C94" i="5"/>
  <c r="T94" i="5"/>
  <c r="H94" i="5"/>
  <c r="S94" i="5"/>
  <c r="G94" i="5"/>
  <c r="R94" i="5"/>
  <c r="K94" i="5"/>
  <c r="Q94" i="5"/>
  <c r="P94" i="5"/>
  <c r="O94" i="5"/>
  <c r="J94" i="5"/>
  <c r="I94" i="5"/>
  <c r="F94" i="5"/>
  <c r="E94" i="5"/>
  <c r="D94" i="5"/>
  <c r="C93" i="5"/>
  <c r="T93" i="5"/>
  <c r="H93" i="5"/>
  <c r="S93" i="5"/>
  <c r="G93" i="5"/>
  <c r="R93" i="5"/>
  <c r="K93" i="5"/>
  <c r="Q93" i="5"/>
  <c r="P93" i="5"/>
  <c r="O93" i="5"/>
  <c r="J93" i="5"/>
  <c r="I93" i="5"/>
  <c r="F93" i="5"/>
  <c r="E93" i="5"/>
  <c r="D93" i="5"/>
  <c r="C92" i="5"/>
  <c r="T92" i="5"/>
  <c r="H92" i="5"/>
  <c r="S92" i="5"/>
  <c r="G92" i="5"/>
  <c r="R92" i="5"/>
  <c r="K92" i="5"/>
  <c r="Q92" i="5"/>
  <c r="P92" i="5"/>
  <c r="O92" i="5"/>
  <c r="J92" i="5"/>
  <c r="I92" i="5"/>
  <c r="F92" i="5"/>
  <c r="E92" i="5"/>
  <c r="D92" i="5"/>
  <c r="C91" i="5"/>
  <c r="T91" i="5"/>
  <c r="H91" i="5"/>
  <c r="S91" i="5"/>
  <c r="G91" i="5"/>
  <c r="R91" i="5"/>
  <c r="K91" i="5"/>
  <c r="Q91" i="5"/>
  <c r="P91" i="5"/>
  <c r="O91" i="5"/>
  <c r="J91" i="5"/>
  <c r="I91" i="5"/>
  <c r="F91" i="5"/>
  <c r="E91" i="5"/>
  <c r="D91" i="5"/>
  <c r="C90" i="5"/>
  <c r="T90" i="5"/>
  <c r="H90" i="5"/>
  <c r="S90" i="5"/>
  <c r="G90" i="5"/>
  <c r="R90" i="5"/>
  <c r="K90" i="5"/>
  <c r="Q90" i="5"/>
  <c r="P90" i="5"/>
  <c r="O90" i="5"/>
  <c r="J90" i="5"/>
  <c r="I90" i="5"/>
  <c r="F90" i="5"/>
  <c r="E90" i="5"/>
  <c r="D90" i="5"/>
  <c r="C89" i="5"/>
  <c r="T89" i="5"/>
  <c r="H89" i="5"/>
  <c r="S89" i="5"/>
  <c r="G89" i="5"/>
  <c r="R89" i="5"/>
  <c r="K89" i="5"/>
  <c r="Q89" i="5"/>
  <c r="P89" i="5"/>
  <c r="O89" i="5"/>
  <c r="J89" i="5"/>
  <c r="I89" i="5"/>
  <c r="F89" i="5"/>
  <c r="E89" i="5"/>
  <c r="D89" i="5"/>
  <c r="C88" i="5"/>
  <c r="T88" i="5"/>
  <c r="H88" i="5"/>
  <c r="S88" i="5"/>
  <c r="G88" i="5"/>
  <c r="R88" i="5"/>
  <c r="K88" i="5"/>
  <c r="Q88" i="5"/>
  <c r="P88" i="5"/>
  <c r="O88" i="5"/>
  <c r="J88" i="5"/>
  <c r="I88" i="5"/>
  <c r="F88" i="5"/>
  <c r="E88" i="5"/>
  <c r="D88" i="5"/>
  <c r="C87" i="5"/>
  <c r="T87" i="5"/>
  <c r="H87" i="5"/>
  <c r="S87" i="5"/>
  <c r="G87" i="5"/>
  <c r="R87" i="5"/>
  <c r="K87" i="5"/>
  <c r="Q87" i="5"/>
  <c r="P87" i="5"/>
  <c r="O87" i="5"/>
  <c r="J87" i="5"/>
  <c r="I87" i="5"/>
  <c r="F87" i="5"/>
  <c r="E87" i="5"/>
  <c r="D87" i="5"/>
  <c r="C86" i="5"/>
  <c r="T86" i="5"/>
  <c r="H86" i="5"/>
  <c r="S86" i="5"/>
  <c r="G86" i="5"/>
  <c r="R86" i="5"/>
  <c r="K86" i="5"/>
  <c r="Q86" i="5"/>
  <c r="P86" i="5"/>
  <c r="O86" i="5"/>
  <c r="J86" i="5"/>
  <c r="I86" i="5"/>
  <c r="F86" i="5"/>
  <c r="E86" i="5"/>
  <c r="D86" i="5"/>
  <c r="C85" i="5"/>
  <c r="T85" i="5"/>
  <c r="H85" i="5"/>
  <c r="S85" i="5"/>
  <c r="G85" i="5"/>
  <c r="R85" i="5"/>
  <c r="K85" i="5"/>
  <c r="Q85" i="5"/>
  <c r="P85" i="5"/>
  <c r="O85" i="5"/>
  <c r="J85" i="5"/>
  <c r="I85" i="5"/>
  <c r="F85" i="5"/>
  <c r="E85" i="5"/>
  <c r="D85" i="5"/>
  <c r="C84" i="5"/>
  <c r="T84" i="5"/>
  <c r="H84" i="5"/>
  <c r="S84" i="5"/>
  <c r="G84" i="5"/>
  <c r="R84" i="5"/>
  <c r="K84" i="5"/>
  <c r="Q84" i="5"/>
  <c r="P84" i="5"/>
  <c r="O84" i="5"/>
  <c r="J84" i="5"/>
  <c r="I84" i="5"/>
  <c r="F84" i="5"/>
  <c r="E84" i="5"/>
  <c r="D84" i="5"/>
  <c r="C83" i="5"/>
  <c r="T83" i="5"/>
  <c r="H83" i="5"/>
  <c r="S83" i="5"/>
  <c r="G83" i="5"/>
  <c r="R83" i="5"/>
  <c r="K83" i="5"/>
  <c r="Q83" i="5"/>
  <c r="P83" i="5"/>
  <c r="O83" i="5"/>
  <c r="J83" i="5"/>
  <c r="I83" i="5"/>
  <c r="F83" i="5"/>
  <c r="E83" i="5"/>
  <c r="D83" i="5"/>
  <c r="C82" i="5"/>
  <c r="T82" i="5"/>
  <c r="H82" i="5"/>
  <c r="S82" i="5"/>
  <c r="G82" i="5"/>
  <c r="R82" i="5"/>
  <c r="K82" i="5"/>
  <c r="Q82" i="5"/>
  <c r="P82" i="5"/>
  <c r="O82" i="5"/>
  <c r="J82" i="5"/>
  <c r="I82" i="5"/>
  <c r="F82" i="5"/>
  <c r="E82" i="5"/>
  <c r="D82" i="5"/>
  <c r="C81" i="5"/>
  <c r="T81" i="5"/>
  <c r="H81" i="5"/>
  <c r="S81" i="5"/>
  <c r="G81" i="5"/>
  <c r="R81" i="5"/>
  <c r="K81" i="5"/>
  <c r="Q81" i="5"/>
  <c r="P81" i="5"/>
  <c r="O81" i="5"/>
  <c r="J81" i="5"/>
  <c r="I81" i="5"/>
  <c r="F81" i="5"/>
  <c r="E81" i="5"/>
  <c r="D81" i="5"/>
  <c r="C80" i="5"/>
  <c r="T80" i="5"/>
  <c r="H80" i="5"/>
  <c r="S80" i="5"/>
  <c r="G80" i="5"/>
  <c r="R80" i="5"/>
  <c r="K80" i="5"/>
  <c r="Q80" i="5"/>
  <c r="P80" i="5"/>
  <c r="O80" i="5"/>
  <c r="J80" i="5"/>
  <c r="I80" i="5"/>
  <c r="F80" i="5"/>
  <c r="E80" i="5"/>
  <c r="D80" i="5"/>
  <c r="C79" i="5"/>
  <c r="T79" i="5"/>
  <c r="H79" i="5"/>
  <c r="S79" i="5"/>
  <c r="G79" i="5"/>
  <c r="R79" i="5"/>
  <c r="K79" i="5"/>
  <c r="Q79" i="5"/>
  <c r="P79" i="5"/>
  <c r="O79" i="5"/>
  <c r="J79" i="5"/>
  <c r="I79" i="5"/>
  <c r="F79" i="5"/>
  <c r="E79" i="5"/>
  <c r="D79" i="5"/>
  <c r="C78" i="5"/>
  <c r="T78" i="5"/>
  <c r="H78" i="5"/>
  <c r="S78" i="5"/>
  <c r="G78" i="5"/>
  <c r="R78" i="5"/>
  <c r="K78" i="5"/>
  <c r="Q78" i="5"/>
  <c r="P78" i="5"/>
  <c r="O78" i="5"/>
  <c r="J78" i="5"/>
  <c r="I78" i="5"/>
  <c r="F78" i="5"/>
  <c r="E78" i="5"/>
  <c r="D78" i="5"/>
  <c r="C77" i="5"/>
  <c r="T77" i="5"/>
  <c r="H77" i="5"/>
  <c r="S77" i="5"/>
  <c r="G77" i="5"/>
  <c r="R77" i="5"/>
  <c r="K77" i="5"/>
  <c r="Q77" i="5"/>
  <c r="P77" i="5"/>
  <c r="O77" i="5"/>
  <c r="J77" i="5"/>
  <c r="I77" i="5"/>
  <c r="F77" i="5"/>
  <c r="E77" i="5"/>
  <c r="D77" i="5"/>
  <c r="C76" i="5"/>
  <c r="T76" i="5"/>
  <c r="H76" i="5"/>
  <c r="S76" i="5"/>
  <c r="G76" i="5"/>
  <c r="R76" i="5"/>
  <c r="K76" i="5"/>
  <c r="Q76" i="5"/>
  <c r="P76" i="5"/>
  <c r="O76" i="5"/>
  <c r="J76" i="5"/>
  <c r="I76" i="5"/>
  <c r="F76" i="5"/>
  <c r="E76" i="5"/>
  <c r="D76" i="5"/>
  <c r="C75" i="5"/>
  <c r="T75" i="5"/>
  <c r="H75" i="5"/>
  <c r="S75" i="5"/>
  <c r="G75" i="5"/>
  <c r="R75" i="5"/>
  <c r="K75" i="5"/>
  <c r="Q75" i="5"/>
  <c r="P75" i="5"/>
  <c r="O75" i="5"/>
  <c r="J75" i="5"/>
  <c r="I75" i="5"/>
  <c r="F75" i="5"/>
  <c r="E75" i="5"/>
  <c r="D75" i="5"/>
  <c r="C74" i="5"/>
  <c r="T74" i="5"/>
  <c r="H74" i="5"/>
  <c r="S74" i="5"/>
  <c r="G74" i="5"/>
  <c r="R74" i="5"/>
  <c r="K74" i="5"/>
  <c r="Q74" i="5"/>
  <c r="P74" i="5"/>
  <c r="O74" i="5"/>
  <c r="J74" i="5"/>
  <c r="I74" i="5"/>
  <c r="F74" i="5"/>
  <c r="E74" i="5"/>
  <c r="D74" i="5"/>
  <c r="C73" i="5"/>
  <c r="T73" i="5"/>
  <c r="H73" i="5"/>
  <c r="S73" i="5"/>
  <c r="G73" i="5"/>
  <c r="R73" i="5"/>
  <c r="K73" i="5"/>
  <c r="Q73" i="5"/>
  <c r="P73" i="5"/>
  <c r="O73" i="5"/>
  <c r="J73" i="5"/>
  <c r="I73" i="5"/>
  <c r="F73" i="5"/>
  <c r="E73" i="5"/>
  <c r="D73" i="5"/>
  <c r="C72" i="5"/>
  <c r="T72" i="5"/>
  <c r="H72" i="5"/>
  <c r="S72" i="5"/>
  <c r="G72" i="5"/>
  <c r="R72" i="5"/>
  <c r="K72" i="5"/>
  <c r="Q72" i="5"/>
  <c r="P72" i="5"/>
  <c r="O72" i="5"/>
  <c r="J72" i="5"/>
  <c r="I72" i="5"/>
  <c r="F72" i="5"/>
  <c r="E72" i="5"/>
  <c r="D72" i="5"/>
  <c r="C71" i="5"/>
  <c r="T71" i="5"/>
  <c r="H71" i="5"/>
  <c r="S71" i="5"/>
  <c r="G71" i="5"/>
  <c r="R71" i="5"/>
  <c r="K71" i="5"/>
  <c r="Q71" i="5"/>
  <c r="P71" i="5"/>
  <c r="O71" i="5"/>
  <c r="J71" i="5"/>
  <c r="I71" i="5"/>
  <c r="F71" i="5"/>
  <c r="E71" i="5"/>
  <c r="D71" i="5"/>
  <c r="C70" i="5"/>
  <c r="T70" i="5"/>
  <c r="H70" i="5"/>
  <c r="S70" i="5"/>
  <c r="G70" i="5"/>
  <c r="R70" i="5"/>
  <c r="K70" i="5"/>
  <c r="Q70" i="5"/>
  <c r="P70" i="5"/>
  <c r="O70" i="5"/>
  <c r="J70" i="5"/>
  <c r="I70" i="5"/>
  <c r="F70" i="5"/>
  <c r="E70" i="5"/>
  <c r="D70" i="5"/>
  <c r="C69" i="5"/>
  <c r="T69" i="5"/>
  <c r="H69" i="5"/>
  <c r="S69" i="5"/>
  <c r="G69" i="5"/>
  <c r="R69" i="5"/>
  <c r="K69" i="5"/>
  <c r="Q69" i="5"/>
  <c r="P69" i="5"/>
  <c r="O69" i="5"/>
  <c r="J69" i="5"/>
  <c r="I69" i="5"/>
  <c r="F69" i="5"/>
  <c r="E69" i="5"/>
  <c r="D69" i="5"/>
  <c r="C68" i="5"/>
  <c r="T68" i="5"/>
  <c r="H68" i="5"/>
  <c r="S68" i="5"/>
  <c r="G68" i="5"/>
  <c r="R68" i="5"/>
  <c r="K68" i="5"/>
  <c r="Q68" i="5"/>
  <c r="P68" i="5"/>
  <c r="O68" i="5"/>
  <c r="J68" i="5"/>
  <c r="I68" i="5"/>
  <c r="F68" i="5"/>
  <c r="E68" i="5"/>
  <c r="D68" i="5"/>
  <c r="C67" i="5"/>
  <c r="T67" i="5"/>
  <c r="H67" i="5"/>
  <c r="S67" i="5"/>
  <c r="G67" i="5"/>
  <c r="R67" i="5"/>
  <c r="K67" i="5"/>
  <c r="Q67" i="5"/>
  <c r="P67" i="5"/>
  <c r="O67" i="5"/>
  <c r="J67" i="5"/>
  <c r="I67" i="5"/>
  <c r="F67" i="5"/>
  <c r="E67" i="5"/>
  <c r="D67" i="5"/>
  <c r="C66" i="5"/>
  <c r="T66" i="5"/>
  <c r="H66" i="5"/>
  <c r="S66" i="5"/>
  <c r="G66" i="5"/>
  <c r="R66" i="5"/>
  <c r="K66" i="5"/>
  <c r="Q66" i="5"/>
  <c r="P66" i="5"/>
  <c r="O66" i="5"/>
  <c r="J66" i="5"/>
  <c r="I66" i="5"/>
  <c r="F66" i="5"/>
  <c r="E66" i="5"/>
  <c r="D66" i="5"/>
  <c r="C65" i="5"/>
  <c r="T65" i="5"/>
  <c r="H65" i="5"/>
  <c r="S65" i="5"/>
  <c r="G65" i="5"/>
  <c r="R65" i="5"/>
  <c r="K65" i="5"/>
  <c r="Q65" i="5"/>
  <c r="P65" i="5"/>
  <c r="O65" i="5"/>
  <c r="J65" i="5"/>
  <c r="I65" i="5"/>
  <c r="F65" i="5"/>
  <c r="E65" i="5"/>
  <c r="D65" i="5"/>
  <c r="C64" i="5"/>
  <c r="T64" i="5"/>
  <c r="H64" i="5"/>
  <c r="S64" i="5"/>
  <c r="G64" i="5"/>
  <c r="R64" i="5"/>
  <c r="K64" i="5"/>
  <c r="Q64" i="5"/>
  <c r="P64" i="5"/>
  <c r="O64" i="5"/>
  <c r="J64" i="5"/>
  <c r="I64" i="5"/>
  <c r="F64" i="5"/>
  <c r="E64" i="5"/>
  <c r="D64" i="5"/>
  <c r="C63" i="5"/>
  <c r="T63" i="5"/>
  <c r="H63" i="5"/>
  <c r="S63" i="5"/>
  <c r="G63" i="5"/>
  <c r="R63" i="5"/>
  <c r="K63" i="5"/>
  <c r="Q63" i="5"/>
  <c r="P63" i="5"/>
  <c r="O63" i="5"/>
  <c r="J63" i="5"/>
  <c r="I63" i="5"/>
  <c r="F63" i="5"/>
  <c r="E63" i="5"/>
  <c r="D63" i="5"/>
  <c r="C62" i="5"/>
  <c r="T62" i="5"/>
  <c r="H62" i="5"/>
  <c r="S62" i="5"/>
  <c r="G62" i="5"/>
  <c r="R62" i="5"/>
  <c r="K62" i="5"/>
  <c r="Q62" i="5"/>
  <c r="P62" i="5"/>
  <c r="O62" i="5"/>
  <c r="J62" i="5"/>
  <c r="I62" i="5"/>
  <c r="F62" i="5"/>
  <c r="E62" i="5"/>
  <c r="D62" i="5"/>
  <c r="C61" i="5"/>
  <c r="T61" i="5"/>
  <c r="H61" i="5"/>
  <c r="S61" i="5"/>
  <c r="G61" i="5"/>
  <c r="R61" i="5"/>
  <c r="K61" i="5"/>
  <c r="Q61" i="5"/>
  <c r="P61" i="5"/>
  <c r="O61" i="5"/>
  <c r="J61" i="5"/>
  <c r="I61" i="5"/>
  <c r="F61" i="5"/>
  <c r="E61" i="5"/>
  <c r="D61" i="5"/>
  <c r="C60" i="5"/>
  <c r="T60" i="5"/>
  <c r="H60" i="5"/>
  <c r="S60" i="5"/>
  <c r="G60" i="5"/>
  <c r="R60" i="5"/>
  <c r="K60" i="5"/>
  <c r="Q60" i="5"/>
  <c r="P60" i="5"/>
  <c r="O60" i="5"/>
  <c r="J60" i="5"/>
  <c r="I60" i="5"/>
  <c r="F60" i="5"/>
  <c r="E60" i="5"/>
  <c r="D60" i="5"/>
  <c r="C59" i="5"/>
  <c r="T59" i="5"/>
  <c r="H59" i="5"/>
  <c r="S59" i="5"/>
  <c r="G59" i="5"/>
  <c r="R59" i="5"/>
  <c r="K59" i="5"/>
  <c r="Q59" i="5"/>
  <c r="P59" i="5"/>
  <c r="O59" i="5"/>
  <c r="J59" i="5"/>
  <c r="I59" i="5"/>
  <c r="F59" i="5"/>
  <c r="E59" i="5"/>
  <c r="D59" i="5"/>
  <c r="C58" i="5"/>
  <c r="T58" i="5"/>
  <c r="H58" i="5"/>
  <c r="S58" i="5"/>
  <c r="G58" i="5"/>
  <c r="R58" i="5"/>
  <c r="K58" i="5"/>
  <c r="Q58" i="5"/>
  <c r="P58" i="5"/>
  <c r="O58" i="5"/>
  <c r="J58" i="5"/>
  <c r="I58" i="5"/>
  <c r="F58" i="5"/>
  <c r="E58" i="5"/>
  <c r="D58" i="5"/>
  <c r="C57" i="5"/>
  <c r="T57" i="5"/>
  <c r="H57" i="5"/>
  <c r="S57" i="5"/>
  <c r="G57" i="5"/>
  <c r="R57" i="5"/>
  <c r="K57" i="5"/>
  <c r="Q57" i="5"/>
  <c r="P57" i="5"/>
  <c r="O57" i="5"/>
  <c r="J57" i="5"/>
  <c r="I57" i="5"/>
  <c r="F57" i="5"/>
  <c r="E57" i="5"/>
  <c r="D57" i="5"/>
  <c r="C56" i="5"/>
  <c r="T56" i="5"/>
  <c r="H56" i="5"/>
  <c r="S56" i="5"/>
  <c r="G56" i="5"/>
  <c r="R56" i="5"/>
  <c r="K56" i="5"/>
  <c r="Q56" i="5"/>
  <c r="P56" i="5"/>
  <c r="O56" i="5"/>
  <c r="J56" i="5"/>
  <c r="I56" i="5"/>
  <c r="F56" i="5"/>
  <c r="E56" i="5"/>
  <c r="D56" i="5"/>
  <c r="C55" i="5"/>
  <c r="T55" i="5"/>
  <c r="H55" i="5"/>
  <c r="S55" i="5"/>
  <c r="G55" i="5"/>
  <c r="R55" i="5"/>
  <c r="K55" i="5"/>
  <c r="Q55" i="5"/>
  <c r="P55" i="5"/>
  <c r="O55" i="5"/>
  <c r="J55" i="5"/>
  <c r="I55" i="5"/>
  <c r="F55" i="5"/>
  <c r="E55" i="5"/>
  <c r="D55" i="5"/>
  <c r="C54" i="5"/>
  <c r="T54" i="5"/>
  <c r="H54" i="5"/>
  <c r="S54" i="5"/>
  <c r="G54" i="5"/>
  <c r="R54" i="5"/>
  <c r="K54" i="5"/>
  <c r="Q54" i="5"/>
  <c r="P54" i="5"/>
  <c r="O54" i="5"/>
  <c r="J54" i="5"/>
  <c r="I54" i="5"/>
  <c r="F54" i="5"/>
  <c r="E54" i="5"/>
  <c r="D54" i="5"/>
  <c r="C53" i="5"/>
  <c r="T53" i="5"/>
  <c r="H53" i="5"/>
  <c r="S53" i="5"/>
  <c r="G53" i="5"/>
  <c r="R53" i="5"/>
  <c r="K53" i="5"/>
  <c r="Q53" i="5"/>
  <c r="P53" i="5"/>
  <c r="O53" i="5"/>
  <c r="J53" i="5"/>
  <c r="I53" i="5"/>
  <c r="F53" i="5"/>
  <c r="E53" i="5"/>
  <c r="D53" i="5"/>
  <c r="C52" i="5"/>
  <c r="T52" i="5"/>
  <c r="H52" i="5"/>
  <c r="S52" i="5"/>
  <c r="G52" i="5"/>
  <c r="R52" i="5"/>
  <c r="K52" i="5"/>
  <c r="Q52" i="5"/>
  <c r="P52" i="5"/>
  <c r="O52" i="5"/>
  <c r="J52" i="5"/>
  <c r="I52" i="5"/>
  <c r="F52" i="5"/>
  <c r="E52" i="5"/>
  <c r="D52" i="5"/>
  <c r="C51" i="5"/>
  <c r="T51" i="5"/>
  <c r="H51" i="5"/>
  <c r="S51" i="5"/>
  <c r="G51" i="5"/>
  <c r="R51" i="5"/>
  <c r="K51" i="5"/>
  <c r="Q51" i="5"/>
  <c r="P51" i="5"/>
  <c r="O51" i="5"/>
  <c r="J51" i="5"/>
  <c r="I51" i="5"/>
  <c r="F51" i="5"/>
  <c r="E51" i="5"/>
  <c r="D51" i="5"/>
  <c r="C50" i="5"/>
  <c r="T50" i="5"/>
  <c r="H50" i="5"/>
  <c r="S50" i="5"/>
  <c r="G50" i="5"/>
  <c r="R50" i="5"/>
  <c r="K50" i="5"/>
  <c r="Q50" i="5"/>
  <c r="P50" i="5"/>
  <c r="O50" i="5"/>
  <c r="J50" i="5"/>
  <c r="I50" i="5"/>
  <c r="F50" i="5"/>
  <c r="E50" i="5"/>
  <c r="D50" i="5"/>
  <c r="C49" i="5"/>
  <c r="T49" i="5"/>
  <c r="H49" i="5"/>
  <c r="S49" i="5"/>
  <c r="G49" i="5"/>
  <c r="R49" i="5"/>
  <c r="K49" i="5"/>
  <c r="Q49" i="5"/>
  <c r="P49" i="5"/>
  <c r="O49" i="5"/>
  <c r="J49" i="5"/>
  <c r="I49" i="5"/>
  <c r="F49" i="5"/>
  <c r="E49" i="5"/>
  <c r="D49" i="5"/>
  <c r="C48" i="5"/>
  <c r="T48" i="5"/>
  <c r="H48" i="5"/>
  <c r="S48" i="5"/>
  <c r="G48" i="5"/>
  <c r="R48" i="5"/>
  <c r="K48" i="5"/>
  <c r="Q48" i="5"/>
  <c r="P48" i="5"/>
  <c r="O48" i="5"/>
  <c r="J48" i="5"/>
  <c r="I48" i="5"/>
  <c r="F48" i="5"/>
  <c r="E48" i="5"/>
  <c r="D48" i="5"/>
  <c r="C47" i="5"/>
  <c r="T47" i="5"/>
  <c r="H47" i="5"/>
  <c r="S47" i="5"/>
  <c r="G47" i="5"/>
  <c r="R47" i="5"/>
  <c r="K47" i="5"/>
  <c r="Q47" i="5"/>
  <c r="P47" i="5"/>
  <c r="O47" i="5"/>
  <c r="J47" i="5"/>
  <c r="I47" i="5"/>
  <c r="F47" i="5"/>
  <c r="E47" i="5"/>
  <c r="D47" i="5"/>
  <c r="C46" i="5"/>
  <c r="T46" i="5"/>
  <c r="H46" i="5"/>
  <c r="S46" i="5"/>
  <c r="G46" i="5"/>
  <c r="R46" i="5"/>
  <c r="K46" i="5"/>
  <c r="Q46" i="5"/>
  <c r="P46" i="5"/>
  <c r="O46" i="5"/>
  <c r="J46" i="5"/>
  <c r="I46" i="5"/>
  <c r="F46" i="5"/>
  <c r="E46" i="5"/>
  <c r="D46" i="5"/>
  <c r="C45" i="5"/>
  <c r="T45" i="5"/>
  <c r="H45" i="5"/>
  <c r="S45" i="5"/>
  <c r="G45" i="5"/>
  <c r="R45" i="5"/>
  <c r="K45" i="5"/>
  <c r="Q45" i="5"/>
  <c r="P45" i="5"/>
  <c r="O45" i="5"/>
  <c r="J45" i="5"/>
  <c r="I45" i="5"/>
  <c r="F45" i="5"/>
  <c r="E45" i="5"/>
  <c r="D45" i="5"/>
  <c r="C44" i="5"/>
  <c r="T44" i="5"/>
  <c r="H44" i="5"/>
  <c r="S44" i="5"/>
  <c r="G44" i="5"/>
  <c r="R44" i="5"/>
  <c r="K44" i="5"/>
  <c r="Q44" i="5"/>
  <c r="P44" i="5"/>
  <c r="O44" i="5"/>
  <c r="J44" i="5"/>
  <c r="I44" i="5"/>
  <c r="F44" i="5"/>
  <c r="E44" i="5"/>
  <c r="D44" i="5"/>
  <c r="C43" i="5"/>
  <c r="T43" i="5"/>
  <c r="H43" i="5"/>
  <c r="S43" i="5"/>
  <c r="G43" i="5"/>
  <c r="R43" i="5"/>
  <c r="K43" i="5"/>
  <c r="Q43" i="5"/>
  <c r="P43" i="5"/>
  <c r="O43" i="5"/>
  <c r="J43" i="5"/>
  <c r="I43" i="5"/>
  <c r="F43" i="5"/>
  <c r="E43" i="5"/>
  <c r="D43" i="5"/>
  <c r="C42" i="5"/>
  <c r="T42" i="5"/>
  <c r="H42" i="5"/>
  <c r="S42" i="5"/>
  <c r="G42" i="5"/>
  <c r="R42" i="5"/>
  <c r="K42" i="5"/>
  <c r="Q42" i="5"/>
  <c r="P42" i="5"/>
  <c r="O42" i="5"/>
  <c r="J42" i="5"/>
  <c r="I42" i="5"/>
  <c r="F42" i="5"/>
  <c r="E42" i="5"/>
  <c r="D42" i="5"/>
  <c r="C41" i="5"/>
  <c r="T41" i="5"/>
  <c r="H41" i="5"/>
  <c r="S41" i="5"/>
  <c r="G41" i="5"/>
  <c r="R41" i="5"/>
  <c r="K41" i="5"/>
  <c r="Q41" i="5"/>
  <c r="P41" i="5"/>
  <c r="O41" i="5"/>
  <c r="J41" i="5"/>
  <c r="I41" i="5"/>
  <c r="F41" i="5"/>
  <c r="E41" i="5"/>
  <c r="D41" i="5"/>
  <c r="C40" i="5"/>
  <c r="T40" i="5"/>
  <c r="H40" i="5"/>
  <c r="S40" i="5"/>
  <c r="G40" i="5"/>
  <c r="R40" i="5"/>
  <c r="K40" i="5"/>
  <c r="Q40" i="5"/>
  <c r="P40" i="5"/>
  <c r="O40" i="5"/>
  <c r="J40" i="5"/>
  <c r="I40" i="5"/>
  <c r="F40" i="5"/>
  <c r="E40" i="5"/>
  <c r="D40" i="5"/>
  <c r="C39" i="5"/>
  <c r="T39" i="5"/>
  <c r="H39" i="5"/>
  <c r="S39" i="5"/>
  <c r="G39" i="5"/>
  <c r="R39" i="5"/>
  <c r="K39" i="5"/>
  <c r="Q39" i="5"/>
  <c r="P39" i="5"/>
  <c r="O39" i="5"/>
  <c r="J39" i="5"/>
  <c r="I39" i="5"/>
  <c r="F39" i="5"/>
  <c r="E39" i="5"/>
  <c r="D39" i="5"/>
  <c r="C38" i="5"/>
  <c r="T38" i="5"/>
  <c r="H38" i="5"/>
  <c r="S38" i="5"/>
  <c r="G38" i="5"/>
  <c r="R38" i="5"/>
  <c r="K38" i="5"/>
  <c r="Q38" i="5"/>
  <c r="P38" i="5"/>
  <c r="O38" i="5"/>
  <c r="J38" i="5"/>
  <c r="I38" i="5"/>
  <c r="F38" i="5"/>
  <c r="E38" i="5"/>
  <c r="D38" i="5"/>
  <c r="C37" i="5"/>
  <c r="T37" i="5"/>
  <c r="H37" i="5"/>
  <c r="S37" i="5"/>
  <c r="G37" i="5"/>
  <c r="R37" i="5"/>
  <c r="K37" i="5"/>
  <c r="Q37" i="5"/>
  <c r="P37" i="5"/>
  <c r="O37" i="5"/>
  <c r="J37" i="5"/>
  <c r="I37" i="5"/>
  <c r="F37" i="5"/>
  <c r="E37" i="5"/>
  <c r="D37" i="5"/>
  <c r="C36" i="5"/>
  <c r="T36" i="5"/>
  <c r="H36" i="5"/>
  <c r="S36" i="5"/>
  <c r="G36" i="5"/>
  <c r="R36" i="5"/>
  <c r="K36" i="5"/>
  <c r="Q36" i="5"/>
  <c r="P36" i="5"/>
  <c r="O36" i="5"/>
  <c r="J36" i="5"/>
  <c r="I36" i="5"/>
  <c r="F36" i="5"/>
  <c r="E36" i="5"/>
  <c r="D36" i="5"/>
  <c r="C35" i="5"/>
  <c r="T35" i="5"/>
  <c r="H35" i="5"/>
  <c r="S35" i="5"/>
  <c r="G35" i="5"/>
  <c r="R35" i="5"/>
  <c r="K35" i="5"/>
  <c r="Q35" i="5"/>
  <c r="P35" i="5"/>
  <c r="O35" i="5"/>
  <c r="J35" i="5"/>
  <c r="I35" i="5"/>
  <c r="F35" i="5"/>
  <c r="E35" i="5"/>
  <c r="D35" i="5"/>
  <c r="C34" i="5"/>
  <c r="T34" i="5"/>
  <c r="H34" i="5"/>
  <c r="S34" i="5"/>
  <c r="G34" i="5"/>
  <c r="R34" i="5"/>
  <c r="K34" i="5"/>
  <c r="Q34" i="5"/>
  <c r="P34" i="5"/>
  <c r="O34" i="5"/>
  <c r="J34" i="5"/>
  <c r="I34" i="5"/>
  <c r="F34" i="5"/>
  <c r="E34" i="5"/>
  <c r="D34" i="5"/>
  <c r="C33" i="5"/>
  <c r="T33" i="5"/>
  <c r="H33" i="5"/>
  <c r="S33" i="5"/>
  <c r="G33" i="5"/>
  <c r="R33" i="5"/>
  <c r="K33" i="5"/>
  <c r="Q33" i="5"/>
  <c r="P33" i="5"/>
  <c r="O33" i="5"/>
  <c r="J33" i="5"/>
  <c r="I33" i="5"/>
  <c r="F33" i="5"/>
  <c r="E33" i="5"/>
  <c r="D33" i="5"/>
  <c r="C32" i="5"/>
  <c r="T32" i="5"/>
  <c r="H32" i="5"/>
  <c r="S32" i="5"/>
  <c r="G32" i="5"/>
  <c r="R32" i="5"/>
  <c r="K32" i="5"/>
  <c r="Q32" i="5"/>
  <c r="P32" i="5"/>
  <c r="O32" i="5"/>
  <c r="J32" i="5"/>
  <c r="I32" i="5"/>
  <c r="F32" i="5"/>
  <c r="E32" i="5"/>
  <c r="D32" i="5"/>
  <c r="C31" i="5"/>
  <c r="T31" i="5"/>
  <c r="H31" i="5"/>
  <c r="S31" i="5"/>
  <c r="G31" i="5"/>
  <c r="R31" i="5"/>
  <c r="K31" i="5"/>
  <c r="Q31" i="5"/>
  <c r="P31" i="5"/>
  <c r="O31" i="5"/>
  <c r="J31" i="5"/>
  <c r="I31" i="5"/>
  <c r="F31" i="5"/>
  <c r="E31" i="5"/>
  <c r="D31" i="5"/>
  <c r="C30" i="5"/>
  <c r="T30" i="5"/>
  <c r="H30" i="5"/>
  <c r="S30" i="5"/>
  <c r="G30" i="5"/>
  <c r="R30" i="5"/>
  <c r="K30" i="5"/>
  <c r="Q30" i="5"/>
  <c r="P30" i="5"/>
  <c r="O30" i="5"/>
  <c r="J30" i="5"/>
  <c r="I30" i="5"/>
  <c r="F30" i="5"/>
  <c r="E30" i="5"/>
  <c r="D30" i="5"/>
  <c r="C29" i="5"/>
  <c r="T29" i="5"/>
  <c r="H29" i="5"/>
  <c r="S29" i="5"/>
  <c r="G29" i="5"/>
  <c r="R29" i="5"/>
  <c r="K29" i="5"/>
  <c r="Q29" i="5"/>
  <c r="P29" i="5"/>
  <c r="O29" i="5"/>
  <c r="J29" i="5"/>
  <c r="I29" i="5"/>
  <c r="F29" i="5"/>
  <c r="E29" i="5"/>
  <c r="D29" i="5"/>
  <c r="C28" i="5"/>
  <c r="T28" i="5"/>
  <c r="H28" i="5"/>
  <c r="S28" i="5"/>
  <c r="G28" i="5"/>
  <c r="R28" i="5"/>
  <c r="K28" i="5"/>
  <c r="Q28" i="5"/>
  <c r="P28" i="5"/>
  <c r="O28" i="5"/>
  <c r="J28" i="5"/>
  <c r="I28" i="5"/>
  <c r="F28" i="5"/>
  <c r="E28" i="5"/>
  <c r="D28" i="5"/>
  <c r="C27" i="5"/>
  <c r="T27" i="5"/>
  <c r="H27" i="5"/>
  <c r="S27" i="5"/>
  <c r="G27" i="5"/>
  <c r="R27" i="5"/>
  <c r="K27" i="5"/>
  <c r="Q27" i="5"/>
  <c r="P27" i="5"/>
  <c r="O27" i="5"/>
  <c r="J27" i="5"/>
  <c r="I27" i="5"/>
  <c r="F27" i="5"/>
  <c r="E27" i="5"/>
  <c r="D27" i="5"/>
  <c r="C26" i="5"/>
  <c r="T26" i="5"/>
  <c r="H26" i="5"/>
  <c r="S26" i="5"/>
  <c r="G26" i="5"/>
  <c r="R26" i="5"/>
  <c r="K26" i="5"/>
  <c r="Q26" i="5"/>
  <c r="P26" i="5"/>
  <c r="O26" i="5"/>
  <c r="J26" i="5"/>
  <c r="I26" i="5"/>
  <c r="F26" i="5"/>
  <c r="E26" i="5"/>
  <c r="D26" i="5"/>
  <c r="C25" i="5"/>
  <c r="T25" i="5"/>
  <c r="H25" i="5"/>
  <c r="S25" i="5"/>
  <c r="G25" i="5"/>
  <c r="R25" i="5"/>
  <c r="K25" i="5"/>
  <c r="Q25" i="5"/>
  <c r="P25" i="5"/>
  <c r="O25" i="5"/>
  <c r="J25" i="5"/>
  <c r="I25" i="5"/>
  <c r="F25" i="5"/>
  <c r="E25" i="5"/>
  <c r="D25" i="5"/>
  <c r="C24" i="5"/>
  <c r="T24" i="5"/>
  <c r="H24" i="5"/>
  <c r="S24" i="5"/>
  <c r="G24" i="5"/>
  <c r="R24" i="5"/>
  <c r="K24" i="5"/>
  <c r="Q24" i="5"/>
  <c r="P24" i="5"/>
  <c r="O24" i="5"/>
  <c r="J24" i="5"/>
  <c r="I24" i="5"/>
  <c r="F24" i="5"/>
  <c r="E24" i="5"/>
  <c r="D24" i="5"/>
  <c r="C23" i="5"/>
  <c r="T23" i="5"/>
  <c r="H23" i="5"/>
  <c r="S23" i="5"/>
  <c r="G23" i="5"/>
  <c r="R23" i="5"/>
  <c r="K23" i="5"/>
  <c r="Q23" i="5"/>
  <c r="P23" i="5"/>
  <c r="O23" i="5"/>
  <c r="J23" i="5"/>
  <c r="I23" i="5"/>
  <c r="F23" i="5"/>
  <c r="E23" i="5"/>
  <c r="D23" i="5"/>
  <c r="C22" i="5"/>
  <c r="T22" i="5"/>
  <c r="H22" i="5"/>
  <c r="S22" i="5"/>
  <c r="G22" i="5"/>
  <c r="R22" i="5"/>
  <c r="K22" i="5"/>
  <c r="Q22" i="5"/>
  <c r="P22" i="5"/>
  <c r="O22" i="5"/>
  <c r="J22" i="5"/>
  <c r="I22" i="5"/>
  <c r="F22" i="5"/>
  <c r="E22" i="5"/>
  <c r="D22" i="5"/>
  <c r="C21" i="5"/>
  <c r="T21" i="5"/>
  <c r="H21" i="5"/>
  <c r="S21" i="5"/>
  <c r="G21" i="5"/>
  <c r="R21" i="5"/>
  <c r="K21" i="5"/>
  <c r="Q21" i="5"/>
  <c r="P21" i="5"/>
  <c r="O21" i="5"/>
  <c r="J21" i="5"/>
  <c r="I21" i="5"/>
  <c r="F21" i="5"/>
  <c r="E21" i="5"/>
  <c r="D21" i="5"/>
  <c r="C20" i="5"/>
  <c r="T20" i="5"/>
  <c r="H20" i="5"/>
  <c r="S20" i="5"/>
  <c r="G20" i="5"/>
  <c r="R20" i="5"/>
  <c r="K20" i="5"/>
  <c r="Q20" i="5"/>
  <c r="P20" i="5"/>
  <c r="O20" i="5"/>
  <c r="J20" i="5"/>
  <c r="I20" i="5"/>
  <c r="F20" i="5"/>
  <c r="E20" i="5"/>
  <c r="D20" i="5"/>
  <c r="C19" i="5"/>
  <c r="T19" i="5"/>
  <c r="H19" i="5"/>
  <c r="S19" i="5"/>
  <c r="G19" i="5"/>
  <c r="R19" i="5"/>
  <c r="K19" i="5"/>
  <c r="Q19" i="5"/>
  <c r="P19" i="5"/>
  <c r="O19" i="5"/>
  <c r="J19" i="5"/>
  <c r="I19" i="5"/>
  <c r="F19" i="5"/>
  <c r="E19" i="5"/>
  <c r="D19" i="5"/>
  <c r="C18" i="5"/>
  <c r="T18" i="5"/>
  <c r="H18" i="5"/>
  <c r="S18" i="5"/>
  <c r="G18" i="5"/>
  <c r="R18" i="5"/>
  <c r="K18" i="5"/>
  <c r="Q18" i="5"/>
  <c r="P18" i="5"/>
  <c r="O18" i="5"/>
  <c r="J18" i="5"/>
  <c r="I18" i="5"/>
  <c r="F18" i="5"/>
  <c r="E18" i="5"/>
  <c r="D18" i="5"/>
  <c r="C17" i="5"/>
  <c r="T17" i="5"/>
  <c r="H17" i="5"/>
  <c r="S17" i="5"/>
  <c r="G17" i="5"/>
  <c r="R17" i="5"/>
  <c r="K17" i="5"/>
  <c r="Q17" i="5"/>
  <c r="P17" i="5"/>
  <c r="O17" i="5"/>
  <c r="J17" i="5"/>
  <c r="I17" i="5"/>
  <c r="F17" i="5"/>
  <c r="E17" i="5"/>
  <c r="D17" i="5"/>
  <c r="C16" i="5"/>
  <c r="T16" i="5"/>
  <c r="H16" i="5"/>
  <c r="S16" i="5"/>
  <c r="G16" i="5"/>
  <c r="R16" i="5"/>
  <c r="K16" i="5"/>
  <c r="Q16" i="5"/>
  <c r="P16" i="5"/>
  <c r="A16" i="5"/>
  <c r="O16" i="5"/>
  <c r="J16" i="5"/>
  <c r="I16" i="5"/>
  <c r="F16" i="5"/>
  <c r="E16" i="5"/>
  <c r="D16" i="5"/>
  <c r="D12" i="5"/>
  <c r="D11" i="5"/>
  <c r="D10" i="5"/>
  <c r="D8" i="5"/>
  <c r="D9" i="5"/>
  <c r="E9" i="5"/>
  <c r="E8" i="5"/>
  <c r="G4" i="5"/>
  <c r="D4" i="5"/>
  <c r="J3" i="5"/>
  <c r="G3" i="5"/>
  <c r="D3" i="5"/>
  <c r="J2" i="5"/>
  <c r="G2" i="5"/>
  <c r="D2" i="5"/>
  <c r="J7" i="4"/>
  <c r="J14" i="4"/>
  <c r="J26" i="4"/>
  <c r="D7" i="4"/>
  <c r="D14" i="4"/>
  <c r="D10" i="4"/>
  <c r="D19" i="4"/>
  <c r="D11" i="4"/>
  <c r="D20" i="4"/>
  <c r="D24" i="4"/>
  <c r="D22" i="4"/>
  <c r="D26" i="4"/>
  <c r="K11" i="4"/>
  <c r="J11" i="4"/>
  <c r="E11" i="4"/>
  <c r="K10" i="4"/>
  <c r="J10" i="4"/>
  <c r="E10" i="4"/>
  <c r="J8" i="4"/>
  <c r="D8" i="4"/>
  <c r="J6" i="4"/>
  <c r="D6" i="4"/>
  <c r="AJ3" i="3"/>
  <c r="AI3" i="3"/>
  <c r="AG4" i="3"/>
  <c r="AH4" i="3"/>
  <c r="AJ4" i="3"/>
  <c r="AI4" i="3"/>
  <c r="AG5" i="3"/>
  <c r="AH5" i="3"/>
  <c r="AJ5" i="3"/>
  <c r="AI5" i="3"/>
  <c r="AG6" i="3"/>
  <c r="AH6" i="3"/>
  <c r="AJ6" i="3"/>
  <c r="AI6" i="3"/>
  <c r="AG7" i="3"/>
  <c r="AH7" i="3"/>
  <c r="AJ7" i="3"/>
  <c r="AI7" i="3"/>
  <c r="AG8" i="3"/>
  <c r="AH8" i="3"/>
  <c r="AJ8" i="3"/>
  <c r="AI8" i="3"/>
  <c r="AG9" i="3"/>
  <c r="AH9" i="3"/>
  <c r="AJ9" i="3"/>
  <c r="AI9" i="3"/>
  <c r="AG10" i="3"/>
  <c r="AH10" i="3"/>
  <c r="AJ10" i="3"/>
  <c r="AI10" i="3"/>
  <c r="AG11" i="3"/>
  <c r="AH11" i="3"/>
  <c r="AJ11" i="3"/>
  <c r="AI11" i="3"/>
  <c r="AG12" i="3"/>
  <c r="AH12" i="3"/>
  <c r="AJ12" i="3"/>
  <c r="AI12" i="3"/>
  <c r="AG13" i="3"/>
  <c r="AH13" i="3"/>
  <c r="AJ13" i="3"/>
  <c r="AI13" i="3"/>
  <c r="AG14" i="3"/>
  <c r="AH14" i="3"/>
  <c r="AJ14" i="3"/>
  <c r="AI14" i="3"/>
  <c r="AG15" i="3"/>
  <c r="AH15" i="3"/>
  <c r="AJ15" i="3"/>
  <c r="AI15" i="3"/>
  <c r="AG16" i="3"/>
  <c r="AH16" i="3"/>
  <c r="AJ16" i="3"/>
  <c r="AI16" i="3"/>
  <c r="AG17" i="3"/>
  <c r="AH17" i="3"/>
  <c r="AJ17" i="3"/>
  <c r="AI17" i="3"/>
  <c r="AG18" i="3"/>
  <c r="AH18" i="3"/>
  <c r="AJ18" i="3"/>
  <c r="AI18" i="3"/>
  <c r="AG19" i="3"/>
  <c r="AH19" i="3"/>
  <c r="AJ19" i="3"/>
  <c r="AI19" i="3"/>
  <c r="AG20" i="3"/>
  <c r="AH20" i="3"/>
  <c r="AJ20" i="3"/>
  <c r="AI20" i="3"/>
  <c r="AG21" i="3"/>
  <c r="AH21" i="3"/>
  <c r="AJ21" i="3"/>
  <c r="AI21" i="3"/>
  <c r="AG22" i="3"/>
  <c r="AH22" i="3"/>
  <c r="AJ22" i="3"/>
  <c r="AI22" i="3"/>
  <c r="AG23" i="3"/>
  <c r="AH23" i="3"/>
  <c r="AJ23" i="3"/>
  <c r="AI23" i="3"/>
  <c r="AG24" i="3"/>
  <c r="AH24" i="3"/>
  <c r="AJ24" i="3"/>
  <c r="AI24" i="3"/>
  <c r="AG25" i="3"/>
  <c r="AH25" i="3"/>
  <c r="AJ25" i="3"/>
  <c r="AI25" i="3"/>
  <c r="AG26" i="3"/>
  <c r="AH26" i="3"/>
  <c r="AJ26" i="3"/>
  <c r="AI26" i="3"/>
  <c r="AG27" i="3"/>
  <c r="AH27" i="3"/>
  <c r="AJ27" i="3"/>
  <c r="AI27" i="3"/>
  <c r="AG28" i="3"/>
  <c r="AH28" i="3"/>
  <c r="AJ28" i="3"/>
  <c r="AI28" i="3"/>
  <c r="AG29" i="3"/>
  <c r="AH29" i="3"/>
  <c r="AJ29" i="3"/>
  <c r="AI29" i="3"/>
  <c r="AG30" i="3"/>
  <c r="AH30" i="3"/>
  <c r="AJ30" i="3"/>
  <c r="AI30" i="3"/>
  <c r="AG31" i="3"/>
  <c r="AH31" i="3"/>
  <c r="AJ31" i="3"/>
  <c r="AI31" i="3"/>
  <c r="AG32" i="3"/>
  <c r="AH32" i="3"/>
  <c r="AJ32" i="3"/>
  <c r="AI32" i="3"/>
  <c r="AG33" i="3"/>
  <c r="AH33" i="3"/>
  <c r="AJ33" i="3"/>
  <c r="AI33" i="3"/>
  <c r="AG34" i="3"/>
  <c r="AH34" i="3"/>
  <c r="AJ34" i="3"/>
  <c r="AI34" i="3"/>
  <c r="AG35" i="3"/>
  <c r="AH35" i="3"/>
  <c r="AJ35" i="3"/>
  <c r="AI35" i="3"/>
  <c r="AG36" i="3"/>
  <c r="AH36" i="3"/>
  <c r="AJ36" i="3"/>
  <c r="AI36" i="3"/>
  <c r="AG37" i="3"/>
  <c r="AH37" i="3"/>
  <c r="AJ37" i="3"/>
  <c r="AI37" i="3"/>
  <c r="AG38" i="3"/>
  <c r="AH38" i="3"/>
  <c r="AJ38" i="3"/>
  <c r="AI38" i="3"/>
  <c r="AG39" i="3"/>
  <c r="AH39" i="3"/>
  <c r="AJ39" i="3"/>
  <c r="AI39" i="3"/>
  <c r="AG40" i="3"/>
  <c r="AH40" i="3"/>
  <c r="AJ40" i="3"/>
  <c r="AI40" i="3"/>
  <c r="AG41" i="3"/>
  <c r="AH41" i="3"/>
  <c r="AJ41" i="3"/>
  <c r="AI41" i="3"/>
  <c r="AG42" i="3"/>
  <c r="AH42" i="3"/>
  <c r="AJ42" i="3"/>
  <c r="AI42" i="3"/>
  <c r="AG43" i="3"/>
  <c r="AH43" i="3"/>
  <c r="AJ43" i="3"/>
  <c r="AI43" i="3"/>
  <c r="AG44" i="3"/>
  <c r="AH44" i="3"/>
  <c r="AJ44" i="3"/>
  <c r="AI44" i="3"/>
  <c r="AG45" i="3"/>
  <c r="AH45" i="3"/>
  <c r="AJ45" i="3"/>
  <c r="AI45" i="3"/>
  <c r="AG46" i="3"/>
  <c r="AH46" i="3"/>
  <c r="AJ46" i="3"/>
  <c r="AI46" i="3"/>
  <c r="AG47" i="3"/>
  <c r="AH47" i="3"/>
  <c r="AJ47" i="3"/>
  <c r="AI47" i="3"/>
  <c r="AG48" i="3"/>
  <c r="AH48" i="3"/>
  <c r="AJ48" i="3"/>
  <c r="AI48" i="3"/>
  <c r="AG49" i="3"/>
  <c r="AH49" i="3"/>
  <c r="AJ49" i="3"/>
  <c r="AI49" i="3"/>
  <c r="AG50" i="3"/>
  <c r="AH50" i="3"/>
  <c r="AJ50" i="3"/>
  <c r="AI50" i="3"/>
  <c r="AG51" i="3"/>
  <c r="AH51" i="3"/>
  <c r="AJ51" i="3"/>
  <c r="AI51" i="3"/>
  <c r="AG52" i="3"/>
  <c r="AH52" i="3"/>
  <c r="AJ52" i="3"/>
  <c r="AI52" i="3"/>
  <c r="AG53" i="3"/>
  <c r="AH53" i="3"/>
  <c r="AJ53" i="3"/>
  <c r="AI53" i="3"/>
  <c r="AG54" i="3"/>
  <c r="AH54" i="3"/>
  <c r="AJ54" i="3"/>
  <c r="AI54" i="3"/>
  <c r="AG55" i="3"/>
  <c r="AH55" i="3"/>
  <c r="AJ55" i="3"/>
  <c r="AI55" i="3"/>
  <c r="AG56" i="3"/>
  <c r="AH56" i="3"/>
  <c r="AJ56" i="3"/>
  <c r="AI56" i="3"/>
  <c r="AG57" i="3"/>
  <c r="AH57" i="3"/>
  <c r="AJ57" i="3"/>
  <c r="AI57" i="3"/>
  <c r="AG58" i="3"/>
  <c r="AH58" i="3"/>
  <c r="AJ58" i="3"/>
  <c r="AI58" i="3"/>
  <c r="AG59" i="3"/>
  <c r="AH59" i="3"/>
  <c r="AJ59" i="3"/>
  <c r="AI59" i="3"/>
  <c r="AG60" i="3"/>
  <c r="AH60" i="3"/>
  <c r="AJ60" i="3"/>
  <c r="AI60" i="3"/>
  <c r="AG61" i="3"/>
  <c r="AH61" i="3"/>
  <c r="AJ61" i="3"/>
  <c r="AI61" i="3"/>
  <c r="AG62" i="3"/>
  <c r="AH62" i="3"/>
  <c r="AJ62" i="3"/>
  <c r="AI62" i="3"/>
  <c r="AG63" i="3"/>
  <c r="AH63" i="3"/>
  <c r="AJ63" i="3"/>
  <c r="AI63" i="3"/>
  <c r="AG64" i="3"/>
  <c r="AH64" i="3"/>
  <c r="AJ64" i="3"/>
  <c r="AI64" i="3"/>
  <c r="AG65" i="3"/>
  <c r="AH65" i="3"/>
  <c r="AJ65" i="3"/>
  <c r="AI65" i="3"/>
  <c r="AG66" i="3"/>
  <c r="AH66" i="3"/>
  <c r="AJ66" i="3"/>
  <c r="AI66" i="3"/>
  <c r="AG67" i="3"/>
  <c r="AH67" i="3"/>
  <c r="AJ67" i="3"/>
  <c r="AI67" i="3"/>
  <c r="AG68" i="3"/>
  <c r="AH68" i="3"/>
  <c r="AJ68" i="3"/>
  <c r="AI68" i="3"/>
  <c r="AG69" i="3"/>
  <c r="AH69" i="3"/>
  <c r="AJ69" i="3"/>
  <c r="AI69" i="3"/>
  <c r="AG70" i="3"/>
  <c r="AH70" i="3"/>
  <c r="AJ70" i="3"/>
  <c r="AI70" i="3"/>
  <c r="AG71" i="3"/>
  <c r="AH71" i="3"/>
  <c r="AJ71" i="3"/>
  <c r="AI71" i="3"/>
  <c r="AG72" i="3"/>
  <c r="AH72" i="3"/>
  <c r="AJ72" i="3"/>
  <c r="AI72" i="3"/>
  <c r="AG73" i="3"/>
  <c r="AH73" i="3"/>
  <c r="AJ73" i="3"/>
  <c r="AI73" i="3"/>
  <c r="AG74" i="3"/>
  <c r="AH74" i="3"/>
  <c r="AJ74" i="3"/>
  <c r="AI74" i="3"/>
  <c r="AG75" i="3"/>
  <c r="AH75" i="3"/>
  <c r="AJ75" i="3"/>
  <c r="AI75" i="3"/>
  <c r="AG76" i="3"/>
  <c r="AH76" i="3"/>
  <c r="AJ76" i="3"/>
  <c r="AI76" i="3"/>
  <c r="AG77" i="3"/>
  <c r="AH77" i="3"/>
  <c r="AJ77" i="3"/>
  <c r="AI77" i="3"/>
  <c r="AG78" i="3"/>
  <c r="AH78" i="3"/>
  <c r="AJ78" i="3"/>
  <c r="AI78" i="3"/>
  <c r="AG79" i="3"/>
  <c r="AH79" i="3"/>
  <c r="AJ79" i="3"/>
  <c r="AI79" i="3"/>
  <c r="AG80" i="3"/>
  <c r="AH80" i="3"/>
  <c r="AJ80" i="3"/>
  <c r="AI80" i="3"/>
  <c r="AG81" i="3"/>
  <c r="AH81" i="3"/>
  <c r="AJ81" i="3"/>
  <c r="AI81" i="3"/>
  <c r="AG82" i="3"/>
  <c r="AH82" i="3"/>
  <c r="AJ82" i="3"/>
  <c r="AI82" i="3"/>
  <c r="AG83" i="3"/>
  <c r="AH83" i="3"/>
  <c r="AJ83" i="3"/>
  <c r="AI83" i="3"/>
  <c r="AG84" i="3"/>
  <c r="AH84" i="3"/>
  <c r="AJ84" i="3"/>
  <c r="AI84" i="3"/>
  <c r="AG85" i="3"/>
  <c r="AH85" i="3"/>
  <c r="AJ85" i="3"/>
  <c r="AI85" i="3"/>
  <c r="AG86" i="3"/>
  <c r="AH86" i="3"/>
  <c r="AJ86" i="3"/>
  <c r="AI86" i="3"/>
  <c r="AG87" i="3"/>
  <c r="AH87" i="3"/>
  <c r="AJ87" i="3"/>
  <c r="AI87" i="3"/>
  <c r="AG88" i="3"/>
  <c r="AH88" i="3"/>
  <c r="AJ88" i="3"/>
  <c r="AI88" i="3"/>
  <c r="AG89" i="3"/>
  <c r="AH89" i="3"/>
  <c r="AJ89" i="3"/>
  <c r="AI89" i="3"/>
  <c r="AG90" i="3"/>
  <c r="AH90" i="3"/>
  <c r="AJ90" i="3"/>
  <c r="AI90" i="3"/>
  <c r="AG91" i="3"/>
  <c r="AH91" i="3"/>
  <c r="AJ91" i="3"/>
  <c r="AI91" i="3"/>
  <c r="AG92" i="3"/>
  <c r="AH92" i="3"/>
  <c r="AJ92" i="3"/>
  <c r="AI92" i="3"/>
  <c r="AG93" i="3"/>
  <c r="AH93" i="3"/>
  <c r="AJ93" i="3"/>
  <c r="AI93" i="3"/>
  <c r="AG94" i="3"/>
  <c r="AH94" i="3"/>
  <c r="AJ94" i="3"/>
  <c r="AI94" i="3"/>
  <c r="AG95" i="3"/>
  <c r="AH95" i="3"/>
  <c r="AJ95" i="3"/>
  <c r="AI95" i="3"/>
  <c r="AG96" i="3"/>
  <c r="AH96" i="3"/>
  <c r="AJ96" i="3"/>
  <c r="AI96" i="3"/>
  <c r="AG97" i="3"/>
  <c r="AH97" i="3"/>
  <c r="AJ97" i="3"/>
  <c r="AI97" i="3"/>
  <c r="AG98" i="3"/>
  <c r="AH98" i="3"/>
  <c r="AJ98" i="3"/>
  <c r="AI98" i="3"/>
  <c r="AG99" i="3"/>
  <c r="AH99" i="3"/>
  <c r="AJ99" i="3"/>
  <c r="AI99" i="3"/>
  <c r="AG100" i="3"/>
  <c r="AH100" i="3"/>
  <c r="AJ100" i="3"/>
  <c r="AI100" i="3"/>
  <c r="AG101" i="3"/>
  <c r="AH101" i="3"/>
  <c r="AJ101" i="3"/>
  <c r="AI101" i="3"/>
  <c r="AG102" i="3"/>
  <c r="AH102" i="3"/>
  <c r="AJ102" i="3"/>
  <c r="AI102" i="3"/>
  <c r="AG103" i="3"/>
  <c r="AH103" i="3"/>
  <c r="AJ103" i="3"/>
  <c r="AI103" i="3"/>
  <c r="AG104" i="3"/>
  <c r="AH104" i="3"/>
  <c r="AJ104" i="3"/>
  <c r="AI104" i="3"/>
  <c r="AG105" i="3"/>
  <c r="AH105" i="3"/>
  <c r="AJ105" i="3"/>
  <c r="AI105" i="3"/>
  <c r="AG106" i="3"/>
  <c r="AH106" i="3"/>
  <c r="AJ106" i="3"/>
  <c r="AI106" i="3"/>
  <c r="AG107" i="3"/>
  <c r="AH107" i="3"/>
  <c r="AJ107" i="3"/>
  <c r="AI107" i="3"/>
  <c r="AG108" i="3"/>
  <c r="AH108" i="3"/>
  <c r="AJ108" i="3"/>
  <c r="AI108" i="3"/>
  <c r="AG109" i="3"/>
  <c r="AH109" i="3"/>
  <c r="AJ109" i="3"/>
  <c r="AI109" i="3"/>
  <c r="AG110" i="3"/>
  <c r="AH110" i="3"/>
  <c r="AJ110" i="3"/>
  <c r="AI110" i="3"/>
  <c r="AG111" i="3"/>
  <c r="AH111" i="3"/>
  <c r="AJ111" i="3"/>
  <c r="AI111" i="3"/>
  <c r="AG112" i="3"/>
  <c r="AH112" i="3"/>
  <c r="AJ112" i="3"/>
  <c r="AI112" i="3"/>
  <c r="AG113" i="3"/>
  <c r="AH113" i="3"/>
  <c r="AJ113" i="3"/>
  <c r="AI113" i="3"/>
  <c r="AG114" i="3"/>
  <c r="AH114" i="3"/>
  <c r="AJ114" i="3"/>
  <c r="AI114" i="3"/>
  <c r="AG115" i="3"/>
  <c r="AH115" i="3"/>
  <c r="AJ115" i="3"/>
  <c r="AI115" i="3"/>
  <c r="AG116" i="3"/>
  <c r="AH116" i="3"/>
  <c r="AJ116" i="3"/>
  <c r="AI116" i="3"/>
  <c r="AG117" i="3"/>
  <c r="AH117" i="3"/>
  <c r="AJ117" i="3"/>
  <c r="AI117" i="3"/>
  <c r="AG118" i="3"/>
  <c r="AH118" i="3"/>
  <c r="AJ118" i="3"/>
  <c r="AI118" i="3"/>
  <c r="AG119" i="3"/>
  <c r="AH119" i="3"/>
  <c r="AJ119" i="3"/>
  <c r="AI119" i="3"/>
  <c r="AG120" i="3"/>
  <c r="AH120" i="3"/>
  <c r="AJ120" i="3"/>
  <c r="AI120" i="3"/>
  <c r="AG121" i="3"/>
  <c r="AH121" i="3"/>
  <c r="AJ121" i="3"/>
  <c r="AI121" i="3"/>
  <c r="AG122" i="3"/>
  <c r="AH122" i="3"/>
  <c r="AJ122" i="3"/>
  <c r="AI122" i="3"/>
  <c r="AG123" i="3"/>
  <c r="AH123" i="3"/>
  <c r="AJ123" i="3"/>
  <c r="AI123" i="3"/>
  <c r="AG124" i="3"/>
  <c r="AH124" i="3"/>
  <c r="AJ124" i="3"/>
  <c r="AI124" i="3"/>
  <c r="AG125" i="3"/>
  <c r="AH125" i="3"/>
  <c r="AJ125" i="3"/>
  <c r="AI125" i="3"/>
  <c r="AG126" i="3"/>
  <c r="AH126" i="3"/>
  <c r="AJ126" i="3"/>
  <c r="AI126" i="3"/>
  <c r="AG127" i="3"/>
  <c r="AH127" i="3"/>
  <c r="AJ127" i="3"/>
  <c r="AI127" i="3"/>
  <c r="AG128" i="3"/>
  <c r="AH128" i="3"/>
  <c r="AJ128" i="3"/>
  <c r="AI128" i="3"/>
  <c r="AG129" i="3"/>
  <c r="AH129" i="3"/>
  <c r="AJ129" i="3"/>
  <c r="AI129" i="3"/>
  <c r="AG130" i="3"/>
  <c r="AH130" i="3"/>
  <c r="AJ130" i="3"/>
  <c r="AI130" i="3"/>
  <c r="AG131" i="3"/>
  <c r="AH131" i="3"/>
  <c r="AJ131" i="3"/>
  <c r="AI131" i="3"/>
  <c r="AG132" i="3"/>
  <c r="AH132" i="3"/>
  <c r="AJ132" i="3"/>
  <c r="AI132" i="3"/>
  <c r="AG133" i="3"/>
  <c r="AH133" i="3"/>
  <c r="AJ133" i="3"/>
  <c r="AI133" i="3"/>
  <c r="AG134" i="3"/>
  <c r="AH134" i="3"/>
  <c r="AJ134" i="3"/>
  <c r="AI134" i="3"/>
  <c r="AG135" i="3"/>
  <c r="AH135" i="3"/>
  <c r="AJ135" i="3"/>
  <c r="AI135" i="3"/>
  <c r="AG136" i="3"/>
  <c r="AH136" i="3"/>
  <c r="AJ136" i="3"/>
  <c r="AI136" i="3"/>
  <c r="AG137" i="3"/>
  <c r="AH137" i="3"/>
  <c r="AJ137" i="3"/>
  <c r="AI137" i="3"/>
  <c r="AG138" i="3"/>
  <c r="AH138" i="3"/>
  <c r="AJ138" i="3"/>
  <c r="AI138" i="3"/>
  <c r="AG139" i="3"/>
  <c r="AH139" i="3"/>
  <c r="AJ139" i="3"/>
  <c r="AI139" i="3"/>
  <c r="AG140" i="3"/>
  <c r="AH140" i="3"/>
  <c r="AJ140" i="3"/>
  <c r="AI140" i="3"/>
  <c r="AG141" i="3"/>
  <c r="AH141" i="3"/>
  <c r="AJ141" i="3"/>
  <c r="AI141" i="3"/>
  <c r="AG142" i="3"/>
  <c r="AH142" i="3"/>
  <c r="AJ142" i="3"/>
  <c r="AI142" i="3"/>
  <c r="AG143" i="3"/>
  <c r="AH143" i="3"/>
  <c r="AJ143" i="3"/>
  <c r="AI143" i="3"/>
  <c r="AG144" i="3"/>
  <c r="AH144" i="3"/>
  <c r="AJ144" i="3"/>
  <c r="AI144" i="3"/>
  <c r="AG145" i="3"/>
  <c r="AH145" i="3"/>
  <c r="AJ145" i="3"/>
  <c r="AI145" i="3"/>
  <c r="AG146" i="3"/>
  <c r="AH146" i="3"/>
  <c r="AJ146" i="3"/>
  <c r="AI146" i="3"/>
  <c r="AG147" i="3"/>
  <c r="AH147" i="3"/>
  <c r="AJ147" i="3"/>
  <c r="AI147" i="3"/>
  <c r="AG148" i="3"/>
  <c r="AH148" i="3"/>
  <c r="AJ148" i="3"/>
  <c r="AI148" i="3"/>
  <c r="AG149" i="3"/>
  <c r="AH149" i="3"/>
  <c r="AJ149" i="3"/>
  <c r="AI149" i="3"/>
  <c r="AG150" i="3"/>
  <c r="AH150" i="3"/>
  <c r="AJ150" i="3"/>
  <c r="AI150" i="3"/>
  <c r="AG151" i="3"/>
  <c r="AH151" i="3"/>
  <c r="AJ151" i="3"/>
  <c r="AI151" i="3"/>
  <c r="AG152" i="3"/>
  <c r="AH152" i="3"/>
  <c r="AJ152" i="3"/>
  <c r="AI152" i="3"/>
  <c r="AG153" i="3"/>
  <c r="AH153" i="3"/>
  <c r="AJ153" i="3"/>
  <c r="AI153" i="3"/>
  <c r="AG154" i="3"/>
  <c r="AH154" i="3"/>
  <c r="AJ154" i="3"/>
  <c r="AI154" i="3"/>
  <c r="AG155" i="3"/>
  <c r="AH155" i="3"/>
  <c r="AJ155" i="3"/>
  <c r="AI155" i="3"/>
  <c r="AG156" i="3"/>
  <c r="AH156" i="3"/>
  <c r="AJ156" i="3"/>
  <c r="AI156" i="3"/>
  <c r="AG157" i="3"/>
  <c r="AH157" i="3"/>
  <c r="AJ157" i="3"/>
  <c r="AI157" i="3"/>
  <c r="AG158" i="3"/>
  <c r="AH158" i="3"/>
  <c r="AJ158" i="3"/>
  <c r="AI158" i="3"/>
  <c r="AG159" i="3"/>
  <c r="AH159" i="3"/>
  <c r="AJ159" i="3"/>
  <c r="AI159" i="3"/>
  <c r="AG160" i="3"/>
  <c r="AH160" i="3"/>
  <c r="AJ160" i="3"/>
  <c r="AI160" i="3"/>
  <c r="AG161" i="3"/>
  <c r="AH161" i="3"/>
  <c r="AJ161" i="3"/>
  <c r="AI161" i="3"/>
  <c r="AG162" i="3"/>
  <c r="AH162" i="3"/>
  <c r="AJ162" i="3"/>
  <c r="AI162" i="3"/>
  <c r="AG163" i="3"/>
  <c r="AH163" i="3"/>
  <c r="AJ163" i="3"/>
  <c r="AI163" i="3"/>
  <c r="AG164" i="3"/>
  <c r="AH164" i="3"/>
  <c r="AJ164" i="3"/>
  <c r="AI164" i="3"/>
  <c r="AG165" i="3"/>
  <c r="AH165" i="3"/>
  <c r="AJ165" i="3"/>
  <c r="AI165" i="3"/>
  <c r="AG166" i="3"/>
  <c r="AH166" i="3"/>
  <c r="AJ166" i="3"/>
  <c r="AI166" i="3"/>
  <c r="AG167" i="3"/>
  <c r="AH167" i="3"/>
  <c r="AJ167" i="3"/>
  <c r="AI167" i="3"/>
  <c r="AG168" i="3"/>
  <c r="AH168" i="3"/>
  <c r="AJ168" i="3"/>
  <c r="AI168" i="3"/>
  <c r="AG169" i="3"/>
  <c r="AH169" i="3"/>
  <c r="AJ169" i="3"/>
  <c r="AI169" i="3"/>
  <c r="AG170" i="3"/>
  <c r="AH170" i="3"/>
  <c r="AJ170" i="3"/>
  <c r="AI170" i="3"/>
  <c r="AG171" i="3"/>
  <c r="AH171" i="3"/>
  <c r="AJ171" i="3"/>
  <c r="AI171" i="3"/>
  <c r="AG172" i="3"/>
  <c r="AH172" i="3"/>
  <c r="AJ172" i="3"/>
  <c r="AI172" i="3"/>
  <c r="AG173" i="3"/>
  <c r="AH173" i="3"/>
  <c r="AJ173" i="3"/>
  <c r="AI173" i="3"/>
  <c r="AG174" i="3"/>
  <c r="AH174" i="3"/>
  <c r="AJ174" i="3"/>
  <c r="AI174" i="3"/>
  <c r="AG175" i="3"/>
  <c r="AH175" i="3"/>
  <c r="AJ175" i="3"/>
  <c r="AI175" i="3"/>
  <c r="AG176" i="3"/>
  <c r="AH176" i="3"/>
  <c r="AJ176" i="3"/>
  <c r="AI176" i="3"/>
  <c r="AG177" i="3"/>
  <c r="AH177" i="3"/>
  <c r="AJ177" i="3"/>
  <c r="AI177" i="3"/>
  <c r="AG178" i="3"/>
  <c r="AH178" i="3"/>
  <c r="AJ178" i="3"/>
  <c r="AI178" i="3"/>
  <c r="AG179" i="3"/>
  <c r="AH179" i="3"/>
  <c r="AJ179" i="3"/>
  <c r="AI179" i="3"/>
  <c r="AG180" i="3"/>
  <c r="AH180" i="3"/>
  <c r="AJ180" i="3"/>
  <c r="AI180" i="3"/>
  <c r="AG181" i="3"/>
  <c r="AH181" i="3"/>
  <c r="AJ181" i="3"/>
  <c r="AI181" i="3"/>
  <c r="AG182" i="3"/>
  <c r="AH182" i="3"/>
  <c r="AJ182" i="3"/>
  <c r="AI182" i="3"/>
  <c r="AG183" i="3"/>
  <c r="AH183" i="3"/>
  <c r="AJ183" i="3"/>
  <c r="AI183" i="3"/>
  <c r="H3" i="3"/>
  <c r="K4" i="3"/>
  <c r="C22" i="3"/>
  <c r="C23" i="3"/>
  <c r="C24" i="3"/>
  <c r="C25" i="3"/>
  <c r="J4" i="3"/>
  <c r="I4" i="3"/>
  <c r="H4" i="3"/>
  <c r="K5" i="3"/>
  <c r="J5" i="3"/>
  <c r="I5" i="3"/>
  <c r="H5" i="3"/>
  <c r="K6" i="3"/>
  <c r="J6" i="3"/>
  <c r="I6" i="3"/>
  <c r="H6" i="3"/>
  <c r="K7" i="3"/>
  <c r="J7" i="3"/>
  <c r="I7" i="3"/>
  <c r="H7" i="3"/>
  <c r="K8" i="3"/>
  <c r="J8" i="3"/>
  <c r="I8" i="3"/>
  <c r="H8" i="3"/>
  <c r="K9" i="3"/>
  <c r="J9" i="3"/>
  <c r="I9" i="3"/>
  <c r="H9" i="3"/>
  <c r="K10" i="3"/>
  <c r="J10" i="3"/>
  <c r="I10" i="3"/>
  <c r="H10" i="3"/>
  <c r="K11" i="3"/>
  <c r="J11" i="3"/>
  <c r="I11" i="3"/>
  <c r="H11" i="3"/>
  <c r="K12" i="3"/>
  <c r="J12" i="3"/>
  <c r="I12" i="3"/>
  <c r="H12" i="3"/>
  <c r="K13" i="3"/>
  <c r="J13" i="3"/>
  <c r="I13" i="3"/>
  <c r="H13" i="3"/>
  <c r="K14" i="3"/>
  <c r="J14" i="3"/>
  <c r="I14" i="3"/>
  <c r="H14" i="3"/>
  <c r="K15" i="3"/>
  <c r="J15" i="3"/>
  <c r="I15" i="3"/>
  <c r="H15" i="3"/>
  <c r="K16" i="3"/>
  <c r="J16" i="3"/>
  <c r="I16" i="3"/>
  <c r="H16" i="3"/>
  <c r="K17" i="3"/>
  <c r="J17" i="3"/>
  <c r="I17" i="3"/>
  <c r="H17" i="3"/>
  <c r="K18" i="3"/>
  <c r="J18" i="3"/>
  <c r="I18" i="3"/>
  <c r="H18" i="3"/>
  <c r="K19" i="3"/>
  <c r="J19" i="3"/>
  <c r="I19" i="3"/>
  <c r="H19" i="3"/>
  <c r="K20" i="3"/>
  <c r="J20" i="3"/>
  <c r="I20" i="3"/>
  <c r="H20" i="3"/>
  <c r="K21" i="3"/>
  <c r="J21" i="3"/>
  <c r="I21" i="3"/>
  <c r="H21" i="3"/>
  <c r="K22" i="3"/>
  <c r="J22" i="3"/>
  <c r="I22" i="3"/>
  <c r="H22" i="3"/>
  <c r="K23" i="3"/>
  <c r="J23" i="3"/>
  <c r="I23" i="3"/>
  <c r="H23" i="3"/>
  <c r="K24" i="3"/>
  <c r="J24" i="3"/>
  <c r="I24" i="3"/>
  <c r="H24" i="3"/>
  <c r="K25" i="3"/>
  <c r="J25" i="3"/>
  <c r="I25" i="3"/>
  <c r="H25" i="3"/>
  <c r="K26" i="3"/>
  <c r="J26" i="3"/>
  <c r="I26" i="3"/>
  <c r="H26" i="3"/>
  <c r="K27" i="3"/>
  <c r="J27" i="3"/>
  <c r="I27" i="3"/>
  <c r="H27" i="3"/>
  <c r="K28" i="3"/>
  <c r="J28" i="3"/>
  <c r="I28" i="3"/>
  <c r="H28" i="3"/>
  <c r="K29" i="3"/>
  <c r="J29" i="3"/>
  <c r="I29" i="3"/>
  <c r="H29" i="3"/>
  <c r="K30" i="3"/>
  <c r="J30" i="3"/>
  <c r="I30" i="3"/>
  <c r="H30" i="3"/>
  <c r="K31" i="3"/>
  <c r="J31" i="3"/>
  <c r="I31" i="3"/>
  <c r="H31" i="3"/>
  <c r="K32" i="3"/>
  <c r="J32" i="3"/>
  <c r="I32" i="3"/>
  <c r="H32" i="3"/>
  <c r="K33" i="3"/>
  <c r="J33" i="3"/>
  <c r="I33" i="3"/>
  <c r="H33" i="3"/>
  <c r="K34" i="3"/>
  <c r="J34" i="3"/>
  <c r="I34" i="3"/>
  <c r="H34" i="3"/>
  <c r="K35" i="3"/>
  <c r="J35" i="3"/>
  <c r="I35" i="3"/>
  <c r="H35" i="3"/>
  <c r="K36" i="3"/>
  <c r="J36" i="3"/>
  <c r="I36" i="3"/>
  <c r="H36" i="3"/>
  <c r="K37" i="3"/>
  <c r="J37" i="3"/>
  <c r="I37" i="3"/>
  <c r="H37" i="3"/>
  <c r="K38" i="3"/>
  <c r="J38" i="3"/>
  <c r="I38" i="3"/>
  <c r="H38" i="3"/>
  <c r="K39" i="3"/>
  <c r="J39" i="3"/>
  <c r="I39" i="3"/>
  <c r="H39" i="3"/>
  <c r="K40" i="3"/>
  <c r="J40" i="3"/>
  <c r="I40" i="3"/>
  <c r="H40" i="3"/>
  <c r="K41" i="3"/>
  <c r="J41" i="3"/>
  <c r="I41" i="3"/>
  <c r="H41" i="3"/>
  <c r="K42" i="3"/>
  <c r="J42" i="3"/>
  <c r="I42" i="3"/>
  <c r="H42" i="3"/>
  <c r="K43" i="3"/>
  <c r="J43" i="3"/>
  <c r="I43" i="3"/>
  <c r="H43" i="3"/>
  <c r="K44" i="3"/>
  <c r="J44" i="3"/>
  <c r="I44" i="3"/>
  <c r="H44" i="3"/>
  <c r="K45" i="3"/>
  <c r="J45" i="3"/>
  <c r="I45" i="3"/>
  <c r="H45" i="3"/>
  <c r="K46" i="3"/>
  <c r="J46" i="3"/>
  <c r="I46" i="3"/>
  <c r="H46" i="3"/>
  <c r="K47" i="3"/>
  <c r="J47" i="3"/>
  <c r="I47" i="3"/>
  <c r="H47" i="3"/>
  <c r="K48" i="3"/>
  <c r="J48" i="3"/>
  <c r="I48" i="3"/>
  <c r="H48" i="3"/>
  <c r="K49" i="3"/>
  <c r="J49" i="3"/>
  <c r="I49" i="3"/>
  <c r="H49" i="3"/>
  <c r="K50" i="3"/>
  <c r="J50" i="3"/>
  <c r="I50" i="3"/>
  <c r="H50" i="3"/>
  <c r="K51" i="3"/>
  <c r="J51" i="3"/>
  <c r="I51" i="3"/>
  <c r="H51" i="3"/>
  <c r="K52" i="3"/>
  <c r="J52" i="3"/>
  <c r="I52" i="3"/>
  <c r="H52" i="3"/>
  <c r="K53" i="3"/>
  <c r="J53" i="3"/>
  <c r="I53" i="3"/>
  <c r="H53" i="3"/>
  <c r="K54" i="3"/>
  <c r="J54" i="3"/>
  <c r="I54" i="3"/>
  <c r="H54" i="3"/>
  <c r="K55" i="3"/>
  <c r="J55" i="3"/>
  <c r="I55" i="3"/>
  <c r="H55" i="3"/>
  <c r="K56" i="3"/>
  <c r="J56" i="3"/>
  <c r="I56" i="3"/>
  <c r="H56" i="3"/>
  <c r="K57" i="3"/>
  <c r="J57" i="3"/>
  <c r="I57" i="3"/>
  <c r="H57" i="3"/>
  <c r="K58" i="3"/>
  <c r="J58" i="3"/>
  <c r="I58" i="3"/>
  <c r="H58" i="3"/>
  <c r="K59" i="3"/>
  <c r="J59" i="3"/>
  <c r="I59" i="3"/>
  <c r="H59" i="3"/>
  <c r="K60" i="3"/>
  <c r="J60" i="3"/>
  <c r="I60" i="3"/>
  <c r="H60" i="3"/>
  <c r="K61" i="3"/>
  <c r="J61" i="3"/>
  <c r="I61" i="3"/>
  <c r="H61" i="3"/>
  <c r="K62" i="3"/>
  <c r="J62" i="3"/>
  <c r="I62" i="3"/>
  <c r="H62" i="3"/>
  <c r="K63" i="3"/>
  <c r="J63" i="3"/>
  <c r="I63" i="3"/>
  <c r="H63" i="3"/>
  <c r="K64" i="3"/>
  <c r="J64" i="3"/>
  <c r="I64" i="3"/>
  <c r="H64" i="3"/>
  <c r="K65" i="3"/>
  <c r="J65" i="3"/>
  <c r="I65" i="3"/>
  <c r="H65" i="3"/>
  <c r="K66" i="3"/>
  <c r="J66" i="3"/>
  <c r="I66" i="3"/>
  <c r="H66" i="3"/>
  <c r="K67" i="3"/>
  <c r="J67" i="3"/>
  <c r="I67" i="3"/>
  <c r="H67" i="3"/>
  <c r="K68" i="3"/>
  <c r="J68" i="3"/>
  <c r="I68" i="3"/>
  <c r="H68" i="3"/>
  <c r="K69" i="3"/>
  <c r="J69" i="3"/>
  <c r="I69" i="3"/>
  <c r="H69" i="3"/>
  <c r="K70" i="3"/>
  <c r="J70" i="3"/>
  <c r="I70" i="3"/>
  <c r="H70" i="3"/>
  <c r="K71" i="3"/>
  <c r="J71" i="3"/>
  <c r="I71" i="3"/>
  <c r="H71" i="3"/>
  <c r="K72" i="3"/>
  <c r="J72" i="3"/>
  <c r="I72" i="3"/>
  <c r="H72" i="3"/>
  <c r="K73" i="3"/>
  <c r="J73" i="3"/>
  <c r="I73" i="3"/>
  <c r="H73" i="3"/>
  <c r="K74" i="3"/>
  <c r="J74" i="3"/>
  <c r="I74" i="3"/>
  <c r="H74" i="3"/>
  <c r="K75" i="3"/>
  <c r="J75" i="3"/>
  <c r="I75" i="3"/>
  <c r="H75" i="3"/>
  <c r="K76" i="3"/>
  <c r="J76" i="3"/>
  <c r="I76" i="3"/>
  <c r="H76" i="3"/>
  <c r="K77" i="3"/>
  <c r="J77" i="3"/>
  <c r="I77" i="3"/>
  <c r="H77" i="3"/>
  <c r="K78" i="3"/>
  <c r="J78" i="3"/>
  <c r="I78" i="3"/>
  <c r="H78" i="3"/>
  <c r="K79" i="3"/>
  <c r="J79" i="3"/>
  <c r="I79" i="3"/>
  <c r="H79" i="3"/>
  <c r="K80" i="3"/>
  <c r="J80" i="3"/>
  <c r="I80" i="3"/>
  <c r="H80" i="3"/>
  <c r="K81" i="3"/>
  <c r="J81" i="3"/>
  <c r="I81" i="3"/>
  <c r="H81" i="3"/>
  <c r="K82" i="3"/>
  <c r="J82" i="3"/>
  <c r="I82" i="3"/>
  <c r="H82" i="3"/>
  <c r="K83" i="3"/>
  <c r="J83" i="3"/>
  <c r="I83" i="3"/>
  <c r="H83" i="3"/>
  <c r="K84" i="3"/>
  <c r="J84" i="3"/>
  <c r="I84" i="3"/>
  <c r="H84" i="3"/>
  <c r="K85" i="3"/>
  <c r="J85" i="3"/>
  <c r="I85" i="3"/>
  <c r="H85" i="3"/>
  <c r="K86" i="3"/>
  <c r="J86" i="3"/>
  <c r="I86" i="3"/>
  <c r="H86" i="3"/>
  <c r="K87" i="3"/>
  <c r="J87" i="3"/>
  <c r="I87" i="3"/>
  <c r="H87" i="3"/>
  <c r="K88" i="3"/>
  <c r="J88" i="3"/>
  <c r="I88" i="3"/>
  <c r="H88" i="3"/>
  <c r="K89" i="3"/>
  <c r="J89" i="3"/>
  <c r="I89" i="3"/>
  <c r="H89" i="3"/>
  <c r="K90" i="3"/>
  <c r="J90" i="3"/>
  <c r="I90" i="3"/>
  <c r="H90" i="3"/>
  <c r="K91" i="3"/>
  <c r="J91" i="3"/>
  <c r="I91" i="3"/>
  <c r="H91" i="3"/>
  <c r="K92" i="3"/>
  <c r="J92" i="3"/>
  <c r="I92" i="3"/>
  <c r="H92" i="3"/>
  <c r="K93" i="3"/>
  <c r="J93" i="3"/>
  <c r="I93" i="3"/>
  <c r="H93" i="3"/>
  <c r="K94" i="3"/>
  <c r="J94" i="3"/>
  <c r="I94" i="3"/>
  <c r="H94" i="3"/>
  <c r="K95" i="3"/>
  <c r="J95" i="3"/>
  <c r="I95" i="3"/>
  <c r="H95" i="3"/>
  <c r="K96" i="3"/>
  <c r="J96" i="3"/>
  <c r="I96" i="3"/>
  <c r="H96" i="3"/>
  <c r="K97" i="3"/>
  <c r="J97" i="3"/>
  <c r="I97" i="3"/>
  <c r="H97" i="3"/>
  <c r="K98" i="3"/>
  <c r="J98" i="3"/>
  <c r="I98" i="3"/>
  <c r="H98" i="3"/>
  <c r="K99" i="3"/>
  <c r="J99" i="3"/>
  <c r="I99" i="3"/>
  <c r="H99" i="3"/>
  <c r="K100" i="3"/>
  <c r="J100" i="3"/>
  <c r="I100" i="3"/>
  <c r="H100" i="3"/>
  <c r="K101" i="3"/>
  <c r="J101" i="3"/>
  <c r="I101" i="3"/>
  <c r="H101" i="3"/>
  <c r="K102" i="3"/>
  <c r="J102" i="3"/>
  <c r="I102" i="3"/>
  <c r="H102" i="3"/>
  <c r="K103" i="3"/>
  <c r="J103" i="3"/>
  <c r="I103" i="3"/>
  <c r="H103" i="3"/>
  <c r="K104" i="3"/>
  <c r="J104" i="3"/>
  <c r="I104" i="3"/>
  <c r="H104" i="3"/>
  <c r="K105" i="3"/>
  <c r="J105" i="3"/>
  <c r="I105" i="3"/>
  <c r="H105" i="3"/>
  <c r="K106" i="3"/>
  <c r="J106" i="3"/>
  <c r="I106" i="3"/>
  <c r="H106" i="3"/>
  <c r="K107" i="3"/>
  <c r="J107" i="3"/>
  <c r="I107" i="3"/>
  <c r="H107" i="3"/>
  <c r="K108" i="3"/>
  <c r="J108" i="3"/>
  <c r="I108" i="3"/>
  <c r="H108" i="3"/>
  <c r="K109" i="3"/>
  <c r="J109" i="3"/>
  <c r="I109" i="3"/>
  <c r="H109" i="3"/>
  <c r="K110" i="3"/>
  <c r="J110" i="3"/>
  <c r="I110" i="3"/>
  <c r="H110" i="3"/>
  <c r="K111" i="3"/>
  <c r="J111" i="3"/>
  <c r="I111" i="3"/>
  <c r="H111" i="3"/>
  <c r="K112" i="3"/>
  <c r="J112" i="3"/>
  <c r="I112" i="3"/>
  <c r="H112" i="3"/>
  <c r="K113" i="3"/>
  <c r="J113" i="3"/>
  <c r="I113" i="3"/>
  <c r="H113" i="3"/>
  <c r="K114" i="3"/>
  <c r="J114" i="3"/>
  <c r="I114" i="3"/>
  <c r="H114" i="3"/>
  <c r="K115" i="3"/>
  <c r="J115" i="3"/>
  <c r="I115" i="3"/>
  <c r="H115" i="3"/>
  <c r="K116" i="3"/>
  <c r="J116" i="3"/>
  <c r="I116" i="3"/>
  <c r="H116" i="3"/>
  <c r="K117" i="3"/>
  <c r="J117" i="3"/>
  <c r="I117" i="3"/>
  <c r="H117" i="3"/>
  <c r="K118" i="3"/>
  <c r="J118" i="3"/>
  <c r="I118" i="3"/>
  <c r="H118" i="3"/>
  <c r="K119" i="3"/>
  <c r="J119" i="3"/>
  <c r="I119" i="3"/>
  <c r="H119" i="3"/>
  <c r="K120" i="3"/>
  <c r="J120" i="3"/>
  <c r="I120" i="3"/>
  <c r="H120" i="3"/>
  <c r="K121" i="3"/>
  <c r="J121" i="3"/>
  <c r="I121" i="3"/>
  <c r="H121" i="3"/>
  <c r="K122" i="3"/>
  <c r="J122" i="3"/>
  <c r="I122" i="3"/>
  <c r="H122" i="3"/>
  <c r="K123" i="3"/>
  <c r="J123" i="3"/>
  <c r="I123" i="3"/>
  <c r="H123" i="3"/>
  <c r="C28" i="3"/>
  <c r="C32" i="3"/>
  <c r="C34" i="3"/>
  <c r="C35" i="3"/>
  <c r="C36" i="3"/>
  <c r="K124" i="3"/>
  <c r="J124" i="3"/>
  <c r="I124" i="3"/>
  <c r="H124" i="3"/>
  <c r="C33" i="3"/>
  <c r="K183" i="3"/>
  <c r="K125" i="3"/>
  <c r="J125" i="3"/>
  <c r="I125" i="3"/>
  <c r="H125" i="3"/>
  <c r="K126" i="3"/>
  <c r="J126" i="3"/>
  <c r="I126" i="3"/>
  <c r="H126" i="3"/>
  <c r="K127" i="3"/>
  <c r="J127" i="3"/>
  <c r="I127" i="3"/>
  <c r="H127" i="3"/>
  <c r="K128" i="3"/>
  <c r="J128" i="3"/>
  <c r="I128" i="3"/>
  <c r="H128" i="3"/>
  <c r="K129" i="3"/>
  <c r="J129" i="3"/>
  <c r="I129" i="3"/>
  <c r="H129" i="3"/>
  <c r="K130" i="3"/>
  <c r="J130" i="3"/>
  <c r="I130" i="3"/>
  <c r="H130" i="3"/>
  <c r="K131" i="3"/>
  <c r="J131" i="3"/>
  <c r="I131" i="3"/>
  <c r="H131" i="3"/>
  <c r="K132" i="3"/>
  <c r="J132" i="3"/>
  <c r="I132" i="3"/>
  <c r="H132" i="3"/>
  <c r="K133" i="3"/>
  <c r="J133" i="3"/>
  <c r="I133" i="3"/>
  <c r="H133" i="3"/>
  <c r="K134" i="3"/>
  <c r="J134" i="3"/>
  <c r="I134" i="3"/>
  <c r="H134" i="3"/>
  <c r="K135" i="3"/>
  <c r="J135" i="3"/>
  <c r="I135" i="3"/>
  <c r="H135" i="3"/>
  <c r="K136" i="3"/>
  <c r="J136" i="3"/>
  <c r="I136" i="3"/>
  <c r="H136" i="3"/>
  <c r="K137" i="3"/>
  <c r="J137" i="3"/>
  <c r="I137" i="3"/>
  <c r="H137" i="3"/>
  <c r="K138" i="3"/>
  <c r="J138" i="3"/>
  <c r="I138" i="3"/>
  <c r="H138" i="3"/>
  <c r="K139" i="3"/>
  <c r="J139" i="3"/>
  <c r="I139" i="3"/>
  <c r="H139" i="3"/>
  <c r="K140" i="3"/>
  <c r="J140" i="3"/>
  <c r="I140" i="3"/>
  <c r="H140" i="3"/>
  <c r="K141" i="3"/>
  <c r="J141" i="3"/>
  <c r="I141" i="3"/>
  <c r="H141" i="3"/>
  <c r="K142" i="3"/>
  <c r="J142" i="3"/>
  <c r="I142" i="3"/>
  <c r="H142" i="3"/>
  <c r="K143" i="3"/>
  <c r="J143" i="3"/>
  <c r="I143" i="3"/>
  <c r="H143" i="3"/>
  <c r="K144" i="3"/>
  <c r="J144" i="3"/>
  <c r="I144" i="3"/>
  <c r="H144" i="3"/>
  <c r="K145" i="3"/>
  <c r="J145" i="3"/>
  <c r="I145" i="3"/>
  <c r="H145" i="3"/>
  <c r="K146" i="3"/>
  <c r="J146" i="3"/>
  <c r="I146" i="3"/>
  <c r="H146" i="3"/>
  <c r="K147" i="3"/>
  <c r="J147" i="3"/>
  <c r="I147" i="3"/>
  <c r="H147" i="3"/>
  <c r="K148" i="3"/>
  <c r="J148" i="3"/>
  <c r="I148" i="3"/>
  <c r="H148" i="3"/>
  <c r="K149" i="3"/>
  <c r="J149" i="3"/>
  <c r="I149" i="3"/>
  <c r="H149" i="3"/>
  <c r="K150" i="3"/>
  <c r="J150" i="3"/>
  <c r="I150" i="3"/>
  <c r="H150" i="3"/>
  <c r="K151" i="3"/>
  <c r="J151" i="3"/>
  <c r="I151" i="3"/>
  <c r="H151" i="3"/>
  <c r="K152" i="3"/>
  <c r="J152" i="3"/>
  <c r="I152" i="3"/>
  <c r="H152" i="3"/>
  <c r="K153" i="3"/>
  <c r="J153" i="3"/>
  <c r="I153" i="3"/>
  <c r="H153" i="3"/>
  <c r="K154" i="3"/>
  <c r="J154" i="3"/>
  <c r="I154" i="3"/>
  <c r="H154" i="3"/>
  <c r="K155" i="3"/>
  <c r="J155" i="3"/>
  <c r="I155" i="3"/>
  <c r="H155" i="3"/>
  <c r="K156" i="3"/>
  <c r="J156" i="3"/>
  <c r="I156" i="3"/>
  <c r="H156" i="3"/>
  <c r="K157" i="3"/>
  <c r="J157" i="3"/>
  <c r="I157" i="3"/>
  <c r="H157" i="3"/>
  <c r="K158" i="3"/>
  <c r="J158" i="3"/>
  <c r="I158" i="3"/>
  <c r="H158" i="3"/>
  <c r="K159" i="3"/>
  <c r="J159" i="3"/>
  <c r="I159" i="3"/>
  <c r="H159" i="3"/>
  <c r="K160" i="3"/>
  <c r="J160" i="3"/>
  <c r="I160" i="3"/>
  <c r="H160" i="3"/>
  <c r="K161" i="3"/>
  <c r="J161" i="3"/>
  <c r="I161" i="3"/>
  <c r="H161" i="3"/>
  <c r="K162" i="3"/>
  <c r="J162" i="3"/>
  <c r="I162" i="3"/>
  <c r="H162" i="3"/>
  <c r="K163" i="3"/>
  <c r="J163" i="3"/>
  <c r="I163" i="3"/>
  <c r="H163" i="3"/>
  <c r="K164" i="3"/>
  <c r="J164" i="3"/>
  <c r="I164" i="3"/>
  <c r="H164" i="3"/>
  <c r="K165" i="3"/>
  <c r="J165" i="3"/>
  <c r="I165" i="3"/>
  <c r="H165" i="3"/>
  <c r="K166" i="3"/>
  <c r="J166" i="3"/>
  <c r="I166" i="3"/>
  <c r="H166" i="3"/>
  <c r="K167" i="3"/>
  <c r="J167" i="3"/>
  <c r="I167" i="3"/>
  <c r="H167" i="3"/>
  <c r="K168" i="3"/>
  <c r="J168" i="3"/>
  <c r="I168" i="3"/>
  <c r="H168" i="3"/>
  <c r="K169" i="3"/>
  <c r="J169" i="3"/>
  <c r="I169" i="3"/>
  <c r="H169" i="3"/>
  <c r="K170" i="3"/>
  <c r="J170" i="3"/>
  <c r="I170" i="3"/>
  <c r="H170" i="3"/>
  <c r="K171" i="3"/>
  <c r="J171" i="3"/>
  <c r="I171" i="3"/>
  <c r="H171" i="3"/>
  <c r="K172" i="3"/>
  <c r="J172" i="3"/>
  <c r="I172" i="3"/>
  <c r="H172" i="3"/>
  <c r="K173" i="3"/>
  <c r="J173" i="3"/>
  <c r="I173" i="3"/>
  <c r="H173" i="3"/>
  <c r="K174" i="3"/>
  <c r="J174" i="3"/>
  <c r="I174" i="3"/>
  <c r="H174" i="3"/>
  <c r="K175" i="3"/>
  <c r="J175" i="3"/>
  <c r="I175" i="3"/>
  <c r="H175" i="3"/>
  <c r="K176" i="3"/>
  <c r="J176" i="3"/>
  <c r="I176" i="3"/>
  <c r="H176" i="3"/>
  <c r="K177" i="3"/>
  <c r="J177" i="3"/>
  <c r="I177" i="3"/>
  <c r="H177" i="3"/>
  <c r="K178" i="3"/>
  <c r="J178" i="3"/>
  <c r="I178" i="3"/>
  <c r="H178" i="3"/>
  <c r="K179" i="3"/>
  <c r="J179" i="3"/>
  <c r="I179" i="3"/>
  <c r="H179" i="3"/>
  <c r="K180" i="3"/>
  <c r="J180" i="3"/>
  <c r="I180" i="3"/>
  <c r="H180" i="3"/>
  <c r="K181" i="3"/>
  <c r="J181" i="3"/>
  <c r="I181" i="3"/>
  <c r="H181" i="3"/>
  <c r="K182" i="3"/>
  <c r="J182" i="3"/>
  <c r="I182" i="3"/>
  <c r="H182" i="3"/>
  <c r="J183" i="3"/>
  <c r="I183" i="3"/>
  <c r="H183" i="3"/>
  <c r="C43" i="3"/>
  <c r="C60" i="3"/>
  <c r="C62" i="3"/>
  <c r="C42" i="3"/>
  <c r="C47" i="3"/>
  <c r="E47" i="3"/>
  <c r="C48" i="3"/>
  <c r="E48" i="3"/>
  <c r="C49" i="3"/>
  <c r="C50" i="3"/>
  <c r="C44" i="3"/>
  <c r="V21" i="3"/>
  <c r="V17" i="3"/>
  <c r="X9" i="3"/>
  <c r="E8" i="3"/>
  <c r="AB4" i="3"/>
  <c r="AC4" i="3"/>
  <c r="AH3" i="3"/>
  <c r="AC3" i="3"/>
  <c r="B42" i="2"/>
  <c r="F31" i="2"/>
  <c r="E31" i="2"/>
  <c r="B31" i="2"/>
  <c r="B41" i="2"/>
  <c r="B40" i="2" a="1"/>
  <c r="B40" i="2"/>
  <c r="B38" i="2"/>
  <c r="E36" i="2"/>
  <c r="B36" i="2"/>
  <c r="C33" i="2"/>
  <c r="A33" i="2"/>
  <c r="C32" i="2"/>
  <c r="A32" i="2"/>
  <c r="B22" i="2"/>
  <c r="X18" i="2"/>
  <c r="A18" i="2"/>
  <c r="D11" i="2"/>
  <c r="D13" i="2"/>
  <c r="C9" i="2"/>
  <c r="B9" i="2"/>
  <c r="H7" i="2"/>
  <c r="B7" i="2"/>
  <c r="H6" i="2"/>
  <c r="G5" i="2"/>
  <c r="I5" i="2"/>
  <c r="H5" i="2"/>
  <c r="G4" i="2"/>
  <c r="I4" i="2"/>
  <c r="H4" i="2"/>
  <c r="C62" i="1"/>
  <c r="C63" i="1"/>
  <c r="C64" i="1"/>
  <c r="E62" i="1"/>
  <c r="E63" i="1"/>
  <c r="E64" i="1"/>
  <c r="C65" i="1"/>
  <c r="E59" i="1"/>
  <c r="C59" i="1"/>
  <c r="C41" i="1"/>
  <c r="C30" i="1"/>
  <c r="C31" i="1"/>
  <c r="E31" i="1"/>
  <c r="C28" i="1"/>
  <c r="C23" i="1"/>
  <c r="E23" i="1"/>
  <c r="C21" i="1"/>
  <c r="G15" i="1"/>
  <c r="G14" i="1"/>
  <c r="G10" i="1"/>
  <c r="E3" i="1"/>
</calcChain>
</file>

<file path=xl/sharedStrings.xml><?xml version="1.0" encoding="utf-8"?>
<sst xmlns="http://schemas.openxmlformats.org/spreadsheetml/2006/main" count="561" uniqueCount="363">
  <si>
    <t>INPUT</t>
  </si>
  <si>
    <t>HIDE S.D Kol. W</t>
  </si>
  <si>
    <t>Tipe Produk:</t>
  </si>
  <si>
    <t>AKTIF</t>
  </si>
  <si>
    <t>angsuran set</t>
  </si>
  <si>
    <t>cek angsuran maks akhir</t>
  </si>
  <si>
    <t>Status Payroll:</t>
  </si>
  <si>
    <t>P</t>
  </si>
  <si>
    <t>Tgl Proyeksi cair:</t>
  </si>
  <si>
    <t>C</t>
  </si>
  <si>
    <t>Tgl Lahir:</t>
  </si>
  <si>
    <t>N</t>
  </si>
  <si>
    <t>TMT Bekerja:</t>
  </si>
  <si>
    <t>Pensiun Angs</t>
  </si>
  <si>
    <t xml:space="preserve">Tahun BUP: </t>
  </si>
  <si>
    <t>masa aktif</t>
  </si>
  <si>
    <t>Tanggal BUP:</t>
  </si>
  <si>
    <t>Plafond Pengajuan:</t>
  </si>
  <si>
    <t>Tenor (Bulan):</t>
  </si>
  <si>
    <t>Price Saat Aktif:</t>
  </si>
  <si>
    <t>1. No Atribusi</t>
  </si>
  <si>
    <t>Price Saat Pensiun:</t>
  </si>
  <si>
    <t>2. Atribusi Asuransi</t>
  </si>
  <si>
    <t>Tipe Atribusi:</t>
  </si>
  <si>
    <t>3. Atribusi Asuransi + Pinalti</t>
  </si>
  <si>
    <t>Tgl Pensiun:</t>
  </si>
  <si>
    <t>Murabahah</t>
  </si>
  <si>
    <t>Gaji Saat Ini (70%):</t>
  </si>
  <si>
    <t>Manfaat pensiun (90%)</t>
  </si>
  <si>
    <t>Minimal Angs Aktif</t>
  </si>
  <si>
    <t>Angsuran BSI:</t>
  </si>
  <si>
    <t>Angsuran Selain BSI:</t>
  </si>
  <si>
    <t>Biaya Asuransi:</t>
  </si>
  <si>
    <t>Rate asuransi</t>
  </si>
  <si>
    <t xml:space="preserve">Biaya Pinalti: </t>
  </si>
  <si>
    <t>OUTPUT</t>
  </si>
  <si>
    <t>Maksimal Plafon:</t>
  </si>
  <si>
    <t>plaf mak</t>
  </si>
  <si>
    <t>Plafond disetujui:</t>
  </si>
  <si>
    <t>plaf mak atrb</t>
  </si>
  <si>
    <t>Price Atrib Pra Pensiun:</t>
  </si>
  <si>
    <t>Price Atrib Pasca Pensiun:</t>
  </si>
  <si>
    <t>Biaya Atribusi Nasabah:</t>
  </si>
  <si>
    <t>plaf mak  atrb2</t>
  </si>
  <si>
    <t>Nominal Blokir PPTB</t>
  </si>
  <si>
    <t>Cash on hand PPTB</t>
  </si>
  <si>
    <t>Simulasi Pembiayaan lain (mitraguna, griya, dll)</t>
  </si>
  <si>
    <t>DATA DIKETAHUI PP10th-Non Payroll</t>
  </si>
  <si>
    <t>Atrib &amp; Non-Atrib</t>
  </si>
  <si>
    <t>fx=C18-I3</t>
  </si>
  <si>
    <t>fx=K3-J3</t>
  </si>
  <si>
    <t>fx=$C$25/12*C18</t>
  </si>
  <si>
    <t>fx=$C$6</t>
  </si>
  <si>
    <t>Jika plafon lebih besar, maka bisa digunakan untuk menghitung angsuran</t>
  </si>
  <si>
    <t>cek EPR</t>
  </si>
  <si>
    <t>Gaji Aktif</t>
  </si>
  <si>
    <t>tenor ke-</t>
  </si>
  <si>
    <t>pokok/plafon disetujui</t>
  </si>
  <si>
    <t>angsuran pokok</t>
  </si>
  <si>
    <t>angsuran margin</t>
  </si>
  <si>
    <t>total angsuran</t>
  </si>
  <si>
    <t>Kalkulasi Angsuran Aktif</t>
  </si>
  <si>
    <t>rate net</t>
  </si>
  <si>
    <t xml:space="preserve">atribusi </t>
  </si>
  <si>
    <t>pokok+atrib</t>
  </si>
  <si>
    <t>atrib</t>
  </si>
  <si>
    <t>margin net</t>
  </si>
  <si>
    <t>Y on Pokok</t>
  </si>
  <si>
    <t>Manf Pens</t>
  </si>
  <si>
    <t>Margin</t>
  </si>
  <si>
    <t>DBR Aktif</t>
  </si>
  <si>
    <t>Atrib per bln</t>
  </si>
  <si>
    <t>DSR Pensiun</t>
  </si>
  <si>
    <t xml:space="preserve">Rate </t>
  </si>
  <si>
    <t>Akseptasi Aktif</t>
  </si>
  <si>
    <t>fx=C2*C4</t>
  </si>
  <si>
    <t>Akseptasi Pensiun</t>
  </si>
  <si>
    <t>fx=C3*C5</t>
  </si>
  <si>
    <t>sisa</t>
  </si>
  <si>
    <t>Kalkulasi Angsuran Pensiun</t>
  </si>
  <si>
    <t>83 bulan</t>
  </si>
  <si>
    <t>Tenor</t>
  </si>
  <si>
    <t>Sisa OS Pensiun</t>
  </si>
  <si>
    <t>Aktif</t>
  </si>
  <si>
    <t>Atribusi per bulan</t>
  </si>
  <si>
    <t>Pensiun</t>
  </si>
  <si>
    <t>jk atrib</t>
  </si>
  <si>
    <t>Rate Awal</t>
  </si>
  <si>
    <t>rate aktif</t>
  </si>
  <si>
    <t>ini udah oke, di NOS di plus 0,001 utk aktif</t>
  </si>
  <si>
    <t>Periode pensiun</t>
  </si>
  <si>
    <t>rate pensiun</t>
  </si>
  <si>
    <t>ini udah oke, di NOS di plus 0,01 utk pensiun</t>
  </si>
  <si>
    <t>Angsuran</t>
  </si>
  <si>
    <t>Nominal Atribusi</t>
  </si>
  <si>
    <t>Final</t>
  </si>
  <si>
    <t>Plafon Pengajuan</t>
  </si>
  <si>
    <t>Rate Atrib</t>
  </si>
  <si>
    <t>1.</t>
  </si>
  <si>
    <t>SKEMA NO ATRIB
Plafon MaksImal dihitung dengan menghitung plafon maksimal saat pensiun dan plafond maksimal saat aktif secara bersamaan</t>
  </si>
  <si>
    <t>Angsuran Final Pen</t>
  </si>
  <si>
    <t>Plafon Maksimal Pensiun</t>
  </si>
  <si>
    <t>fx=-PV(C12/12;C10;C7;;0)</t>
  </si>
  <si>
    <t>Cek sisa OS</t>
  </si>
  <si>
    <t>Plafon Aktif</t>
  </si>
  <si>
    <t>fx=ROUNDDOWN(-PV(C11/12;C9;C6;C17;0)/10^6;)*10^6</t>
  </si>
  <si>
    <t>Mencari Rate Atribusi Aktif</t>
  </si>
  <si>
    <t xml:space="preserve">Cfm </t>
  </si>
  <si>
    <t>Perhitungan dengan menggunakan margin + biaya atrib per bulan</t>
  </si>
  <si>
    <t>Penambahan atr aktif</t>
  </si>
  <si>
    <t>Rate Margin</t>
  </si>
  <si>
    <t>fx=C11/12*C18</t>
  </si>
  <si>
    <t>penambahan atr pensiun</t>
  </si>
  <si>
    <t>Atribusi per Bulan</t>
  </si>
  <si>
    <t>fx=C13/C8</t>
  </si>
  <si>
    <t>Margin + Atribusi</t>
  </si>
  <si>
    <t>fx=C22+C23</t>
  </si>
  <si>
    <t>Rate Atrib Aktif</t>
  </si>
  <si>
    <t>fx=ROUNDUP(C24/C18*12;4)</t>
  </si>
  <si>
    <t>Buat jadwal angsuran terlebih dulu untuk mengetahui OS saat memasuki pensiun --&gt;</t>
  </si>
  <si>
    <t>Sisa OS saat pensiun</t>
  </si>
  <si>
    <t>fx=H57</t>
  </si>
  <si>
    <t>Mencari Rate Atribusi Pensiun</t>
  </si>
  <si>
    <t>Perhitungan dengan menggunakan margin dan atribusi per bulan</t>
  </si>
  <si>
    <t>Rate Margin 10,5%</t>
  </si>
  <si>
    <t>fx=C12/12*C28</t>
  </si>
  <si>
    <t>fx=C32+C33</t>
  </si>
  <si>
    <t>Rate Atribusi Pensiun</t>
  </si>
  <si>
    <t>fx=ROUNDUP(C34/C28*12;4)</t>
  </si>
  <si>
    <t>Angsuran Pensiun</t>
  </si>
  <si>
    <t>fx=PMT(C35/12;C10;-C28;0;0)</t>
  </si>
  <si>
    <t>**angsuran pensiun melebihi 90% akseptasi Manfaat Pensiun, sehingga harus mengihitung ulang plafond aktif dan pensiun untuk skenario atribusi</t>
  </si>
  <si>
    <t>SKEMA ATRIB
Menghitung ulang menggunakan rate atribusi aktif dan pensiun pada langkah (2) dan (4) kemudian mencari plafond maksimal aktif dan pensiun menggunakan skenario Atribusi</t>
  </si>
  <si>
    <t>fx=C25</t>
  </si>
  <si>
    <t>Rate Atrib Pensiun</t>
  </si>
  <si>
    <t>fx=C35</t>
  </si>
  <si>
    <t>fx=-PV(C43/12;C10;C7;0;0)</t>
  </si>
  <si>
    <t>Plafond Maksimal Aktif</t>
  </si>
  <si>
    <t>fx=ROUNDDOWN(-PV(C42/12;C9;C6;C44;0)/10^6;0)*10^6</t>
  </si>
  <si>
    <t>ATRIBUSI</t>
  </si>
  <si>
    <t>Rate Aktif (plafon atrib)</t>
  </si>
  <si>
    <t>ANGS MAKS ATR AKTIF</t>
  </si>
  <si>
    <t>Rate Pensiun (plafon atrib)</t>
  </si>
  <si>
    <t>ANGS MAKS ATR PENSIUN</t>
  </si>
  <si>
    <t>Plafon mak pensiun</t>
  </si>
  <si>
    <t>"=PV(RATE;TENOR;PMT)</t>
  </si>
  <si>
    <t>Plafon maks prapen</t>
  </si>
  <si>
    <t>fx=H115</t>
  </si>
  <si>
    <t>=-PMT(C43/12;C10;C60;0;0)</t>
  </si>
  <si>
    <t>**angsuran pensiun telah memenuhi atau dibawah 90% akseptasi Manfaat Pensiun (sesuai)</t>
  </si>
  <si>
    <t>Note for PP10 Dekade Berkah</t>
  </si>
  <si>
    <t xml:space="preserve">1. </t>
  </si>
  <si>
    <t xml:space="preserve">perhitungan sesuai reguler, plafon maks dan penurunan pokok </t>
  </si>
  <si>
    <t>2.</t>
  </si>
  <si>
    <t>rate penyesuaian di aktif +0,001 (0,1%)</t>
  </si>
  <si>
    <t>3.</t>
  </si>
  <si>
    <t>rate adjs. Di pensiun +0,01 (1%)</t>
  </si>
  <si>
    <t>4.</t>
  </si>
  <si>
    <t>Case Atrib, DSR/DBR maks dikurangin atrib per bulan</t>
  </si>
  <si>
    <t>Data Pembiayaan</t>
  </si>
  <si>
    <t>Produk</t>
  </si>
  <si>
    <t>:</t>
  </si>
  <si>
    <t>Jangka waktu</t>
  </si>
  <si>
    <t>Price Aktif</t>
  </si>
  <si>
    <t>Angsuran Aktif</t>
  </si>
  <si>
    <t>Tenor Aktif</t>
  </si>
  <si>
    <t>Price Pensiun</t>
  </si>
  <si>
    <t>Tenor Pensiun</t>
  </si>
  <si>
    <t>=</t>
  </si>
  <si>
    <t xml:space="preserve">INPUT </t>
  </si>
  <si>
    <t>Akad MMQ</t>
  </si>
  <si>
    <t>Akad Murabahah</t>
  </si>
  <si>
    <t>Harga/NilaiObjekAkad</t>
  </si>
  <si>
    <t>HishshahBANK</t>
  </si>
  <si>
    <t>HishshahNASABAH</t>
  </si>
  <si>
    <t>NisbahAwalBANK</t>
  </si>
  <si>
    <t>NisbahAwalNASABAH</t>
  </si>
  <si>
    <t>JangkaWaktu</t>
  </si>
  <si>
    <t>*untuk keperluan upload jadwal angsuran</t>
  </si>
  <si>
    <t>Ke-</t>
  </si>
  <si>
    <t>Tanggal</t>
  </si>
  <si>
    <t>Outstanding (Rp)</t>
  </si>
  <si>
    <t>Biaya Sewa/Ujrah Per Bulan (Rp)</t>
  </si>
  <si>
    <t>Nisbah Bank(%)</t>
  </si>
  <si>
    <t>Nisbah Nasabah (%)</t>
  </si>
  <si>
    <t>BagiHasil Bank (Rp)</t>
  </si>
  <si>
    <t>BagiHasil Nasabah (Rp)</t>
  </si>
  <si>
    <t>Hishshah Bank(%)</t>
  </si>
  <si>
    <t>Hishshah Nasabah (%)</t>
  </si>
  <si>
    <t>Biaya Sewa/ Ujrah Per Bulan(Rp)</t>
  </si>
  <si>
    <t>Angsuran ke</t>
  </si>
  <si>
    <t>Total Angsuran</t>
  </si>
  <si>
    <t>Pokok</t>
  </si>
  <si>
    <t>Sisa OS</t>
  </si>
  <si>
    <t>DATA DIKETAHUI PP3th-Non Payroll</t>
  </si>
  <si>
    <t>fx=C43-J3</t>
  </si>
  <si>
    <t>fx=L3-K3</t>
  </si>
  <si>
    <t>fx=$C$53/12*C43</t>
  </si>
  <si>
    <t>fx=$C$54</t>
  </si>
  <si>
    <t>pokok</t>
  </si>
  <si>
    <t>Manf Pensiun</t>
  </si>
  <si>
    <t>Angsuran Pokok</t>
  </si>
  <si>
    <t>fx=I3-J5</t>
  </si>
  <si>
    <t>fx=L5-K5</t>
  </si>
  <si>
    <t>fx=$C$53/12*I3</t>
  </si>
  <si>
    <t>fx=L3</t>
  </si>
  <si>
    <t>Angsuran Pokok Aktif</t>
  </si>
  <si>
    <t>rate pen</t>
  </si>
  <si>
    <t>Atribusi</t>
  </si>
  <si>
    <t>SKEMA NO ATRIB
Perhitungan plafon maksimal dilakukan dengan menghitung plafon maksimal saat Aktif dan plafond maksimal saat Pensiun, kemudian dibandingkan dan mengambil plafond yang paling kecil sebagai rekomendasi plafon maksimal.</t>
  </si>
  <si>
    <t>fx=ROUNDDOWN(-PV(C12/12;C10;C7;;0)/10^6;)*10^6</t>
  </si>
  <si>
    <t>Mencari Plafond maksimal saat Aktif</t>
  </si>
  <si>
    <t>Menghitung Margin Maksimal dengan pokok 10.000</t>
  </si>
  <si>
    <t>Angsuran Maksimal Aktif</t>
  </si>
  <si>
    <t>fx=C6</t>
  </si>
  <si>
    <t>Angsuran Margin (maksimal)</t>
  </si>
  <si>
    <t>fx=C23-C24</t>
  </si>
  <si>
    <t>Plafon Maksimal Aktif</t>
  </si>
  <si>
    <t>fx=ROUNDDOWN(C25/(C11/12)/10^6;)*10^6</t>
  </si>
  <si>
    <t>Perhitungan jadwal Angsuran Pensiun</t>
  </si>
  <si>
    <t>Plafond maksimal adalah plafond minimal yang dipilih dari perbandingan plafond Aktif maupun Pensiun, sehingga diperoleh plafond rekomendasi yaitu Plafond Maksimal saat Pensiun</t>
  </si>
  <si>
    <t>fx=I25-J29</t>
  </si>
  <si>
    <t>fx=L29-K29</t>
  </si>
  <si>
    <t>fx=$C$62/12*I25</t>
  </si>
  <si>
    <t>fx=$C$63</t>
  </si>
  <si>
    <t xml:space="preserve">Plafon rekomendasi </t>
  </si>
  <si>
    <t>fx=MIN(C19;C26)</t>
  </si>
  <si>
    <t>SKEMA ATRIBUSI</t>
  </si>
  <si>
    <t>fx=C13</t>
  </si>
  <si>
    <t>fx=C33/C8</t>
  </si>
  <si>
    <t>fx=ROUNDDOWN(-PV(C12/12;C10;C7-C34;;0)/10^6;)*10^6</t>
  </si>
  <si>
    <t>fx=C34</t>
  </si>
  <si>
    <t>fx=C39-C40-C41</t>
  </si>
  <si>
    <t>fx=ROUNDDOWN(C42/(C11/12)/10^6;0)*10^6</t>
  </si>
  <si>
    <t>Plafon Rekomendasi Maksimal</t>
  </si>
  <si>
    <t>fx=MIN(C35;C43)</t>
  </si>
  <si>
    <t>Menghitung Rate Atribusi Aktif</t>
  </si>
  <si>
    <t>Margin Aktif</t>
  </si>
  <si>
    <t>fx=C11/12*C45</t>
  </si>
  <si>
    <t>Angsuran (Margin+Pokok)</t>
  </si>
  <si>
    <t>fx=C48+C49</t>
  </si>
  <si>
    <t>fx=C41</t>
  </si>
  <si>
    <t>Angsuran (Margin+Atribusi)</t>
  </si>
  <si>
    <t>fx=C48+C51</t>
  </si>
  <si>
    <t>Rate Atribusi Aktif</t>
  </si>
  <si>
    <t>fx=C52/C45*12</t>
  </si>
  <si>
    <t>Total Angsuran saat Aktif</t>
  </si>
  <si>
    <t>fx=C52+C49</t>
  </si>
  <si>
    <t>Menghitung Rate Atribusi Pensiun</t>
  </si>
  <si>
    <t>Membuat simulasi jadwal angsuran aktif untuk mengetahui sisa OS saat pensiun --&gt;</t>
  </si>
  <si>
    <t>fx=I57</t>
  </si>
  <si>
    <t>fx=-PMT(C12/12;C10;C58;0;0)</t>
  </si>
  <si>
    <t>fx=C51</t>
  </si>
  <si>
    <t>Angsuran (pensiun+atrib)</t>
  </si>
  <si>
    <t>fx=C59+C60</t>
  </si>
  <si>
    <t>fx=ROUNDUP(RATE(C10;C61;-C58;0;0)*12;4)</t>
  </si>
  <si>
    <t>Total Angsuran saat Pensiun</t>
  </si>
  <si>
    <t>fx=-PMT(C62/12;C10;C58;0;0)</t>
  </si>
  <si>
    <t>Note utk PP3</t>
  </si>
  <si>
    <t>Perhitungan sesuai reguler dengan adjustment rate</t>
  </si>
  <si>
    <t>Adj rate Aktif gak ada</t>
  </si>
  <si>
    <t>Adj rate pensiun +0,01 (1%)</t>
  </si>
  <si>
    <t xml:space="preserve">ada adjustment aktif -2 bulan </t>
  </si>
  <si>
    <t>tanpa atrib</t>
  </si>
  <si>
    <t>plafon atr</t>
  </si>
  <si>
    <t>Angsuran mitraguna</t>
  </si>
  <si>
    <t>Sisa masa aktif</t>
  </si>
  <si>
    <t>SIMULASI NOS MITRAGUNA PRIMA+</t>
  </si>
  <si>
    <t>Nama</t>
  </si>
  <si>
    <t>Tanggal Lahir</t>
  </si>
  <si>
    <t>NIP</t>
  </si>
  <si>
    <t>Gaji Pokok</t>
  </si>
  <si>
    <t>Uang Makan</t>
  </si>
  <si>
    <t>Tunjangan Rutin per 1 Bulan</t>
  </si>
  <si>
    <t>Tunjangan Lain Rutin per 1 Bulan</t>
  </si>
  <si>
    <t>TMT Bekerja</t>
  </si>
  <si>
    <t>TMT Pensiun (BUP)</t>
  </si>
  <si>
    <t>THT</t>
  </si>
  <si>
    <t>Biaya Asuransi</t>
  </si>
  <si>
    <t>Buka Blokir Yang Lama</t>
  </si>
  <si>
    <t>Pelunasan Yang Lama</t>
  </si>
  <si>
    <t>Plafond Pra Pensiun</t>
  </si>
  <si>
    <t>Estimasi Taksasi MMQ</t>
  </si>
  <si>
    <t>Fasilitas Eksisting (Dilunasi/Tidak Dilunasi)</t>
  </si>
  <si>
    <t>Mitraguna</t>
  </si>
  <si>
    <t>Akad Pembiayaan</t>
  </si>
  <si>
    <t>Jenis Pelunasan</t>
  </si>
  <si>
    <t>Pelunasan di Percepat (Top Up Lunas Maju)</t>
  </si>
  <si>
    <t>Margin Dibayar</t>
  </si>
  <si>
    <t>n + 1 + Sisa Atribusi</t>
  </si>
  <si>
    <t>No. Loan</t>
  </si>
  <si>
    <t>LD2400931674</t>
  </si>
  <si>
    <t>LD2206703248</t>
  </si>
  <si>
    <t>CIF</t>
  </si>
  <si>
    <t>No. Rek Debet</t>
  </si>
  <si>
    <t>Tanggal Cair</t>
  </si>
  <si>
    <t>Tanggal Jatuh Tempo</t>
  </si>
  <si>
    <t>Jangka Waktu Pembiayaan</t>
  </si>
  <si>
    <t>Jangka Waktu Telah Dijalani</t>
  </si>
  <si>
    <t>Tunggakan</t>
  </si>
  <si>
    <t>Plafond Awal</t>
  </si>
  <si>
    <t>OS Pokok Pembiayaan</t>
  </si>
  <si>
    <t>Sisa Margin/Ujrah</t>
  </si>
  <si>
    <t>Margin Pelunasan</t>
  </si>
  <si>
    <t>Diskon Margin/Ujrah</t>
  </si>
  <si>
    <t>Jenis Atribusi</t>
  </si>
  <si>
    <t>YA</t>
  </si>
  <si>
    <t>Biaya Atribusi Awal</t>
  </si>
  <si>
    <t>Nilai Atribusi Per Bulan</t>
  </si>
  <si>
    <t>Sisa Nilai Atribusi</t>
  </si>
  <si>
    <t>Pelunasan</t>
  </si>
  <si>
    <t>Total Pelunasan</t>
  </si>
  <si>
    <t>PRA PENSIUN DEKADE BERKAH</t>
  </si>
  <si>
    <t>Nama Nasabah</t>
  </si>
  <si>
    <t>Plafond</t>
  </si>
  <si>
    <t>Jangka Waktu</t>
  </si>
  <si>
    <t>Angsuran saat Aktif PNS</t>
  </si>
  <si>
    <t>Bulan</t>
  </si>
  <si>
    <t>Angsuran saat Pensiun</t>
  </si>
  <si>
    <t>Biaya</t>
  </si>
  <si>
    <t>Administrasi (1%)</t>
  </si>
  <si>
    <t>Asuransi</t>
  </si>
  <si>
    <t>Materai</t>
  </si>
  <si>
    <t>Blokir Angsuran</t>
  </si>
  <si>
    <t>Blokir 1x Angs Masa Aktif</t>
  </si>
  <si>
    <t>Blokir 2x Angs Masa Pensiun</t>
  </si>
  <si>
    <t>Terima Bersih</t>
  </si>
  <si>
    <t>Syarat Dokumen Pembiayaan Pra Pen DEKADE BERKAH 10 Tahun (Mrbh atau MMQ)</t>
  </si>
  <si>
    <t>Fotocopy KTP Suami dan Istri</t>
  </si>
  <si>
    <t>Fotocopy Kartu Keluarga</t>
  </si>
  <si>
    <t>Fotocopy Akte Nikah</t>
  </si>
  <si>
    <t>Fotocopy NPWP</t>
  </si>
  <si>
    <t>Asli SK PNS</t>
  </si>
  <si>
    <t>Asli SK Golongan terakhir</t>
  </si>
  <si>
    <t>Fotocopy Rek Pensiun BSI</t>
  </si>
  <si>
    <t>Amprah Gaji &amp; Amprah Tunjangan 3 Bulan Terakhir (Stempel TTD)</t>
  </si>
  <si>
    <t>Rekening Koran atau Print Buku Tabungan Gaji 3 Bulan Terakhir</t>
  </si>
  <si>
    <t>Fotocopy Surat Tanah/Rumah atas nama Nasabah/Pasangan (Jika Top Up atau Take Over)</t>
  </si>
  <si>
    <t>Proyeksi Cair</t>
  </si>
  <si>
    <t>Start Angsuran</t>
  </si>
  <si>
    <t>Selesai Angsuran</t>
  </si>
  <si>
    <t>Tunjangan Rutin per 3 Bulan</t>
  </si>
  <si>
    <t>(Setting Usia Jatuh Tempo Maks 74 Thn 4 bln x hari)</t>
  </si>
  <si>
    <t>1968012220071012004</t>
  </si>
  <si>
    <t>PRA PENSIUN TRI BERKAH</t>
  </si>
  <si>
    <t>Blokir Angs Aktif + 2x Pensiun</t>
  </si>
  <si>
    <t>SITI HAFSAH</t>
  </si>
  <si>
    <t>Prapen 10 Tahun</t>
  </si>
  <si>
    <t>Payroll</t>
  </si>
  <si>
    <t>Sesuaikan Pricing yang Berlaku</t>
  </si>
  <si>
    <t>Isi Dari Hasil Kalkulator Asuransi</t>
  </si>
  <si>
    <t>Rate Masa Aktif</t>
  </si>
  <si>
    <t>Dekade Nett 200</t>
  </si>
  <si>
    <t>9.25%</t>
  </si>
  <si>
    <t>10.50%</t>
  </si>
  <si>
    <t>9.50%</t>
  </si>
  <si>
    <t>Rate Masa Pensiun</t>
  </si>
  <si>
    <t>dibawah 200</t>
  </si>
  <si>
    <t>11.50%</t>
  </si>
  <si>
    <t>Tri Nett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</si>
</sst>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Rp&quot;#,##0.00;[Red]\-&quot;Rp&quot;#,##0.00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-409]d\-mmm\-yyyy;@"/>
    <numFmt numFmtId="165" formatCode="_(* #,##0.00_);_(* \(#,##0.00\);_(* &quot;-&quot;??_);_(@_)"/>
    <numFmt numFmtId="166" formatCode="d\-mmm\-yy"/>
    <numFmt numFmtId="167" formatCode="[$-409]dd\-mmm\-yy;@"/>
    <numFmt numFmtId="168" formatCode="[$-409]d\-mmm\-yyyy"/>
    <numFmt numFmtId="169" formatCode="m/d/yyyy"/>
    <numFmt numFmtId="170" formatCode="_-* #,##0.0_-;\-* #,##0.0_-;_-* &quot;-&quot;??_-;_-@_-"/>
    <numFmt numFmtId="171" formatCode="_-* #,##0_-;\-* #,##0_-;_-* &quot;-&quot;??_-;_-@_-"/>
    <numFmt numFmtId="172" formatCode="0.0000%"/>
    <numFmt numFmtId="173" formatCode="_(&quot;Rp&quot;* #,##0_);_(&quot;Rp&quot;* \(#,##0\);_(&quot;Rp&quot;* &quot;-&quot;_);_(@_)"/>
    <numFmt numFmtId="174" formatCode="_-&quot;Rp&quot;* #,##0.0_-;\-&quot;Rp&quot;* #,##0.0_-;_-&quot;Rp&quot;* &quot;-&quot;?_-;_-@_-"/>
    <numFmt numFmtId="175" formatCode="0.0%"/>
    <numFmt numFmtId="176" formatCode="_(&quot;Rp&quot;* #,##0.0_);_(&quot;Rp&quot;* \(#,##0.0\);_(&quot;Rp&quot;* &quot;-&quot;_);_(@_)"/>
    <numFmt numFmtId="177" formatCode="&quot;Rp&quot;#,##0.00_);[Red]\(&quot;Rp&quot;#,##0.00\)"/>
    <numFmt numFmtId="178" formatCode="_(&quot;Rp&quot;* #,##0.00_);_(&quot;Rp&quot;* \(#,##0.00\);_(&quot;Rp&quot;* &quot;-&quot;??_);_(@_)"/>
    <numFmt numFmtId="179" formatCode="_(&quot;Rp&quot;* #,##0.0_);_(&quot;Rp&quot;* \(#,##0.0\);_(&quot;Rp&quot;* &quot;-&quot;?_);_(@_)"/>
    <numFmt numFmtId="180" formatCode="_(&quot;Rp&quot;* #,##0.00_);_(&quot;Rp&quot;* \(#,##0.00\);_(&quot;Rp&quot;* &quot;-&quot;_);_(@_)"/>
    <numFmt numFmtId="181" formatCode="_-&quot;Rp&quot;* #,##0.00_-;\-&quot;Rp&quot;* #,##0.00_-;_-&quot;Rp&quot;* &quot;-&quot;?_-;_-@_-"/>
  </numFmts>
  <fonts count="51" x14ac:knownFonts="1">
    <font>
      <sz val="16"/>
      <name val="Calibri"/>
    </font>
    <font>
      <sz val="11"/>
      <color rgb="FF000000"/>
      <name val="Calibri"/>
    </font>
    <font>
      <b/>
      <sz val="11"/>
      <color rgb="FFFF0000"/>
      <name val="Calibri"/>
    </font>
    <font>
      <b/>
      <sz val="11"/>
      <color rgb="FFFF0000"/>
      <name val="Calibri"/>
    </font>
    <font>
      <sz val="11"/>
      <color rgb="FF00B05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70C0"/>
      <name val="Calibri"/>
    </font>
    <font>
      <b/>
      <sz val="11"/>
      <color rgb="FF0070C0"/>
      <name val="Calibri"/>
    </font>
    <font>
      <b/>
      <sz val="11"/>
      <name val="Calibri"/>
    </font>
    <font>
      <b/>
      <sz val="11"/>
      <color rgb="FF000000"/>
      <name val="Calibri"/>
    </font>
    <font>
      <b/>
      <sz val="10"/>
      <color rgb="FF7030A0"/>
      <name val="Arial"/>
    </font>
    <font>
      <sz val="11"/>
      <color rgb="FFFF0000"/>
      <name val="Calibri"/>
    </font>
    <font>
      <b/>
      <sz val="16"/>
      <color rgb="FFFF0000"/>
      <name val="Calibri"/>
    </font>
    <font>
      <sz val="12"/>
      <color rgb="FF000000"/>
      <name val="Calibri"/>
    </font>
    <font>
      <sz val="16"/>
      <color rgb="FF000000"/>
      <name val="Calibri"/>
      <charset val="134"/>
    </font>
    <font>
      <b/>
      <sz val="12"/>
      <color rgb="FFFFFFFF"/>
      <name val="Calibri"/>
    </font>
    <font>
      <b/>
      <sz val="10"/>
      <color rgb="FF000000"/>
      <name val="Calibri Light"/>
    </font>
    <font>
      <b/>
      <sz val="10"/>
      <color rgb="FFFFFFFF"/>
      <name val="Calibri Light"/>
    </font>
    <font>
      <sz val="10"/>
      <color rgb="FF000000"/>
      <name val="Calibri Light"/>
    </font>
    <font>
      <sz val="12"/>
      <color rgb="FF000000"/>
      <name val="Calibri Light"/>
    </font>
    <font>
      <b/>
      <sz val="9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i/>
      <sz val="9"/>
      <color rgb="FFFFFFFF"/>
      <name val="Calibri"/>
    </font>
    <font>
      <sz val="16"/>
      <color rgb="FFFFFFFF"/>
      <name val="Calibri"/>
    </font>
    <font>
      <b/>
      <sz val="11"/>
      <color rgb="FFFFFFFF"/>
      <name val="Calibri"/>
    </font>
    <font>
      <i/>
      <sz val="11"/>
      <color rgb="FFFFFFFF"/>
      <name val="Calibri"/>
    </font>
    <font>
      <b/>
      <sz val="16"/>
      <color rgb="FFFF0000"/>
      <name val="Arial"/>
    </font>
    <font>
      <sz val="16"/>
      <color rgb="FF000000"/>
      <name val="Calibri"/>
    </font>
    <font>
      <b/>
      <sz val="20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sz val="16"/>
      <color rgb="FF000000"/>
      <name val="Calibri"/>
    </font>
    <font>
      <b/>
      <sz val="18"/>
      <color rgb="FFFF0000"/>
      <name val="Calibri"/>
    </font>
    <font>
      <sz val="11"/>
      <color rgb="FF000000"/>
      <name val="Arial"/>
    </font>
    <font>
      <b/>
      <sz val="11"/>
      <color indexed="10"/>
      <name val="Calibri"/>
    </font>
    <font>
      <b/>
      <sz val="11"/>
      <color rgb="FF0070C0"/>
      <name val="Arial"/>
    </font>
    <font>
      <sz val="11"/>
      <color rgb="FFFF0000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1"/>
      <color rgb="FFFFFFFF"/>
      <name val="Calibri"/>
    </font>
    <font>
      <sz val="14"/>
      <color rgb="FFFFFFFF"/>
      <name val="Calibri"/>
    </font>
    <font>
      <b/>
      <sz val="14"/>
      <color rgb="FFFFFFFF"/>
      <name val="Calibri"/>
    </font>
    <font>
      <i/>
      <sz val="9"/>
      <color rgb="FFFFFFFF"/>
      <name val="Calibri"/>
    </font>
    <font>
      <i/>
      <sz val="14"/>
      <color rgb="FFFFFFFF"/>
      <name val="Calibri"/>
    </font>
    <font>
      <sz val="9"/>
      <color rgb="FFFFFFFF"/>
      <name val="Calibri"/>
    </font>
    <font>
      <sz val="11"/>
      <color rgb="FF000000"/>
      <name val="Calibri"/>
    </font>
    <font>
      <b/>
      <sz val="11"/>
      <color theme="4"/>
      <name val="Calibri"/>
    </font>
    <font>
      <b/>
      <sz val="11"/>
      <color rgb="FF7030A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rgb="FF009DA7"/>
        <bgColor rgb="FFC2D69B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rgb="FFDBE5F1"/>
      </patternFill>
    </fill>
    <fill>
      <patternFill patternType="solid">
        <fgColor rgb="FFD8D8D8"/>
        <bgColor rgb="FFFDE9D9"/>
      </patternFill>
    </fill>
    <fill>
      <patternFill patternType="solid">
        <fgColor rgb="FFD8D8D8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rgb="FFD8D8D8"/>
        <bgColor rgb="FF92CDDC"/>
      </patternFill>
    </fill>
    <fill>
      <patternFill patternType="solid">
        <fgColor rgb="FFF2F2F2"/>
        <bgColor rgb="FFFDE9D9"/>
      </patternFill>
    </fill>
    <fill>
      <patternFill patternType="solid">
        <fgColor rgb="FFFFC000"/>
        <bgColor rgb="FFFDE9D9"/>
      </patternFill>
    </fill>
    <fill>
      <patternFill patternType="solid">
        <fgColor rgb="FFF4B08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BFBFBF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</borders>
  <cellStyleXfs count="7">
    <xf numFmtId="0" fontId="0" fillId="0" borderId="0">
      <alignment vertical="center"/>
    </xf>
    <xf numFmtId="0" fontId="1" fillId="0" borderId="0">
      <protection locked="0"/>
    </xf>
    <xf numFmtId="43" fontId="29" fillId="0" borderId="0">
      <protection locked="0"/>
    </xf>
    <xf numFmtId="0" fontId="48" fillId="0" borderId="0">
      <protection locked="0"/>
    </xf>
    <xf numFmtId="173" fontId="48" fillId="0" borderId="0">
      <protection locked="0"/>
    </xf>
    <xf numFmtId="0" fontId="29" fillId="0" borderId="0">
      <protection locked="0"/>
    </xf>
    <xf numFmtId="9" fontId="48" fillId="0" borderId="0">
      <protection locked="0"/>
    </xf>
  </cellStyleXfs>
  <cellXfs count="260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165" fontId="3" fillId="0" borderId="0" xfId="0" applyNumberFormat="1" applyFont="1" applyAlignment="1">
      <alignment horizontal="right"/>
    </xf>
    <xf numFmtId="9" fontId="1" fillId="0" borderId="0" xfId="0" applyNumberFormat="1" applyFont="1" applyAlignment="1"/>
    <xf numFmtId="165" fontId="1" fillId="0" borderId="0" xfId="0" applyNumberFormat="1" applyFont="1" applyAlignment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6" fillId="0" borderId="0" xfId="0" applyNumberFormat="1" applyFont="1" applyAlignment="1"/>
    <xf numFmtId="9" fontId="7" fillId="0" borderId="0" xfId="0" applyNumberFormat="1" applyFont="1" applyAlignment="1"/>
    <xf numFmtId="165" fontId="8" fillId="2" borderId="0" xfId="0" applyNumberFormat="1" applyFont="1" applyFill="1" applyAlignment="1">
      <alignment horizontal="right"/>
    </xf>
    <xf numFmtId="0" fontId="7" fillId="0" borderId="0" xfId="0" applyFont="1" applyAlignment="1"/>
    <xf numFmtId="165" fontId="8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65" fontId="3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3" fontId="11" fillId="0" borderId="1" xfId="0" applyNumberFormat="1" applyFont="1" applyBorder="1">
      <alignment vertical="center"/>
    </xf>
    <xf numFmtId="165" fontId="12" fillId="0" borderId="0" xfId="0" applyNumberFormat="1" applyFont="1" applyAlignment="1"/>
    <xf numFmtId="0" fontId="13" fillId="0" borderId="0" xfId="0" applyFont="1" applyAlignme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 applyAlignment="1"/>
    <xf numFmtId="164" fontId="12" fillId="0" borderId="0" xfId="0" applyNumberFormat="1" applyFont="1" applyAlignment="1"/>
    <xf numFmtId="166" fontId="12" fillId="0" borderId="0" xfId="0" applyNumberFormat="1" applyFont="1" applyAlignment="1"/>
    <xf numFmtId="165" fontId="12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5" fontId="7" fillId="0" borderId="0" xfId="0" applyNumberFormat="1" applyFont="1" applyAlignment="1"/>
    <xf numFmtId="165" fontId="6" fillId="2" borderId="0" xfId="0" applyNumberFormat="1" applyFont="1" applyFill="1" applyAlignment="1"/>
    <xf numFmtId="0" fontId="6" fillId="0" borderId="0" xfId="0" applyFont="1" applyAlignment="1"/>
    <xf numFmtId="0" fontId="14" fillId="0" borderId="0" xfId="0" applyFont="1" applyAlignment="1">
      <alignment horizontal="center"/>
    </xf>
    <xf numFmtId="0" fontId="14" fillId="0" borderId="0" xfId="0" applyFont="1" applyAlignment="1"/>
    <xf numFmtId="0" fontId="15" fillId="3" borderId="0" xfId="0" applyFont="1" applyFill="1" applyAlignment="1"/>
    <xf numFmtId="0" fontId="14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5" fillId="5" borderId="0" xfId="0" applyFont="1" applyFill="1" applyAlignment="1"/>
    <xf numFmtId="0" fontId="17" fillId="6" borderId="3" xfId="1" applyFont="1" applyFill="1" applyBorder="1" applyAlignment="1" applyProtection="1">
      <alignment wrapText="1"/>
      <protection hidden="1"/>
    </xf>
    <xf numFmtId="3" fontId="17" fillId="7" borderId="3" xfId="1" applyNumberFormat="1" applyFont="1" applyFill="1" applyBorder="1" applyAlignment="1">
      <alignment horizontal="right" shrinkToFit="1"/>
      <protection locked="0"/>
    </xf>
    <xf numFmtId="0" fontId="17" fillId="7" borderId="3" xfId="1" applyFont="1" applyFill="1" applyBorder="1" applyAlignment="1">
      <alignment horizontal="right"/>
      <protection locked="0"/>
    </xf>
    <xf numFmtId="3" fontId="14" fillId="0" borderId="0" xfId="0" applyNumberFormat="1" applyFont="1" applyAlignment="1"/>
    <xf numFmtId="167" fontId="17" fillId="7" borderId="3" xfId="1" applyNumberFormat="1" applyFont="1" applyFill="1" applyBorder="1" applyAlignment="1">
      <alignment horizontal="right"/>
      <protection locked="0"/>
    </xf>
    <xf numFmtId="168" fontId="17" fillId="8" borderId="3" xfId="1" applyNumberFormat="1" applyFont="1" applyFill="1" applyBorder="1" applyAlignment="1">
      <alignment horizontal="right"/>
      <protection locked="0"/>
    </xf>
    <xf numFmtId="169" fontId="14" fillId="0" borderId="0" xfId="0" applyNumberFormat="1" applyFont="1" applyAlignment="1" applyProtection="1">
      <alignment horizontal="center"/>
      <protection hidden="1"/>
    </xf>
    <xf numFmtId="170" fontId="14" fillId="0" borderId="0" xfId="0" applyNumberFormat="1" applyFont="1" applyAlignment="1" applyProtection="1">
      <protection hidden="1"/>
    </xf>
    <xf numFmtId="0" fontId="17" fillId="8" borderId="3" xfId="1" applyFont="1" applyFill="1" applyBorder="1" applyAlignment="1">
      <alignment horizontal="right"/>
      <protection locked="0"/>
    </xf>
    <xf numFmtId="171" fontId="14" fillId="0" borderId="0" xfId="2" applyNumberFormat="1" applyFont="1" applyAlignment="1" applyProtection="1">
      <alignment horizontal="center"/>
      <protection hidden="1"/>
    </xf>
    <xf numFmtId="168" fontId="17" fillId="9" borderId="3" xfId="1" applyNumberFormat="1" applyFont="1" applyFill="1" applyBorder="1" applyAlignment="1" applyProtection="1">
      <alignment horizontal="right"/>
      <protection hidden="1"/>
    </xf>
    <xf numFmtId="9" fontId="14" fillId="0" borderId="0" xfId="0" applyNumberFormat="1" applyFont="1" applyAlignment="1"/>
    <xf numFmtId="0" fontId="17" fillId="6" borderId="3" xfId="1" quotePrefix="1" applyFont="1" applyFill="1" applyBorder="1" applyAlignment="1" applyProtection="1">
      <alignment vertical="center" wrapText="1"/>
      <protection hidden="1"/>
    </xf>
    <xf numFmtId="3" fontId="17" fillId="7" borderId="3" xfId="1" applyNumberFormat="1" applyFont="1" applyFill="1" applyBorder="1" applyAlignment="1">
      <alignment horizontal="right" vertical="center"/>
      <protection locked="0"/>
    </xf>
    <xf numFmtId="10" fontId="17" fillId="7" borderId="3" xfId="1" applyNumberFormat="1" applyFont="1" applyFill="1" applyBorder="1" applyAlignment="1">
      <alignment horizontal="right" vertical="center"/>
      <protection locked="0"/>
    </xf>
    <xf numFmtId="10" fontId="17" fillId="7" borderId="3" xfId="1" applyNumberFormat="1" applyFont="1" applyFill="1" applyBorder="1" applyAlignment="1">
      <alignment horizontal="right"/>
      <protection locked="0"/>
    </xf>
    <xf numFmtId="0" fontId="17" fillId="7" borderId="3" xfId="1" applyFont="1" applyFill="1" applyBorder="1" applyAlignment="1">
      <alignment horizontal="right" vertical="center" shrinkToFit="1"/>
      <protection locked="0"/>
    </xf>
    <xf numFmtId="0" fontId="17" fillId="6" borderId="3" xfId="1" applyFont="1" applyFill="1" applyBorder="1" applyAlignment="1" applyProtection="1">
      <alignment wrapText="1"/>
    </xf>
    <xf numFmtId="168" fontId="17" fillId="10" borderId="3" xfId="1" applyNumberFormat="1" applyFont="1" applyFill="1" applyBorder="1" applyAlignment="1">
      <alignment horizontal="right"/>
      <protection locked="0"/>
    </xf>
    <xf numFmtId="0" fontId="17" fillId="6" borderId="3" xfId="1" applyFont="1" applyFill="1" applyBorder="1" applyAlignment="1">
      <alignment wrapText="1"/>
      <protection locked="0"/>
    </xf>
    <xf numFmtId="3" fontId="17" fillId="7" borderId="3" xfId="1" applyNumberFormat="1" applyFont="1" applyFill="1" applyBorder="1" applyAlignment="1">
      <alignment horizontal="right"/>
      <protection locked="0"/>
    </xf>
    <xf numFmtId="3" fontId="17" fillId="10" borderId="3" xfId="1" applyNumberFormat="1" applyFont="1" applyFill="1" applyBorder="1" applyAlignment="1">
      <alignment horizontal="right"/>
      <protection locked="0"/>
    </xf>
    <xf numFmtId="3" fontId="18" fillId="11" borderId="3" xfId="1" applyNumberFormat="1" applyFont="1" applyFill="1" applyBorder="1" applyAlignment="1" applyProtection="1">
      <alignment horizontal="right" vertical="center"/>
      <protection hidden="1"/>
    </xf>
    <xf numFmtId="0" fontId="17" fillId="6" borderId="3" xfId="1" applyFont="1" applyFill="1" applyBorder="1" applyAlignment="1" applyProtection="1">
      <alignment vertical="center" wrapText="1"/>
      <protection hidden="1"/>
    </xf>
    <xf numFmtId="0" fontId="19" fillId="6" borderId="3" xfId="1" applyFont="1" applyFill="1" applyBorder="1" applyAlignment="1" applyProtection="1">
      <alignment wrapText="1"/>
    </xf>
    <xf numFmtId="10" fontId="19" fillId="7" borderId="3" xfId="1" applyNumberFormat="1" applyFont="1" applyFill="1" applyBorder="1" applyAlignment="1">
      <alignment horizontal="right"/>
      <protection locked="0"/>
    </xf>
    <xf numFmtId="3" fontId="19" fillId="7" borderId="3" xfId="1" applyNumberFormat="1" applyFont="1" applyFill="1" applyBorder="1" applyAlignment="1">
      <alignment horizontal="right"/>
      <protection locked="0"/>
    </xf>
    <xf numFmtId="0" fontId="20" fillId="2" borderId="0" xfId="1" applyFont="1" applyFill="1" applyAlignment="1" applyProtection="1">
      <alignment wrapText="1"/>
    </xf>
    <xf numFmtId="0" fontId="20" fillId="2" borderId="0" xfId="1" applyFont="1" applyFill="1" applyAlignment="1" applyProtection="1"/>
    <xf numFmtId="3" fontId="17" fillId="12" borderId="3" xfId="1" applyNumberFormat="1" applyFont="1" applyFill="1" applyBorder="1" applyAlignment="1" applyProtection="1">
      <alignment vertical="center"/>
      <protection hidden="1"/>
    </xf>
    <xf numFmtId="8" fontId="14" fillId="0" borderId="0" xfId="0" applyNumberFormat="1" applyFont="1" applyAlignment="1" applyProtection="1">
      <protection hidden="1"/>
    </xf>
    <xf numFmtId="4" fontId="17" fillId="12" borderId="3" xfId="1" applyNumberFormat="1" applyFont="1" applyFill="1" applyBorder="1" applyAlignment="1" applyProtection="1">
      <alignment vertical="center"/>
      <protection hidden="1"/>
    </xf>
    <xf numFmtId="10" fontId="14" fillId="0" borderId="0" xfId="0" applyNumberFormat="1" applyFont="1" applyAlignment="1" applyProtection="1">
      <alignment horizontal="center"/>
      <protection hidden="1"/>
    </xf>
    <xf numFmtId="10" fontId="17" fillId="12" borderId="3" xfId="1" applyNumberFormat="1" applyFont="1" applyFill="1" applyBorder="1" applyAlignment="1" applyProtection="1">
      <alignment vertical="center"/>
      <protection hidden="1"/>
    </xf>
    <xf numFmtId="10" fontId="14" fillId="0" borderId="0" xfId="0" applyNumberFormat="1" applyFont="1" applyAlignment="1" applyProtection="1">
      <protection hidden="1"/>
    </xf>
    <xf numFmtId="3" fontId="14" fillId="0" borderId="0" xfId="0" applyNumberFormat="1" applyFont="1" applyAlignment="1" applyProtection="1">
      <protection hidden="1"/>
    </xf>
    <xf numFmtId="0" fontId="17" fillId="6" borderId="4" xfId="1" applyFont="1" applyFill="1" applyBorder="1" applyAlignment="1" applyProtection="1">
      <alignment wrapText="1"/>
    </xf>
    <xf numFmtId="3" fontId="17" fillId="12" borderId="3" xfId="1" applyNumberFormat="1" applyFont="1" applyFill="1" applyBorder="1" applyAlignment="1" applyProtection="1">
      <alignment horizontal="center" vertical="center"/>
      <protection hidden="1"/>
    </xf>
    <xf numFmtId="0" fontId="17" fillId="6" borderId="0" xfId="1" applyFont="1" applyFill="1" applyAlignment="1" applyProtection="1">
      <alignment wrapText="1"/>
    </xf>
    <xf numFmtId="0" fontId="22" fillId="0" borderId="0" xfId="3" applyFont="1" applyAlignment="1" applyProtection="1"/>
    <xf numFmtId="0" fontId="23" fillId="0" borderId="0" xfId="3" applyFont="1" applyAlignment="1" applyProtection="1"/>
    <xf numFmtId="0" fontId="24" fillId="0" borderId="0" xfId="3" quotePrefix="1" applyFont="1" applyAlignment="1" applyProtection="1">
      <alignment horizontal="center"/>
    </xf>
    <xf numFmtId="172" fontId="22" fillId="0" borderId="0" xfId="2" applyNumberFormat="1" applyFont="1" applyAlignment="1" applyProtection="1"/>
    <xf numFmtId="173" fontId="25" fillId="0" borderId="0" xfId="4" applyFont="1" applyAlignment="1" applyProtection="1"/>
    <xf numFmtId="9" fontId="22" fillId="0" borderId="0" xfId="3" applyNumberFormat="1" applyFont="1" applyAlignment="1" applyProtection="1"/>
    <xf numFmtId="0" fontId="26" fillId="0" borderId="0" xfId="5" applyFont="1" applyAlignment="1" applyProtection="1">
      <alignment horizontal="center"/>
    </xf>
    <xf numFmtId="173" fontId="26" fillId="0" borderId="0" xfId="5" applyNumberFormat="1" applyFont="1" applyAlignment="1" applyProtection="1">
      <alignment horizontal="center"/>
    </xf>
    <xf numFmtId="174" fontId="22" fillId="0" borderId="0" xfId="3" applyNumberFormat="1" applyFont="1" applyAlignment="1" applyProtection="1"/>
    <xf numFmtId="10" fontId="22" fillId="0" borderId="0" xfId="3" applyNumberFormat="1" applyFont="1" applyAlignment="1" applyProtection="1"/>
    <xf numFmtId="8" fontId="22" fillId="0" borderId="0" xfId="3" applyNumberFormat="1" applyFont="1" applyAlignment="1" applyProtection="1"/>
    <xf numFmtId="173" fontId="22" fillId="0" borderId="0" xfId="3" applyNumberFormat="1" applyFont="1" applyAlignment="1" applyProtection="1"/>
    <xf numFmtId="9" fontId="25" fillId="0" borderId="0" xfId="6" applyFont="1" applyAlignment="1" applyProtection="1">
      <alignment horizontal="right"/>
    </xf>
    <xf numFmtId="0" fontId="22" fillId="0" borderId="0" xfId="3" applyFont="1" applyAlignment="1" applyProtection="1">
      <alignment horizontal="center" vertical="center"/>
    </xf>
    <xf numFmtId="2" fontId="22" fillId="0" borderId="0" xfId="3" applyNumberFormat="1" applyFont="1" applyAlignment="1" applyProtection="1"/>
    <xf numFmtId="43" fontId="22" fillId="0" borderId="0" xfId="2" applyFont="1" applyAlignment="1" applyProtection="1"/>
    <xf numFmtId="9" fontId="24" fillId="0" borderId="0" xfId="3" quotePrefix="1" applyNumberFormat="1" applyFont="1" applyAlignment="1" applyProtection="1"/>
    <xf numFmtId="175" fontId="22" fillId="0" borderId="0" xfId="3" applyNumberFormat="1" applyFont="1" applyAlignment="1" applyProtection="1"/>
    <xf numFmtId="44" fontId="22" fillId="0" borderId="0" xfId="3" applyNumberFormat="1" applyFont="1" applyAlignment="1" applyProtection="1"/>
    <xf numFmtId="0" fontId="22" fillId="0" borderId="0" xfId="3" applyFont="1" applyAlignment="1" applyProtection="1">
      <alignment wrapText="1"/>
    </xf>
    <xf numFmtId="173" fontId="25" fillId="0" borderId="0" xfId="4" applyFont="1" applyAlignment="1" applyProtection="1">
      <alignment vertical="center"/>
    </xf>
    <xf numFmtId="0" fontId="24" fillId="0" borderId="0" xfId="3" quotePrefix="1" applyFont="1" applyAlignment="1" applyProtection="1">
      <alignment vertical="center" wrapText="1"/>
    </xf>
    <xf numFmtId="0" fontId="22" fillId="0" borderId="0" xfId="3" applyFont="1" applyAlignment="1" applyProtection="1">
      <alignment vertical="center" wrapText="1"/>
    </xf>
    <xf numFmtId="0" fontId="24" fillId="0" borderId="0" xfId="3" quotePrefix="1" applyFont="1" applyAlignment="1" applyProtection="1"/>
    <xf numFmtId="0" fontId="22" fillId="0" borderId="0" xfId="3" applyFont="1" applyAlignment="1" applyProtection="1">
      <alignment horizontal="center"/>
    </xf>
    <xf numFmtId="173" fontId="25" fillId="2" borderId="0" xfId="4" applyFont="1" applyFill="1" applyAlignment="1" applyProtection="1"/>
    <xf numFmtId="10" fontId="25" fillId="2" borderId="0" xfId="6" applyNumberFormat="1" applyFont="1" applyFill="1" applyAlignment="1" applyProtection="1"/>
    <xf numFmtId="10" fontId="25" fillId="0" borderId="0" xfId="6" applyNumberFormat="1" applyFont="1" applyAlignment="1" applyProtection="1"/>
    <xf numFmtId="0" fontId="22" fillId="0" borderId="0" xfId="3" applyFont="1" applyAlignment="1" applyProtection="1">
      <alignment vertical="center"/>
    </xf>
    <xf numFmtId="10" fontId="22" fillId="2" borderId="0" xfId="3" applyNumberFormat="1" applyFont="1" applyFill="1" applyAlignment="1" applyProtection="1"/>
    <xf numFmtId="0" fontId="27" fillId="0" borderId="0" xfId="3" applyFont="1" applyAlignment="1" applyProtection="1"/>
    <xf numFmtId="0" fontId="22" fillId="13" borderId="0" xfId="3" applyFont="1" applyFill="1" applyAlignment="1" applyProtection="1"/>
    <xf numFmtId="0" fontId="24" fillId="0" borderId="0" xfId="3" applyFont="1" applyAlignment="1" applyProtection="1">
      <alignment vertical="center" wrapText="1"/>
    </xf>
    <xf numFmtId="173" fontId="24" fillId="0" borderId="0" xfId="3" applyNumberFormat="1" applyFont="1" applyAlignment="1" applyProtection="1">
      <alignment vertical="center" wrapText="1"/>
    </xf>
    <xf numFmtId="0" fontId="22" fillId="14" borderId="0" xfId="3" applyFont="1" applyFill="1" applyAlignment="1" applyProtection="1"/>
    <xf numFmtId="0" fontId="22" fillId="14" borderId="0" xfId="3" applyFont="1" applyFill="1" applyAlignment="1" applyProtection="1">
      <alignment horizontal="center" vertical="center"/>
    </xf>
    <xf numFmtId="173" fontId="25" fillId="14" borderId="0" xfId="4" applyFont="1" applyFill="1" applyAlignment="1" applyProtection="1"/>
    <xf numFmtId="0" fontId="24" fillId="14" borderId="0" xfId="3" quotePrefix="1" applyFont="1" applyFill="1" applyAlignment="1" applyProtection="1"/>
    <xf numFmtId="175" fontId="22" fillId="14" borderId="0" xfId="3" applyNumberFormat="1" applyFont="1" applyFill="1" applyAlignment="1" applyProtection="1"/>
    <xf numFmtId="0" fontId="22" fillId="14" borderId="0" xfId="3" applyFont="1" applyFill="1" applyAlignment="1" applyProtection="1">
      <alignment vertical="center"/>
    </xf>
    <xf numFmtId="176" fontId="25" fillId="14" borderId="0" xfId="4" applyNumberFormat="1" applyFont="1" applyFill="1" applyAlignment="1" applyProtection="1">
      <alignment vertical="center"/>
    </xf>
    <xf numFmtId="10" fontId="22" fillId="0" borderId="0" xfId="6" applyNumberFormat="1" applyFont="1" applyAlignment="1" applyProtection="1">
      <alignment vertical="center" wrapText="1"/>
    </xf>
    <xf numFmtId="0" fontId="25" fillId="0" borderId="0" xfId="6" applyNumberFormat="1" applyFont="1" applyAlignment="1" applyProtection="1"/>
    <xf numFmtId="177" fontId="22" fillId="0" borderId="0" xfId="3" applyNumberFormat="1" applyFont="1" applyAlignment="1" applyProtection="1"/>
    <xf numFmtId="0" fontId="27" fillId="0" borderId="0" xfId="3" applyFont="1" applyAlignment="1" applyProtection="1">
      <alignment wrapText="1"/>
    </xf>
    <xf numFmtId="178" fontId="22" fillId="0" borderId="0" xfId="3" applyNumberFormat="1" applyFont="1" applyAlignment="1" applyProtection="1"/>
    <xf numFmtId="176" fontId="22" fillId="0" borderId="0" xfId="3" applyNumberFormat="1" applyFont="1" applyAlignment="1" applyProtection="1"/>
    <xf numFmtId="178" fontId="22" fillId="2" borderId="0" xfId="3" applyNumberFormat="1" applyFont="1" applyFill="1" applyAlignment="1" applyProtection="1"/>
    <xf numFmtId="0" fontId="28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30" fillId="2" borderId="5" xfId="0" applyFont="1" applyFill="1" applyBorder="1">
      <alignment vertical="center"/>
    </xf>
    <xf numFmtId="0" fontId="29" fillId="2" borderId="6" xfId="0" applyFont="1" applyFill="1" applyBorder="1" applyAlignment="1">
      <alignment horizontal="center" vertical="center"/>
    </xf>
    <xf numFmtId="0" fontId="29" fillId="2" borderId="7" xfId="0" applyFont="1" applyFill="1" applyBorder="1">
      <alignment vertical="center"/>
    </xf>
    <xf numFmtId="0" fontId="30" fillId="15" borderId="5" xfId="0" applyFont="1" applyFill="1" applyBorder="1">
      <alignment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7" xfId="0" applyFont="1" applyFill="1" applyBorder="1">
      <alignment vertical="center"/>
    </xf>
    <xf numFmtId="0" fontId="29" fillId="0" borderId="8" xfId="0" applyFont="1" applyBorder="1">
      <alignment vertical="center"/>
    </xf>
    <xf numFmtId="0" fontId="29" fillId="0" borderId="9" xfId="0" applyFont="1" applyBorder="1">
      <alignment vertical="center"/>
    </xf>
    <xf numFmtId="0" fontId="31" fillId="0" borderId="9" xfId="0" applyFont="1" applyBorder="1">
      <alignment vertical="center"/>
    </xf>
    <xf numFmtId="3" fontId="32" fillId="0" borderId="9" xfId="0" applyNumberFormat="1" applyFont="1" applyBorder="1">
      <alignment vertical="center"/>
    </xf>
    <xf numFmtId="3" fontId="29" fillId="0" borderId="9" xfId="0" applyNumberFormat="1" applyFont="1" applyBorder="1">
      <alignment vertical="center"/>
    </xf>
    <xf numFmtId="43" fontId="29" fillId="0" borderId="9" xfId="2" applyFont="1" applyBorder="1" applyAlignment="1" applyProtection="1">
      <alignment horizontal="right" vertical="center"/>
    </xf>
    <xf numFmtId="3" fontId="13" fillId="0" borderId="0" xfId="0" applyNumberFormat="1" applyFont="1" applyAlignment="1"/>
    <xf numFmtId="0" fontId="31" fillId="0" borderId="8" xfId="0" applyFont="1" applyBorder="1">
      <alignment vertical="center"/>
    </xf>
    <xf numFmtId="165" fontId="29" fillId="0" borderId="9" xfId="0" applyNumberFormat="1" applyFont="1" applyBorder="1" applyAlignment="1">
      <alignment horizontal="right" vertical="center"/>
    </xf>
    <xf numFmtId="0" fontId="33" fillId="0" borderId="8" xfId="0" applyFont="1" applyBorder="1">
      <alignment vertical="center"/>
    </xf>
    <xf numFmtId="43" fontId="29" fillId="0" borderId="9" xfId="2" applyFont="1" applyBorder="1" applyAlignment="1" applyProtection="1">
      <alignment vertical="center"/>
    </xf>
    <xf numFmtId="0" fontId="31" fillId="2" borderId="10" xfId="0" applyFont="1" applyFill="1" applyBorder="1">
      <alignment vertical="center"/>
    </xf>
    <xf numFmtId="0" fontId="31" fillId="2" borderId="11" xfId="0" applyFont="1" applyFill="1" applyBorder="1" applyAlignment="1">
      <alignment horizontal="center" vertical="center"/>
    </xf>
    <xf numFmtId="43" fontId="34" fillId="2" borderId="12" xfId="2" applyFont="1" applyFill="1" applyBorder="1" applyAlignment="1" applyProtection="1">
      <alignment vertical="center"/>
    </xf>
    <xf numFmtId="0" fontId="31" fillId="16" borderId="10" xfId="0" applyFont="1" applyFill="1" applyBorder="1">
      <alignment vertical="center"/>
    </xf>
    <xf numFmtId="0" fontId="31" fillId="16" borderId="11" xfId="0" applyFont="1" applyFill="1" applyBorder="1" applyAlignment="1">
      <alignment horizontal="center" vertical="center"/>
    </xf>
    <xf numFmtId="43" fontId="34" fillId="16" borderId="12" xfId="2" applyFont="1" applyFill="1" applyBorder="1" applyAlignment="1" applyProtection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43" fontId="29" fillId="0" borderId="0" xfId="2" applyBorder="1" applyAlignment="1" applyProtection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4" fontId="29" fillId="0" borderId="0" xfId="0" applyNumberFormat="1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4" fontId="38" fillId="0" borderId="0" xfId="0" applyNumberFormat="1" applyFont="1">
      <alignment vertical="center"/>
    </xf>
    <xf numFmtId="165" fontId="29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39" fillId="0" borderId="0" xfId="0" applyFont="1" applyAlignment="1"/>
    <xf numFmtId="0" fontId="15" fillId="17" borderId="0" xfId="0" applyFont="1" applyFill="1" applyAlignment="1"/>
    <xf numFmtId="0" fontId="40" fillId="0" borderId="0" xfId="0" applyFont="1" applyAlignment="1">
      <alignment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left" vertical="center" wrapText="1" indent="1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 wrapText="1"/>
    </xf>
    <xf numFmtId="3" fontId="39" fillId="0" borderId="0" xfId="0" applyNumberFormat="1" applyFont="1" applyAlignment="1">
      <alignment horizontal="left" vertical="center" wrapText="1" indent="1"/>
    </xf>
    <xf numFmtId="10" fontId="39" fillId="0" borderId="0" xfId="0" applyNumberFormat="1" applyFont="1" applyAlignment="1">
      <alignment horizontal="left" vertical="center" wrapText="1" indent="1"/>
    </xf>
    <xf numFmtId="4" fontId="39" fillId="0" borderId="0" xfId="0" applyNumberFormat="1" applyFont="1" applyAlignment="1"/>
    <xf numFmtId="0" fontId="39" fillId="2" borderId="0" xfId="0" applyFont="1" applyFill="1" applyAlignment="1"/>
    <xf numFmtId="44" fontId="40" fillId="2" borderId="0" xfId="0" applyNumberFormat="1" applyFont="1" applyFill="1" applyAlignment="1" applyProtection="1">
      <alignment horizontal="left" vertical="center" wrapText="1" indent="1"/>
      <protection locked="0"/>
    </xf>
    <xf numFmtId="10" fontId="40" fillId="0" borderId="0" xfId="0" applyNumberFormat="1" applyFont="1" applyAlignment="1">
      <alignment horizontal="left" vertical="center" wrapText="1" indent="1"/>
    </xf>
    <xf numFmtId="44" fontId="40" fillId="0" borderId="0" xfId="0" applyNumberFormat="1" applyFont="1" applyAlignment="1">
      <alignment horizontal="left" vertical="center" wrapText="1" indent="1"/>
    </xf>
    <xf numFmtId="0" fontId="35" fillId="0" borderId="0" xfId="0" applyFont="1" applyAlignment="1"/>
    <xf numFmtId="0" fontId="41" fillId="0" borderId="14" xfId="0" applyFont="1" applyBorder="1" applyAlignment="1">
      <alignment vertical="center" wrapText="1"/>
    </xf>
    <xf numFmtId="0" fontId="41" fillId="0" borderId="14" xfId="0" applyFont="1" applyBorder="1" applyAlignment="1">
      <alignment horizontal="justify" vertical="center" wrapText="1"/>
    </xf>
    <xf numFmtId="0" fontId="35" fillId="0" borderId="14" xfId="0" applyFont="1" applyBorder="1" applyAlignment="1">
      <alignment horizontal="center"/>
    </xf>
    <xf numFmtId="0" fontId="35" fillId="20" borderId="14" xfId="0" applyFont="1" applyFill="1" applyBorder="1" applyAlignment="1">
      <alignment horizontal="center"/>
    </xf>
    <xf numFmtId="169" fontId="41" fillId="0" borderId="14" xfId="0" applyNumberFormat="1" applyFont="1" applyBorder="1" applyAlignment="1">
      <alignment horizontal="center" vertical="center" wrapText="1"/>
    </xf>
    <xf numFmtId="4" fontId="41" fillId="0" borderId="14" xfId="0" applyNumberFormat="1" applyFont="1" applyBorder="1" applyAlignment="1">
      <alignment vertical="center" wrapText="1"/>
    </xf>
    <xf numFmtId="10" fontId="41" fillId="0" borderId="14" xfId="0" applyNumberFormat="1" applyFont="1" applyBorder="1" applyAlignment="1">
      <alignment vertical="center" wrapText="1"/>
    </xf>
    <xf numFmtId="0" fontId="35" fillId="0" borderId="14" xfId="0" applyFont="1" applyBorder="1" applyAlignment="1"/>
    <xf numFmtId="169" fontId="35" fillId="0" borderId="14" xfId="0" applyNumberFormat="1" applyFont="1" applyBorder="1" applyAlignment="1"/>
    <xf numFmtId="4" fontId="35" fillId="0" borderId="14" xfId="0" applyNumberFormat="1" applyFont="1" applyBorder="1" applyAlignment="1"/>
    <xf numFmtId="4" fontId="35" fillId="20" borderId="14" xfId="0" applyNumberFormat="1" applyFont="1" applyFill="1" applyBorder="1" applyAlignment="1"/>
    <xf numFmtId="0" fontId="42" fillId="0" borderId="0" xfId="3" applyFont="1" applyAlignment="1" applyProtection="1"/>
    <xf numFmtId="0" fontId="43" fillId="0" borderId="0" xfId="3" applyFont="1" applyAlignment="1" applyProtection="1"/>
    <xf numFmtId="0" fontId="44" fillId="0" borderId="0" xfId="3" applyFont="1" applyAlignment="1" applyProtection="1"/>
    <xf numFmtId="0" fontId="45" fillId="0" borderId="0" xfId="3" quotePrefix="1" applyFont="1" applyAlignment="1" applyProtection="1">
      <alignment horizontal="center"/>
    </xf>
    <xf numFmtId="173" fontId="43" fillId="0" borderId="0" xfId="4" applyFont="1" applyAlignment="1" applyProtection="1"/>
    <xf numFmtId="0" fontId="42" fillId="0" borderId="0" xfId="3" applyFont="1" applyAlignment="1" applyProtection="1">
      <alignment horizontal="center"/>
    </xf>
    <xf numFmtId="179" fontId="42" fillId="0" borderId="0" xfId="3" applyNumberFormat="1" applyFont="1" applyAlignment="1" applyProtection="1"/>
    <xf numFmtId="173" fontId="42" fillId="0" borderId="0" xfId="3" applyNumberFormat="1" applyFont="1" applyAlignment="1" applyProtection="1"/>
    <xf numFmtId="180" fontId="42" fillId="0" borderId="0" xfId="3" applyNumberFormat="1" applyFont="1" applyAlignment="1" applyProtection="1"/>
    <xf numFmtId="9" fontId="43" fillId="0" borderId="0" xfId="3" applyNumberFormat="1" applyFont="1" applyAlignment="1" applyProtection="1"/>
    <xf numFmtId="0" fontId="42" fillId="0" borderId="0" xfId="3" applyFont="1" applyAlignment="1" applyProtection="1">
      <alignment horizontal="center" vertical="center"/>
    </xf>
    <xf numFmtId="2" fontId="42" fillId="0" borderId="0" xfId="3" applyNumberFormat="1" applyFont="1" applyAlignment="1" applyProtection="1"/>
    <xf numFmtId="178" fontId="42" fillId="0" borderId="0" xfId="3" applyNumberFormat="1" applyFont="1" applyAlignment="1" applyProtection="1"/>
    <xf numFmtId="0" fontId="46" fillId="0" borderId="0" xfId="3" quotePrefix="1" applyFont="1" applyAlignment="1" applyProtection="1"/>
    <xf numFmtId="10" fontId="42" fillId="0" borderId="0" xfId="3" applyNumberFormat="1" applyFont="1" applyAlignment="1" applyProtection="1"/>
    <xf numFmtId="181" fontId="42" fillId="0" borderId="0" xfId="3" applyNumberFormat="1" applyFont="1" applyAlignment="1" applyProtection="1"/>
    <xf numFmtId="175" fontId="42" fillId="0" borderId="0" xfId="3" applyNumberFormat="1" applyFont="1" applyAlignment="1" applyProtection="1"/>
    <xf numFmtId="8" fontId="42" fillId="0" borderId="0" xfId="3" applyNumberFormat="1" applyFont="1" applyAlignment="1" applyProtection="1"/>
    <xf numFmtId="175" fontId="43" fillId="0" borderId="0" xfId="3" applyNumberFormat="1" applyFont="1" applyAlignment="1" applyProtection="1"/>
    <xf numFmtId="44" fontId="42" fillId="0" borderId="0" xfId="3" applyNumberFormat="1" applyFont="1" applyAlignment="1" applyProtection="1"/>
    <xf numFmtId="0" fontId="42" fillId="0" borderId="0" xfId="3" applyFont="1" applyAlignment="1" applyProtection="1">
      <alignment wrapText="1"/>
    </xf>
    <xf numFmtId="8" fontId="43" fillId="0" borderId="0" xfId="3" applyNumberFormat="1" applyFont="1" applyAlignment="1" applyProtection="1"/>
    <xf numFmtId="0" fontId="46" fillId="0" borderId="0" xfId="3" applyFont="1" applyAlignment="1" applyProtection="1"/>
    <xf numFmtId="178" fontId="42" fillId="2" borderId="0" xfId="3" applyNumberFormat="1" applyFont="1" applyFill="1" applyAlignment="1" applyProtection="1"/>
    <xf numFmtId="0" fontId="26" fillId="0" borderId="0" xfId="3" applyFont="1" applyAlignment="1" applyProtection="1"/>
    <xf numFmtId="0" fontId="43" fillId="0" borderId="0" xfId="3" applyFont="1" applyAlignment="1" applyProtection="1">
      <alignment vertical="top" wrapText="1"/>
    </xf>
    <xf numFmtId="0" fontId="42" fillId="0" borderId="0" xfId="3" applyFont="1" applyAlignment="1" applyProtection="1">
      <alignment vertical="top" wrapText="1"/>
    </xf>
    <xf numFmtId="173" fontId="43" fillId="0" borderId="0" xfId="3" applyNumberFormat="1" applyFont="1" applyAlignment="1" applyProtection="1"/>
    <xf numFmtId="0" fontId="47" fillId="0" borderId="0" xfId="3" applyFont="1" applyAlignment="1" applyProtection="1"/>
    <xf numFmtId="179" fontId="43" fillId="0" borderId="0" xfId="3" applyNumberFormat="1" applyFont="1" applyAlignment="1" applyProtection="1"/>
    <xf numFmtId="10" fontId="43" fillId="0" borderId="0" xfId="6" applyNumberFormat="1" applyFont="1" applyAlignment="1" applyProtection="1"/>
    <xf numFmtId="178" fontId="43" fillId="0" borderId="0" xfId="3" applyNumberFormat="1" applyFont="1" applyAlignment="1" applyProtection="1"/>
    <xf numFmtId="3" fontId="31" fillId="0" borderId="9" xfId="0" applyNumberFormat="1" applyFont="1" applyBorder="1">
      <alignment vertical="center"/>
    </xf>
    <xf numFmtId="0" fontId="49" fillId="0" borderId="0" xfId="0" applyFont="1" applyAlignment="1"/>
    <xf numFmtId="0" fontId="50" fillId="0" borderId="0" xfId="0" applyFont="1" applyAlignment="1"/>
    <xf numFmtId="0" fontId="1" fillId="0" borderId="15" xfId="0" applyFont="1" applyBorder="1" applyAlignment="1"/>
    <xf numFmtId="0" fontId="2" fillId="0" borderId="16" xfId="0" applyFont="1" applyBorder="1" applyAlignment="1">
      <alignment horizontal="left"/>
    </xf>
    <xf numFmtId="0" fontId="1" fillId="0" borderId="17" xfId="0" applyFont="1" applyBorder="1" applyAlignment="1"/>
    <xf numFmtId="164" fontId="3" fillId="0" borderId="18" xfId="0" applyNumberFormat="1" applyFont="1" applyBorder="1" applyAlignment="1"/>
    <xf numFmtId="164" fontId="3" fillId="0" borderId="18" xfId="0" quotePrefix="1" applyNumberFormat="1" applyFont="1" applyBorder="1" applyAlignment="1"/>
    <xf numFmtId="165" fontId="3" fillId="0" borderId="18" xfId="0" applyNumberFormat="1" applyFont="1" applyBorder="1" applyAlignment="1">
      <alignment horizontal="right"/>
    </xf>
    <xf numFmtId="0" fontId="5" fillId="0" borderId="17" xfId="0" applyFont="1" applyBorder="1" applyAlignment="1"/>
    <xf numFmtId="165" fontId="1" fillId="0" borderId="18" xfId="0" applyNumberFormat="1" applyFont="1" applyBorder="1" applyAlignment="1">
      <alignment horizontal="right"/>
    </xf>
    <xf numFmtId="0" fontId="3" fillId="0" borderId="18" xfId="0" applyFont="1" applyBorder="1" applyAlignment="1"/>
    <xf numFmtId="0" fontId="3" fillId="0" borderId="18" xfId="0" applyFont="1" applyBorder="1" applyAlignment="1">
      <alignment horizontal="right"/>
    </xf>
    <xf numFmtId="10" fontId="3" fillId="0" borderId="18" xfId="0" applyNumberFormat="1" applyFont="1" applyBorder="1" applyAlignment="1">
      <alignment horizontal="right"/>
    </xf>
    <xf numFmtId="164" fontId="9" fillId="0" borderId="18" xfId="0" applyNumberFormat="1" applyFont="1" applyBorder="1" applyAlignment="1"/>
    <xf numFmtId="0" fontId="1" fillId="0" borderId="19" xfId="0" applyFont="1" applyBorder="1" applyAlignment="1"/>
    <xf numFmtId="165" fontId="3" fillId="0" borderId="20" xfId="0" applyNumberFormat="1" applyFont="1" applyBorder="1" applyAlignment="1">
      <alignment horizontal="right"/>
    </xf>
    <xf numFmtId="0" fontId="16" fillId="4" borderId="2" xfId="1" applyFont="1" applyFill="1" applyBorder="1" applyAlignment="1" applyProtection="1">
      <alignment horizontal="center" vertical="center" wrapText="1"/>
      <protection hidden="1"/>
    </xf>
    <xf numFmtId="0" fontId="16" fillId="4" borderId="0" xfId="1" applyFont="1" applyFill="1" applyAlignment="1" applyProtection="1">
      <alignment horizontal="center" vertical="center" wrapText="1"/>
      <protection hidden="1"/>
    </xf>
    <xf numFmtId="0" fontId="21" fillId="4" borderId="3" xfId="1" applyFont="1" applyFill="1" applyBorder="1" applyAlignment="1" applyProtection="1">
      <alignment horizontal="center" vertical="center" wrapText="1"/>
      <protection hidden="1"/>
    </xf>
    <xf numFmtId="0" fontId="24" fillId="0" borderId="0" xfId="3" quotePrefix="1" applyFont="1" applyAlignment="1" applyProtection="1">
      <alignment horizontal="left" vertical="center" wrapText="1"/>
    </xf>
    <xf numFmtId="0" fontId="24" fillId="0" borderId="0" xfId="3" applyFont="1" applyAlignment="1" applyProtection="1">
      <alignment horizontal="left" vertical="center" wrapText="1"/>
    </xf>
    <xf numFmtId="0" fontId="24" fillId="14" borderId="0" xfId="3" quotePrefix="1" applyFont="1" applyFill="1" applyAlignment="1" applyProtection="1">
      <alignment horizontal="left" vertical="center" wrapText="1"/>
    </xf>
    <xf numFmtId="0" fontId="24" fillId="14" borderId="0" xfId="3" applyFont="1" applyFill="1" applyAlignment="1" applyProtection="1">
      <alignment horizontal="left" vertical="center" wrapText="1"/>
    </xf>
    <xf numFmtId="0" fontId="22" fillId="0" borderId="0" xfId="3" applyFont="1" applyAlignment="1" applyProtection="1">
      <alignment horizontal="center" vertical="center"/>
    </xf>
    <xf numFmtId="0" fontId="22" fillId="0" borderId="0" xfId="3" applyFont="1" applyAlignment="1" applyProtection="1">
      <alignment horizontal="left" vertical="center" wrapText="1"/>
    </xf>
    <xf numFmtId="0" fontId="40" fillId="18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35" fillId="0" borderId="13" xfId="0" applyFont="1" applyBorder="1" applyAlignment="1"/>
    <xf numFmtId="0" fontId="42" fillId="0" borderId="0" xfId="3" applyFont="1" applyAlignment="1" applyProtection="1">
      <alignment horizontal="left" wrapText="1"/>
    </xf>
    <xf numFmtId="0" fontId="42" fillId="0" borderId="0" xfId="3" applyFont="1" applyAlignment="1" applyProtection="1">
      <alignment horizontal="center"/>
    </xf>
    <xf numFmtId="0" fontId="42" fillId="0" borderId="0" xfId="3" quotePrefix="1" applyFont="1" applyAlignment="1" applyProtection="1">
      <alignment horizontal="left" wrapText="1"/>
    </xf>
    <xf numFmtId="0" fontId="42" fillId="0" borderId="0" xfId="3" applyFont="1" applyAlignment="1" applyProtection="1">
      <alignment horizontal="center" vertical="center"/>
    </xf>
    <xf numFmtId="0" fontId="1" fillId="0" borderId="21" xfId="0" applyFont="1" applyBorder="1" applyAlignment="1"/>
    <xf numFmtId="0" fontId="6" fillId="0" borderId="22" xfId="0" applyFont="1" applyBorder="1" applyAlignment="1"/>
    <xf numFmtId="0" fontId="6" fillId="0" borderId="23" xfId="0" applyFont="1" applyBorder="1" applyAlignment="1"/>
    <xf numFmtId="0" fontId="6" fillId="0" borderId="24" xfId="0" applyFont="1" applyBorder="1" applyAlignment="1"/>
    <xf numFmtId="0" fontId="2" fillId="0" borderId="0" xfId="0" applyFont="1" applyBorder="1" applyAlignment="1"/>
    <xf numFmtId="0" fontId="2" fillId="0" borderId="25" xfId="0" applyFont="1" applyBorder="1" applyAlignment="1"/>
    <xf numFmtId="0" fontId="6" fillId="0" borderId="26" xfId="0" applyFont="1" applyBorder="1" applyAlignment="1"/>
    <xf numFmtId="0" fontId="2" fillId="0" borderId="27" xfId="0" applyFont="1" applyBorder="1" applyAlignment="1"/>
    <xf numFmtId="0" fontId="2" fillId="0" borderId="28" xfId="0" applyFont="1" applyBorder="1" applyAlignment="1"/>
  </cellXfs>
  <cellStyles count="7">
    <cellStyle name="Currency [0] 2" xfId="4" xr:uid="{00000000-0005-0000-0000-000004000000}"/>
    <cellStyle name="Koma" xfId="2" builtinId="3"/>
    <cellStyle name="Normal" xfId="0" builtinId="0"/>
    <cellStyle name="Normal 2" xfId="3" xr:uid="{00000000-0005-0000-0000-000003000000}"/>
    <cellStyle name="Normal 2 2" xfId="5" xr:uid="{00000000-0005-0000-0000-000005000000}"/>
    <cellStyle name="Normal 8" xfId="1" xr:uid="{00000000-0005-0000-0000-000001000000}"/>
    <cellStyle name="Percent 2" xfId="6" xr:uid="{00000000-0005-0000-0000-000006000000}"/>
  </cellStyles>
  <dxfs count="14">
    <dxf>
      <font>
        <color rgb="FFFFFFFF"/>
      </font>
      <fill>
        <patternFill patternType="solid">
          <bgColor rgb="FF00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EAF1DD"/>
      </font>
      <fill>
        <patternFill patternType="solid">
          <fgColor rgb="FFEAF1DD"/>
          <bgColor rgb="FFEAF1DD"/>
        </patternFill>
      </fill>
      <border>
        <left/>
        <right/>
        <top style="thin">
          <color indexed="64"/>
        </top>
        <bottom/>
      </border>
    </dxf>
    <dxf>
      <font>
        <color rgb="FFFFFFFF"/>
      </font>
      <fill>
        <patternFill patternType="solid"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FFFF"/>
      </font>
      <fill>
        <patternFill patternType="solid"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FFFF"/>
      </font>
      <fill>
        <patternFill patternType="solid"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FFFFFF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www.wps.cn/officeDocument/2020/cellImage" Target="NUL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externalLink" Target="externalLinks/externalLink1.xml" /><Relationship Id="rId14" Type="http://schemas.openxmlformats.org/officeDocument/2006/relationships/customXml" Target="../customXml/item1.xml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alkulator%2520NOS%2520PRA%2520PENSIUN%2520v.1.4.1%2520(WAJIB%2520PAKAI%2520INI%2520UNTUK%2520AREA%2520PTR%2520NOS%2520PRAPEN)%2520(1)%25201%2520(3)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kseptasi"/>
      <sheetName val="Simulasi"/>
      <sheetName val="Rumus Plafond + Atrib PP10 (2)"/>
      <sheetName val="Rincian To Nsb"/>
      <sheetName val="Jadwal Angsuran Dekade Berkah"/>
      <sheetName val="Jadwal Angsuran TriBerkah (Blok"/>
      <sheetName val="Rumus Plafond + Atrib PP3"/>
      <sheetName val="Sheet1"/>
    </sheetNames>
    <sheetDataSet>
      <sheetData sheetId="0">
        <row r="2">
          <cell r="C2" t="str">
            <v>BONUR SIMANJUNTAK</v>
          </cell>
        </row>
        <row r="22">
          <cell r="C22">
            <v>0</v>
          </cell>
        </row>
        <row r="23">
          <cell r="C2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K68"/>
  <sheetViews>
    <sheetView tabSelected="1" topLeftCell="E1" workbookViewId="0">
      <selection activeCell="H13" sqref="H13"/>
    </sheetView>
  </sheetViews>
  <sheetFormatPr defaultColWidth="8.69140625" defaultRowHeight="15" x14ac:dyDescent="0.2"/>
  <cols>
    <col min="1" max="1" width="3.8828125" style="1" customWidth="1"/>
    <col min="2" max="2" width="18.40234375" style="1" customWidth="1"/>
    <col min="3" max="3" width="13.59375" style="1" customWidth="1"/>
    <col min="4" max="4" width="4.16015625" style="1" customWidth="1"/>
    <col min="5" max="5" width="9.80078125" style="1" customWidth="1"/>
    <col min="6" max="6" width="3.69921875" style="1" customWidth="1"/>
    <col min="7" max="7" width="12.484375" style="1" customWidth="1"/>
    <col min="8" max="8" width="11.65234375" style="1" customWidth="1"/>
    <col min="9" max="16384" width="8.69140625" style="1"/>
  </cols>
  <sheetData>
    <row r="1" spans="2:7" ht="15.75" thickBot="1" x14ac:dyDescent="0.25"/>
    <row r="2" spans="2:7" x14ac:dyDescent="0.2">
      <c r="B2" s="221" t="s">
        <v>268</v>
      </c>
      <c r="C2" s="222" t="s">
        <v>346</v>
      </c>
    </row>
    <row r="3" spans="2:7" x14ac:dyDescent="0.2">
      <c r="B3" s="223" t="s">
        <v>269</v>
      </c>
      <c r="C3" s="224">
        <v>28057</v>
      </c>
      <c r="E3" s="219" t="str">
        <f ca="1">DATEDIF(C3,C21,"Y")&amp;"Tahun "&amp;DATEDIF(C3,C21,"YM")&amp;"bulan "&amp;DATEDIF(C3,C21,"MD")&amp;"hari"</f>
        <v>50Tahun 0bulan 4hari</v>
      </c>
    </row>
    <row r="4" spans="2:7" x14ac:dyDescent="0.2">
      <c r="B4" s="223" t="s">
        <v>270</v>
      </c>
      <c r="C4" s="225" t="s">
        <v>343</v>
      </c>
    </row>
    <row r="5" spans="2:7" x14ac:dyDescent="0.2">
      <c r="B5" s="223" t="s">
        <v>271</v>
      </c>
      <c r="C5" s="226">
        <v>4254800</v>
      </c>
      <c r="D5" s="4">
        <v>1</v>
      </c>
      <c r="E5" s="5">
        <f>C5*D5</f>
        <v>4254800</v>
      </c>
    </row>
    <row r="6" spans="2:7" x14ac:dyDescent="0.2">
      <c r="B6" s="223" t="s">
        <v>272</v>
      </c>
      <c r="C6" s="226">
        <v>550000</v>
      </c>
      <c r="D6" s="4">
        <v>0.9</v>
      </c>
      <c r="E6" s="5">
        <f t="shared" ref="E6" si="0">C6*D6</f>
        <v>495000</v>
      </c>
    </row>
    <row r="7" spans="2:7" x14ac:dyDescent="0.2">
      <c r="B7" s="223" t="s">
        <v>273</v>
      </c>
      <c r="C7" s="226">
        <v>3761240</v>
      </c>
      <c r="D7" s="4">
        <v>0.9</v>
      </c>
      <c r="E7" s="5">
        <f>C7*D7</f>
        <v>3385116</v>
      </c>
    </row>
    <row r="8" spans="2:7" x14ac:dyDescent="0.2">
      <c r="B8" s="227" t="s">
        <v>341</v>
      </c>
      <c r="C8" s="226">
        <v>0</v>
      </c>
      <c r="D8" s="4">
        <v>0.5</v>
      </c>
      <c r="E8" s="5">
        <f>C8*D8</f>
        <v>0</v>
      </c>
    </row>
    <row r="9" spans="2:7" x14ac:dyDescent="0.2">
      <c r="B9" s="223" t="s">
        <v>274</v>
      </c>
      <c r="C9" s="226">
        <v>0</v>
      </c>
      <c r="D9" s="4">
        <v>0.8</v>
      </c>
      <c r="E9" s="5">
        <f>C9*D9</f>
        <v>0</v>
      </c>
      <c r="G9" s="6"/>
    </row>
    <row r="10" spans="2:7" x14ac:dyDescent="0.2">
      <c r="B10" s="223"/>
      <c r="C10" s="228"/>
      <c r="E10" s="8">
        <f>SUM(E5:E9)</f>
        <v>8134916</v>
      </c>
      <c r="F10" s="9">
        <v>0.7</v>
      </c>
      <c r="G10" s="10">
        <f>E10*F10</f>
        <v>5694441.1999999993</v>
      </c>
    </row>
    <row r="11" spans="2:7" x14ac:dyDescent="0.2">
      <c r="B11" s="223"/>
      <c r="C11" s="228"/>
      <c r="F11" s="11"/>
      <c r="G11" s="6"/>
    </row>
    <row r="12" spans="2:7" x14ac:dyDescent="0.2">
      <c r="B12" s="223" t="s">
        <v>275</v>
      </c>
      <c r="C12" s="224">
        <v>39083</v>
      </c>
      <c r="F12" s="11"/>
      <c r="G12" s="6"/>
    </row>
    <row r="13" spans="2:7" x14ac:dyDescent="0.2">
      <c r="B13" s="223" t="s">
        <v>276</v>
      </c>
      <c r="C13" s="229">
        <v>2036</v>
      </c>
      <c r="F13" s="11"/>
      <c r="G13" s="6"/>
    </row>
    <row r="14" spans="2:7" x14ac:dyDescent="0.2">
      <c r="B14" s="223" t="s">
        <v>277</v>
      </c>
      <c r="C14" s="226">
        <v>78600000</v>
      </c>
      <c r="F14" s="9">
        <v>0.75</v>
      </c>
      <c r="G14" s="12">
        <f>C14*F14</f>
        <v>58950000</v>
      </c>
    </row>
    <row r="15" spans="2:7" x14ac:dyDescent="0.2">
      <c r="B15" s="223" t="s">
        <v>85</v>
      </c>
      <c r="C15" s="226">
        <v>4600000</v>
      </c>
      <c r="F15" s="9">
        <v>0.9</v>
      </c>
      <c r="G15" s="10">
        <f>C15*F15</f>
        <v>4140000</v>
      </c>
    </row>
    <row r="16" spans="2:7" x14ac:dyDescent="0.2">
      <c r="B16" s="223"/>
      <c r="C16" s="228"/>
      <c r="G16" s="6"/>
    </row>
    <row r="17" spans="2:11" x14ac:dyDescent="0.2">
      <c r="B17" s="223" t="s">
        <v>18</v>
      </c>
      <c r="C17" s="230">
        <v>180</v>
      </c>
      <c r="G17" s="6"/>
      <c r="H17" s="251"/>
      <c r="I17" s="252" t="s">
        <v>359</v>
      </c>
      <c r="J17" s="252" t="s">
        <v>352</v>
      </c>
      <c r="K17" s="253" t="s">
        <v>357</v>
      </c>
    </row>
    <row r="18" spans="2:11" x14ac:dyDescent="0.2">
      <c r="B18" s="223" t="s">
        <v>19</v>
      </c>
      <c r="C18" s="231">
        <v>9.2499999999999999E-2</v>
      </c>
      <c r="E18" s="220" t="s">
        <v>349</v>
      </c>
      <c r="G18" s="6"/>
      <c r="H18" s="254" t="s">
        <v>351</v>
      </c>
      <c r="I18" s="255" t="s">
        <v>353</v>
      </c>
      <c r="J18" s="255" t="s">
        <v>355</v>
      </c>
      <c r="K18" s="256" t="s">
        <v>354</v>
      </c>
    </row>
    <row r="19" spans="2:11" x14ac:dyDescent="0.2">
      <c r="B19" s="223" t="s">
        <v>21</v>
      </c>
      <c r="C19" s="231">
        <v>0.105</v>
      </c>
      <c r="E19" s="220" t="s">
        <v>349</v>
      </c>
      <c r="G19" s="6"/>
      <c r="H19" s="257" t="s">
        <v>356</v>
      </c>
      <c r="I19" s="258" t="s">
        <v>354</v>
      </c>
      <c r="J19" s="258" t="s">
        <v>354</v>
      </c>
      <c r="K19" s="259" t="s">
        <v>358</v>
      </c>
    </row>
    <row r="20" spans="2:11" x14ac:dyDescent="0.2">
      <c r="B20" s="223"/>
      <c r="C20" s="231"/>
      <c r="G20" s="6"/>
      <c r="H20" s="29"/>
    </row>
    <row r="21" spans="2:11" x14ac:dyDescent="0.2">
      <c r="B21" s="227" t="s">
        <v>338</v>
      </c>
      <c r="C21" s="232">
        <f ca="1">NOW()+7</f>
        <v>46323.502406597225</v>
      </c>
      <c r="E21" s="2"/>
      <c r="G21" s="6"/>
    </row>
    <row r="22" spans="2:11" x14ac:dyDescent="0.2">
      <c r="B22" s="227" t="s">
        <v>339</v>
      </c>
      <c r="C22" s="224">
        <v>46327</v>
      </c>
      <c r="G22" s="6"/>
    </row>
    <row r="23" spans="2:11" x14ac:dyDescent="0.2">
      <c r="B23" s="227" t="s">
        <v>340</v>
      </c>
      <c r="C23" s="232">
        <f>EDATE(C22,C17-1)</f>
        <v>51775</v>
      </c>
      <c r="E23" s="219" t="str">
        <f>DATEDIF(C3,C23,"Y")&amp;"Tahun "&amp;DATEDIF(C3,C23,"YM")&amp;"bulan "&amp;DATEDIF(C3,C23,"MD")&amp;"hari"</f>
        <v>64Tahun 11bulan 7hari</v>
      </c>
      <c r="G23" s="13" t="s">
        <v>342</v>
      </c>
    </row>
    <row r="24" spans="2:11" x14ac:dyDescent="0.2">
      <c r="B24" s="227"/>
      <c r="C24" s="224"/>
      <c r="G24" s="6"/>
    </row>
    <row r="25" spans="2:11" ht="15.75" thickBot="1" x14ac:dyDescent="0.25">
      <c r="B25" s="233" t="s">
        <v>278</v>
      </c>
      <c r="C25" s="234">
        <v>39998267</v>
      </c>
      <c r="E25" s="220" t="s">
        <v>350</v>
      </c>
      <c r="G25" s="6"/>
    </row>
    <row r="26" spans="2:11" x14ac:dyDescent="0.2">
      <c r="C26" s="7"/>
      <c r="G26" s="6"/>
    </row>
    <row r="27" spans="2:11" x14ac:dyDescent="0.2">
      <c r="B27" s="1" t="s">
        <v>279</v>
      </c>
      <c r="C27" s="14">
        <v>0</v>
      </c>
      <c r="G27" s="6"/>
    </row>
    <row r="28" spans="2:11" x14ac:dyDescent="0.2">
      <c r="B28" s="1" t="s">
        <v>280</v>
      </c>
      <c r="C28" s="15">
        <f>C65</f>
        <v>0</v>
      </c>
      <c r="G28" s="6"/>
    </row>
    <row r="29" spans="2:11" x14ac:dyDescent="0.2">
      <c r="C29" s="7"/>
      <c r="G29" s="6"/>
    </row>
    <row r="30" spans="2:11" x14ac:dyDescent="0.2">
      <c r="B30" s="1" t="s">
        <v>281</v>
      </c>
      <c r="C30" s="7">
        <f>Simulasi!B10</f>
        <v>480000000</v>
      </c>
      <c r="G30" s="6"/>
    </row>
    <row r="31" spans="2:11" x14ac:dyDescent="0.2">
      <c r="B31" s="1" t="s">
        <v>282</v>
      </c>
      <c r="C31" s="7">
        <f>(2%*C30)+C30</f>
        <v>489600000</v>
      </c>
      <c r="E31" s="16">
        <f>ROUNDUP(C31,-6)</f>
        <v>490000000</v>
      </c>
      <c r="F31" s="4"/>
      <c r="G31" s="7"/>
    </row>
    <row r="32" spans="2:11" x14ac:dyDescent="0.2">
      <c r="C32" s="5"/>
      <c r="G32" s="6"/>
    </row>
    <row r="33" spans="2:7" x14ac:dyDescent="0.2">
      <c r="C33" s="7"/>
      <c r="G33" s="6"/>
    </row>
    <row r="34" spans="2:7" x14ac:dyDescent="0.2">
      <c r="C34" s="5"/>
    </row>
    <row r="35" spans="2:7" x14ac:dyDescent="0.2">
      <c r="C35" s="5"/>
    </row>
    <row r="36" spans="2:7" x14ac:dyDescent="0.2">
      <c r="C36" s="5"/>
    </row>
    <row r="37" spans="2:7" x14ac:dyDescent="0.2">
      <c r="C37" s="5"/>
    </row>
    <row r="38" spans="2:7" x14ac:dyDescent="0.2">
      <c r="C38" s="17"/>
    </row>
    <row r="39" spans="2:7" x14ac:dyDescent="0.2">
      <c r="C39" s="5"/>
    </row>
    <row r="40" spans="2:7" ht="21" x14ac:dyDescent="0.3">
      <c r="B40" s="18" t="s">
        <v>283</v>
      </c>
      <c r="C40" s="5"/>
    </row>
    <row r="41" spans="2:7" x14ac:dyDescent="0.2">
      <c r="B41" s="1" t="s">
        <v>268</v>
      </c>
      <c r="C41" s="19" t="str">
        <f>C2</f>
        <v>SITI HAFSAH</v>
      </c>
    </row>
    <row r="42" spans="2:7" x14ac:dyDescent="0.2">
      <c r="B42" s="1" t="s">
        <v>160</v>
      </c>
      <c r="C42" s="20" t="s">
        <v>284</v>
      </c>
    </row>
    <row r="43" spans="2:7" x14ac:dyDescent="0.2">
      <c r="B43" s="1" t="s">
        <v>285</v>
      </c>
      <c r="C43" s="20" t="s">
        <v>26</v>
      </c>
    </row>
    <row r="44" spans="2:7" x14ac:dyDescent="0.2">
      <c r="B44" s="1" t="s">
        <v>286</v>
      </c>
      <c r="C44" s="20" t="s">
        <v>287</v>
      </c>
    </row>
    <row r="45" spans="2:7" x14ac:dyDescent="0.2">
      <c r="B45" s="1" t="s">
        <v>288</v>
      </c>
      <c r="C45" s="1" t="s">
        <v>289</v>
      </c>
    </row>
    <row r="47" spans="2:7" x14ac:dyDescent="0.2">
      <c r="B47" s="1" t="s">
        <v>290</v>
      </c>
      <c r="C47" s="21" t="s">
        <v>291</v>
      </c>
      <c r="E47" s="1" t="s">
        <v>292</v>
      </c>
    </row>
    <row r="48" spans="2:7" x14ac:dyDescent="0.2">
      <c r="B48" s="1" t="s">
        <v>293</v>
      </c>
      <c r="C48" s="22">
        <v>92236837</v>
      </c>
      <c r="E48" s="22">
        <v>80844000</v>
      </c>
    </row>
    <row r="49" spans="2:5" x14ac:dyDescent="0.2">
      <c r="B49" s="1" t="s">
        <v>294</v>
      </c>
      <c r="C49" s="22">
        <v>7256353231</v>
      </c>
      <c r="E49" s="22">
        <v>7104565675</v>
      </c>
    </row>
    <row r="50" spans="2:5" x14ac:dyDescent="0.2">
      <c r="B50" s="1" t="s">
        <v>295</v>
      </c>
      <c r="C50" s="23">
        <v>45300</v>
      </c>
      <c r="E50" s="24">
        <v>44628</v>
      </c>
    </row>
    <row r="51" spans="2:5" x14ac:dyDescent="0.2">
      <c r="B51" s="1" t="s">
        <v>296</v>
      </c>
      <c r="C51" s="23">
        <v>47423</v>
      </c>
      <c r="E51" s="24">
        <v>48639</v>
      </c>
    </row>
    <row r="52" spans="2:5" x14ac:dyDescent="0.2">
      <c r="B52" s="1" t="s">
        <v>297</v>
      </c>
      <c r="C52" s="22">
        <v>70</v>
      </c>
      <c r="E52" s="22">
        <v>132</v>
      </c>
    </row>
    <row r="53" spans="2:5" x14ac:dyDescent="0.2">
      <c r="B53" s="1" t="s">
        <v>298</v>
      </c>
      <c r="C53" s="22">
        <v>28</v>
      </c>
      <c r="E53" s="22"/>
    </row>
    <row r="54" spans="2:5" x14ac:dyDescent="0.2">
      <c r="B54" s="1" t="s">
        <v>299</v>
      </c>
      <c r="C54" s="22">
        <v>0</v>
      </c>
      <c r="D54" s="22"/>
      <c r="E54" s="22"/>
    </row>
    <row r="55" spans="2:5" x14ac:dyDescent="0.2">
      <c r="B55" s="1" t="s">
        <v>300</v>
      </c>
      <c r="C55" s="25"/>
      <c r="E55" s="25"/>
    </row>
    <row r="56" spans="2:5" x14ac:dyDescent="0.2">
      <c r="B56" s="1" t="s">
        <v>301</v>
      </c>
      <c r="C56" s="12"/>
      <c r="E56" s="12"/>
    </row>
    <row r="57" spans="2:5" x14ac:dyDescent="0.2">
      <c r="B57" s="1" t="s">
        <v>302</v>
      </c>
      <c r="C57" s="25"/>
      <c r="E57" s="25"/>
    </row>
    <row r="58" spans="2:5" x14ac:dyDescent="0.2">
      <c r="B58" s="1" t="s">
        <v>303</v>
      </c>
      <c r="C58" s="26">
        <v>0</v>
      </c>
    </row>
    <row r="59" spans="2:5" x14ac:dyDescent="0.2">
      <c r="B59" s="1" t="s">
        <v>304</v>
      </c>
      <c r="C59" s="7">
        <f>C57-C58</f>
        <v>0</v>
      </c>
      <c r="E59" s="7">
        <f t="shared" ref="E59" si="1">E57-E58</f>
        <v>0</v>
      </c>
    </row>
    <row r="60" spans="2:5" x14ac:dyDescent="0.2">
      <c r="B60" s="1" t="s">
        <v>305</v>
      </c>
      <c r="C60" s="6" t="s">
        <v>306</v>
      </c>
    </row>
    <row r="61" spans="2:5" x14ac:dyDescent="0.2">
      <c r="B61" s="1" t="s">
        <v>307</v>
      </c>
      <c r="C61" s="3">
        <v>0</v>
      </c>
      <c r="D61" s="3"/>
      <c r="E61" s="3">
        <v>0</v>
      </c>
    </row>
    <row r="62" spans="2:5" x14ac:dyDescent="0.2">
      <c r="B62" s="1" t="s">
        <v>308</v>
      </c>
      <c r="C62" s="5">
        <f>C61/C52</f>
        <v>0</v>
      </c>
      <c r="D62" s="5"/>
      <c r="E62" s="5">
        <f>E61/E52</f>
        <v>0</v>
      </c>
    </row>
    <row r="63" spans="2:5" x14ac:dyDescent="0.2">
      <c r="B63" s="1" t="s">
        <v>309</v>
      </c>
      <c r="C63" s="27">
        <f>C61-(C62*C53)</f>
        <v>0</v>
      </c>
      <c r="D63" s="5"/>
      <c r="E63" s="27">
        <f t="shared" ref="E63" si="2">E61-(E62*E53)</f>
        <v>0</v>
      </c>
    </row>
    <row r="64" spans="2:5" x14ac:dyDescent="0.2">
      <c r="B64" s="1" t="s">
        <v>310</v>
      </c>
      <c r="C64" s="28">
        <f>C56+C58+C63</f>
        <v>0</v>
      </c>
      <c r="D64" s="5"/>
      <c r="E64" s="28">
        <f t="shared" ref="E64" si="3">E56+E58+E63</f>
        <v>0</v>
      </c>
    </row>
    <row r="65" spans="2:4" x14ac:dyDescent="0.2">
      <c r="B65" s="29" t="s">
        <v>311</v>
      </c>
      <c r="C65" s="8">
        <f>C64+E64</f>
        <v>0</v>
      </c>
      <c r="D65" s="5"/>
    </row>
    <row r="66" spans="2:4" x14ac:dyDescent="0.2">
      <c r="D66" s="5"/>
    </row>
    <row r="67" spans="2:4" x14ac:dyDescent="0.2">
      <c r="D67" s="5"/>
    </row>
    <row r="68" spans="2:4" x14ac:dyDescent="0.2">
      <c r="D6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FC42"/>
  <sheetViews>
    <sheetView zoomScale="104" workbookViewId="0">
      <selection activeCell="B3" sqref="B3"/>
    </sheetView>
  </sheetViews>
  <sheetFormatPr defaultColWidth="0" defaultRowHeight="21" x14ac:dyDescent="0.3"/>
  <cols>
    <col min="1" max="1" width="16.27734375" bestFit="1" customWidth="1"/>
    <col min="2" max="2" width="11.00390625" customWidth="1"/>
    <col min="3" max="3" width="6.65625" style="30" hidden="1" customWidth="1"/>
    <col min="4" max="4" width="10.44921875" style="31" hidden="1" customWidth="1"/>
    <col min="5" max="5" width="12.11328125" style="31" hidden="1" customWidth="1"/>
    <col min="6" max="6" width="18.21875" style="31" hidden="1" customWidth="1"/>
    <col min="7" max="7" width="7.859375" style="31" hidden="1" customWidth="1"/>
    <col min="8" max="8" width="8.69140625" style="31" hidden="1" customWidth="1"/>
    <col min="9" max="9" width="15.99609375" style="31" hidden="1" customWidth="1"/>
    <col min="10" max="23" width="8.875" hidden="1" customWidth="1"/>
    <col min="24" max="24" width="10.35546875" hidden="1" customWidth="1"/>
    <col min="25" max="26" width="8.875" style="32" hidden="1" customWidth="1"/>
    <col min="16384" max="16384" width="1.109375" hidden="1" customWidth="1"/>
  </cols>
  <sheetData>
    <row r="1" spans="1:24" x14ac:dyDescent="0.3">
      <c r="A1" s="235" t="s">
        <v>267</v>
      </c>
      <c r="B1" s="236"/>
      <c r="C1" s="33"/>
      <c r="D1" s="34"/>
      <c r="E1" s="34"/>
      <c r="F1" s="34"/>
      <c r="X1" s="35"/>
    </row>
    <row r="2" spans="1:24" x14ac:dyDescent="0.3">
      <c r="A2" s="235" t="s">
        <v>0</v>
      </c>
      <c r="B2" s="236"/>
      <c r="C2" s="33"/>
      <c r="D2" s="34" t="s">
        <v>1</v>
      </c>
      <c r="E2" s="34"/>
      <c r="F2" s="34"/>
      <c r="X2" s="35"/>
    </row>
    <row r="3" spans="1:24" x14ac:dyDescent="0.3">
      <c r="A3" s="36" t="s">
        <v>2</v>
      </c>
      <c r="B3" s="37" t="s">
        <v>347</v>
      </c>
      <c r="C3" s="33" t="str">
        <f>MID(B3,8,1)</f>
        <v>1</v>
      </c>
      <c r="D3" s="34"/>
      <c r="E3" s="34"/>
      <c r="F3" s="34"/>
      <c r="G3" s="34" t="s">
        <v>3</v>
      </c>
      <c r="H3" s="31" t="s">
        <v>4</v>
      </c>
      <c r="I3" s="31" t="s">
        <v>5</v>
      </c>
      <c r="X3" s="35"/>
    </row>
    <row r="4" spans="1:24" x14ac:dyDescent="0.3">
      <c r="A4" s="36" t="s">
        <v>6</v>
      </c>
      <c r="B4" s="38" t="s">
        <v>348</v>
      </c>
      <c r="C4" s="33" t="str">
        <f>MID(B4,1,1)</f>
        <v>P</v>
      </c>
      <c r="D4" s="34"/>
      <c r="E4" s="34"/>
      <c r="F4" s="34" t="s">
        <v>7</v>
      </c>
      <c r="G4" s="34">
        <f>MIN((B16-B19)*C16,0.7*(B16-B19))</f>
        <v>5694441.1999999993</v>
      </c>
      <c r="H4" s="39">
        <f>B18-B19</f>
        <v>0</v>
      </c>
      <c r="I4" s="39">
        <f>IF($B$18=0,G4,MIN(G4,H4))</f>
        <v>5694441.1999999993</v>
      </c>
      <c r="X4" s="35"/>
    </row>
    <row r="5" spans="1:24" x14ac:dyDescent="0.3">
      <c r="A5" s="36" t="s">
        <v>8</v>
      </c>
      <c r="B5" s="40">
        <f ca="1">NOW()+7</f>
        <v>46323.50240636574</v>
      </c>
      <c r="C5" s="33"/>
      <c r="D5" s="34"/>
      <c r="E5" s="34"/>
      <c r="F5" s="34" t="s">
        <v>9</v>
      </c>
      <c r="G5" s="34">
        <f>MIN((B16-B19-B20)*C16,0.8*(B16-B19-B20))</f>
        <v>5694441.1999999993</v>
      </c>
      <c r="H5" s="39">
        <f>B18-B19-B20</f>
        <v>0</v>
      </c>
      <c r="I5" s="39">
        <f>IF($B$18=0,G5,MIN(G5,H5))</f>
        <v>5694441.1999999993</v>
      </c>
      <c r="X5" s="35"/>
    </row>
    <row r="6" spans="1:24" x14ac:dyDescent="0.3">
      <c r="A6" s="36" t="s">
        <v>10</v>
      </c>
      <c r="B6" s="41">
        <f>Akseptasi!C3</f>
        <v>28057</v>
      </c>
      <c r="C6" s="33"/>
      <c r="D6" s="34"/>
      <c r="E6" s="34"/>
      <c r="F6" s="34" t="s">
        <v>11</v>
      </c>
      <c r="G6" s="34">
        <f>MIN((B16-B19-B20)*C16,0.5*(B16-B19-B20))</f>
        <v>4067458</v>
      </c>
      <c r="H6" s="39">
        <f>B18-B19-B20</f>
        <v>0</v>
      </c>
      <c r="I6" s="39">
        <f>IF($B$18=0,G6,MIN(G6,H6))</f>
        <v>4067458</v>
      </c>
      <c r="X6" s="35"/>
    </row>
    <row r="7" spans="1:24" x14ac:dyDescent="0.3">
      <c r="A7" s="36" t="s">
        <v>12</v>
      </c>
      <c r="B7" s="41">
        <f>Akseptasi!C12</f>
        <v>39083</v>
      </c>
      <c r="C7" s="42">
        <f>DATE(B8,MONTH(B6)+1,1)</f>
        <v>49980</v>
      </c>
      <c r="D7" s="43"/>
      <c r="E7" s="34"/>
      <c r="F7" s="34" t="s">
        <v>13</v>
      </c>
      <c r="G7" s="31">
        <f>B17*C17</f>
        <v>4140000</v>
      </c>
      <c r="H7" s="39">
        <f>G7</f>
        <v>4140000</v>
      </c>
      <c r="I7" s="39">
        <f>IF($B$18=0,G7,MIN(G7,H7))</f>
        <v>4140000</v>
      </c>
      <c r="X7" s="35"/>
    </row>
    <row r="8" spans="1:24" x14ac:dyDescent="0.3">
      <c r="A8" s="36" t="s">
        <v>14</v>
      </c>
      <c r="B8" s="44">
        <f>Akseptasi!C13</f>
        <v>2036</v>
      </c>
      <c r="C8" s="45">
        <f ca="1">ROUND((C7-B5)/30.5,0)</f>
        <v>120</v>
      </c>
      <c r="D8" s="34" t="s">
        <v>15</v>
      </c>
      <c r="E8" s="34"/>
      <c r="F8" s="34"/>
      <c r="X8" s="35"/>
    </row>
    <row r="9" spans="1:24" x14ac:dyDescent="0.3">
      <c r="A9" s="36" t="s">
        <v>16</v>
      </c>
      <c r="B9" s="46">
        <f>C7</f>
        <v>49980</v>
      </c>
      <c r="C9" s="45">
        <f ca="1">C8/12</f>
        <v>10</v>
      </c>
      <c r="D9" s="34"/>
      <c r="E9" s="34"/>
      <c r="F9" s="34"/>
      <c r="G9" s="47">
        <v>0.7</v>
      </c>
      <c r="X9" s="35"/>
    </row>
    <row r="10" spans="1:24" x14ac:dyDescent="0.3">
      <c r="A10" s="48" t="s">
        <v>17</v>
      </c>
      <c r="B10" s="49">
        <v>480000000</v>
      </c>
      <c r="C10" s="33"/>
      <c r="D10" s="34"/>
      <c r="E10" s="34"/>
      <c r="F10" s="34"/>
      <c r="G10" s="47">
        <v>0.8</v>
      </c>
      <c r="X10" s="35"/>
    </row>
    <row r="11" spans="1:24" x14ac:dyDescent="0.3">
      <c r="A11" s="36" t="s">
        <v>18</v>
      </c>
      <c r="B11" s="38">
        <f>Akseptasi!C17</f>
        <v>180</v>
      </c>
      <c r="C11" s="33"/>
      <c r="D11" s="34">
        <f>8*12</f>
        <v>96</v>
      </c>
      <c r="E11" s="34"/>
      <c r="F11" s="34"/>
      <c r="G11" s="47">
        <v>0.5</v>
      </c>
      <c r="X11" s="35"/>
    </row>
    <row r="12" spans="1:24" x14ac:dyDescent="0.3">
      <c r="A12" s="36" t="s">
        <v>19</v>
      </c>
      <c r="B12" s="50">
        <f>Akseptasi!C18</f>
        <v>9.2499999999999999E-2</v>
      </c>
      <c r="C12" s="33"/>
      <c r="D12" s="34">
        <v>7</v>
      </c>
      <c r="E12" s="34"/>
      <c r="F12" s="34" t="s">
        <v>20</v>
      </c>
      <c r="X12" s="35"/>
    </row>
    <row r="13" spans="1:24" x14ac:dyDescent="0.3">
      <c r="A13" s="36" t="s">
        <v>21</v>
      </c>
      <c r="B13" s="51">
        <f>Akseptasi!C19</f>
        <v>0.105</v>
      </c>
      <c r="C13" s="33"/>
      <c r="D13" s="34">
        <f>D11+D12</f>
        <v>103</v>
      </c>
      <c r="E13" s="34"/>
      <c r="F13" s="34" t="s">
        <v>22</v>
      </c>
      <c r="X13" s="35"/>
    </row>
    <row r="14" spans="1:24" x14ac:dyDescent="0.3">
      <c r="A14" s="36" t="s">
        <v>23</v>
      </c>
      <c r="B14" s="52" t="s">
        <v>22</v>
      </c>
      <c r="C14" s="33" t="str">
        <f>LEFT(B14,1)</f>
        <v>2</v>
      </c>
      <c r="D14" s="34"/>
      <c r="E14" s="34"/>
      <c r="F14" s="34" t="s">
        <v>24</v>
      </c>
      <c r="X14" s="35"/>
    </row>
    <row r="15" spans="1:24" hidden="1" x14ac:dyDescent="0.3">
      <c r="A15" s="53" t="s">
        <v>25</v>
      </c>
      <c r="B15" s="54" t="s">
        <v>26</v>
      </c>
      <c r="C15" s="33"/>
      <c r="D15" s="34"/>
      <c r="E15" s="34"/>
      <c r="F15" s="34"/>
      <c r="X15" s="35"/>
    </row>
    <row r="16" spans="1:24" x14ac:dyDescent="0.3">
      <c r="A16" s="55" t="s">
        <v>27</v>
      </c>
      <c r="B16" s="56">
        <f>Akseptasi!E10</f>
        <v>8134916</v>
      </c>
      <c r="C16" s="33" t="str">
        <f>MID(A16,16,3)</f>
        <v>70%</v>
      </c>
      <c r="D16" s="34"/>
      <c r="E16" s="34"/>
      <c r="F16" s="34"/>
      <c r="X16" s="35"/>
    </row>
    <row r="17" spans="1:24" x14ac:dyDescent="0.3">
      <c r="A17" s="55" t="s">
        <v>28</v>
      </c>
      <c r="B17" s="57">
        <f>Akseptasi!C15</f>
        <v>4600000</v>
      </c>
      <c r="C17" s="33" t="str">
        <f>MID(A17,18,3)</f>
        <v>90%</v>
      </c>
      <c r="D17" s="34"/>
      <c r="E17" s="34"/>
      <c r="F17" s="34"/>
      <c r="X17" s="58" t="s">
        <v>29</v>
      </c>
    </row>
    <row r="18" spans="1:24" ht="26.1" customHeight="1" x14ac:dyDescent="0.3">
      <c r="A18" s="59" t="str">
        <f>IF(C3="3","Wajib diisi 0","Set Angsuran Maks Aktif(Khusus Prapen 10 Tahun)")</f>
        <v>Set Angsuran Maks Aktif(Khusus Prapen 10 Tahun)</v>
      </c>
      <c r="B18" s="49">
        <v>0</v>
      </c>
      <c r="C18" s="33"/>
      <c r="D18" s="34"/>
      <c r="E18" s="34"/>
      <c r="F18" s="34"/>
      <c r="X18" s="58">
        <f>IF(B18=0,0,$B$34/12*$B$31)</f>
        <v>0</v>
      </c>
    </row>
    <row r="19" spans="1:24" x14ac:dyDescent="0.3">
      <c r="A19" s="59" t="s">
        <v>30</v>
      </c>
      <c r="B19" s="49">
        <v>0</v>
      </c>
      <c r="C19" s="33"/>
      <c r="D19" s="34"/>
      <c r="E19" s="34"/>
      <c r="F19" s="34"/>
      <c r="X19" s="35"/>
    </row>
    <row r="20" spans="1:24" x14ac:dyDescent="0.3">
      <c r="A20" s="36" t="s">
        <v>31</v>
      </c>
      <c r="B20" s="56">
        <v>0</v>
      </c>
      <c r="C20" s="33"/>
      <c r="D20" s="34"/>
      <c r="E20" s="34"/>
      <c r="F20" s="34"/>
      <c r="X20" s="35"/>
    </row>
    <row r="21" spans="1:24" x14ac:dyDescent="0.3">
      <c r="A21" s="36" t="s">
        <v>32</v>
      </c>
      <c r="B21" s="56">
        <f>Akseptasi!C25</f>
        <v>39998267</v>
      </c>
      <c r="C21" s="33"/>
      <c r="D21" s="34"/>
      <c r="E21" s="34"/>
      <c r="F21" s="34"/>
      <c r="X21" s="35"/>
    </row>
    <row r="22" spans="1:24" hidden="1" x14ac:dyDescent="0.3">
      <c r="A22" s="60" t="s">
        <v>33</v>
      </c>
      <c r="B22" s="61">
        <f>15000000/(100000000+15000000)</f>
        <v>0.13043478260869565</v>
      </c>
      <c r="C22" s="33"/>
      <c r="D22" s="34"/>
      <c r="E22" s="34"/>
      <c r="F22" s="34"/>
      <c r="X22" s="35"/>
    </row>
    <row r="23" spans="1:24" hidden="1" x14ac:dyDescent="0.3">
      <c r="A23" s="60" t="s">
        <v>34</v>
      </c>
      <c r="B23" s="62">
        <v>0</v>
      </c>
      <c r="C23" s="33"/>
      <c r="D23" s="34"/>
      <c r="E23" s="34"/>
      <c r="F23" s="34"/>
      <c r="X23" s="35"/>
    </row>
    <row r="24" spans="1:24" hidden="1" x14ac:dyDescent="0.3">
      <c r="A24" s="63"/>
      <c r="B24" s="64"/>
      <c r="C24" s="33"/>
      <c r="D24" s="34"/>
      <c r="E24" s="34"/>
      <c r="F24" s="34"/>
      <c r="X24" s="35"/>
    </row>
    <row r="25" spans="1:24" hidden="1" x14ac:dyDescent="0.3">
      <c r="A25" s="63"/>
      <c r="B25" s="64"/>
      <c r="C25" s="33"/>
      <c r="D25" s="34"/>
      <c r="E25" s="34"/>
      <c r="F25" s="34"/>
      <c r="X25" s="35"/>
    </row>
    <row r="26" spans="1:24" hidden="1" x14ac:dyDescent="0.3">
      <c r="A26" s="63"/>
      <c r="B26" s="64"/>
      <c r="C26" s="33"/>
      <c r="D26" s="34"/>
      <c r="E26" s="34"/>
      <c r="F26" s="34"/>
      <c r="X26" s="35"/>
    </row>
    <row r="27" spans="1:24" hidden="1" x14ac:dyDescent="0.3">
      <c r="A27" s="63"/>
      <c r="B27" s="64"/>
      <c r="C27" s="33"/>
      <c r="D27" s="34"/>
      <c r="E27" s="34"/>
      <c r="F27" s="34"/>
      <c r="X27" s="35"/>
    </row>
    <row r="28" spans="1:24" hidden="1" x14ac:dyDescent="0.3">
      <c r="A28" s="63"/>
      <c r="B28" s="64"/>
      <c r="C28" s="33"/>
      <c r="D28" s="34"/>
      <c r="E28" s="34"/>
      <c r="F28" s="34"/>
      <c r="X28" s="35"/>
    </row>
    <row r="29" spans="1:24" x14ac:dyDescent="0.3">
      <c r="A29" s="237" t="s">
        <v>35</v>
      </c>
      <c r="B29" s="237"/>
      <c r="C29" s="33"/>
      <c r="D29" s="34"/>
      <c r="E29" s="34">
        <v>1</v>
      </c>
      <c r="F29" s="34">
        <v>3</v>
      </c>
      <c r="X29" s="35"/>
    </row>
    <row r="30" spans="1:24" x14ac:dyDescent="0.3">
      <c r="A30" s="53" t="s">
        <v>36</v>
      </c>
      <c r="B30" s="65">
        <f ca="1">IF(IF($C$3="1",E30,F30)&gt;800000000,800000000,IF($C$3="1",E30,F30))</f>
        <v>495000000</v>
      </c>
      <c r="C30" s="33"/>
      <c r="D30" s="34" t="s">
        <v>37</v>
      </c>
      <c r="E30" s="66">
        <f ca="1">'Rumus Plafond + Atrib PP10 (2)'!C18</f>
        <v>495000000</v>
      </c>
      <c r="F30" s="66">
        <f ca="1">IF(C14="1",'Rumus Plafond + Atrib PP3'!C20,'Rumus Plafond + Atrib PP3'!C36)</f>
        <v>178000000</v>
      </c>
      <c r="X30" s="35"/>
    </row>
    <row r="31" spans="1:24" x14ac:dyDescent="0.3">
      <c r="A31" s="53" t="s">
        <v>38</v>
      </c>
      <c r="B31" s="65">
        <f ca="1">IF($C$3="1",E31,F31)</f>
        <v>480000000</v>
      </c>
      <c r="C31" s="33"/>
      <c r="D31" s="34" t="s">
        <v>39</v>
      </c>
      <c r="E31" s="66">
        <f ca="1">'Rumus Plafond + Atrib PP10 (2)'!P3</f>
        <v>480000000</v>
      </c>
      <c r="F31" s="66">
        <f ca="1">'Rumus Plafond + Atrib PP3'!P3</f>
        <v>178000000</v>
      </c>
      <c r="X31" s="35"/>
    </row>
    <row r="32" spans="1:24" x14ac:dyDescent="0.3">
      <c r="A32" s="53" t="str">
        <f>"Angs. Saat Aktif: DSR "&amp;TEXT(C32,"00,0%")</f>
        <v>Angs. Saat Aktif: DSR 70,0%</v>
      </c>
      <c r="B32" s="67">
        <f>IF($C$3="1",E32,F32)</f>
        <v>5694441</v>
      </c>
      <c r="C32" s="68">
        <f>IFERROR((B32+B19)/B16,"")</f>
        <v>0.69999997541462011</v>
      </c>
      <c r="D32" s="34"/>
      <c r="E32" s="66">
        <f>'Rumus Plafond + Atrib PP10 (2)'!C6</f>
        <v>5694441</v>
      </c>
      <c r="F32" s="66">
        <f ca="1">'Rumus Plafond + Atrib PP3'!V7</f>
        <v>1604295.9277777777</v>
      </c>
      <c r="X32" s="35"/>
    </row>
    <row r="33" spans="1:24" x14ac:dyDescent="0.3">
      <c r="A33" s="53" t="str">
        <f ca="1">IF(C33&gt;0.9,"DSR&gt;90%, ubah angs aktif/tenor","Angs. Saat Pensiun: DSR "&amp;TEXT(C33,"00,0%"))</f>
        <v>Angs. Saat Pensiun: DSR 89,6%</v>
      </c>
      <c r="B33" s="67">
        <f ca="1">IF(IF($C$3="1",E33,F33)&lt;0,"LUNAS &lt;PENSIUN",IF($C$3="1",E33,F33))</f>
        <v>4121876.7176744328</v>
      </c>
      <c r="C33" s="68">
        <f ca="1">IFERROR(B33/B17,"")</f>
        <v>0.89606015601618105</v>
      </c>
      <c r="D33" s="34"/>
      <c r="E33" s="66">
        <f ca="1">'Rumus Plafond + Atrib PP10 (2)'!V15</f>
        <v>4121876.7176744328</v>
      </c>
      <c r="F33" s="66">
        <f ca="1">'Rumus Plafond + Atrib PP3'!V17</f>
        <v>4092900.0468084267</v>
      </c>
      <c r="X33" s="35"/>
    </row>
    <row r="34" spans="1:24" ht="15.75" hidden="1" customHeight="1" x14ac:dyDescent="0.3">
      <c r="A34" s="53" t="s">
        <v>40</v>
      </c>
      <c r="B34" s="69">
        <f t="shared" ref="B34:B35" ca="1" si="0">IF($C$3="1",E34,F34)</f>
        <v>0.10805531486111111</v>
      </c>
      <c r="C34" s="33"/>
      <c r="D34" s="34"/>
      <c r="E34" s="70">
        <f ca="1">'Rumus Plafond + Atrib PP10 (2)'!V5</f>
        <v>0.10805531486111111</v>
      </c>
      <c r="F34" s="70">
        <f ca="1">'Rumus Plafond + Atrib PP3'!V6</f>
        <v>0.10748062434456927</v>
      </c>
      <c r="X34" s="35"/>
    </row>
    <row r="35" spans="1:24" ht="17.25" hidden="1" customHeight="1" x14ac:dyDescent="0.3">
      <c r="A35" s="53" t="s">
        <v>41</v>
      </c>
      <c r="B35" s="69">
        <f t="shared" ca="1" si="0"/>
        <v>0.11936993264872162</v>
      </c>
      <c r="C35" s="33"/>
      <c r="D35" s="34"/>
      <c r="E35" s="70">
        <f ca="1">'Rumus Plafond + Atrib PP10 (2)'!V14</f>
        <v>0.11936993264872162</v>
      </c>
      <c r="F35" s="70">
        <f ca="1">'Rumus Plafond + Atrib PP3'!V16</f>
        <v>0.1401</v>
      </c>
      <c r="X35" s="35"/>
    </row>
    <row r="36" spans="1:24" x14ac:dyDescent="0.3">
      <c r="A36" s="53" t="s">
        <v>42</v>
      </c>
      <c r="B36" s="65">
        <f>IF(C14="1",0,B21+B23)</f>
        <v>39998267</v>
      </c>
      <c r="C36" s="33"/>
      <c r="D36" s="34" t="s">
        <v>43</v>
      </c>
      <c r="E36" s="71">
        <f ca="1">'Rumus Plafond + Atrib PP10 (2)'!C50</f>
        <v>455000000</v>
      </c>
      <c r="F36" s="71"/>
      <c r="X36" s="35"/>
    </row>
    <row r="37" spans="1:24" x14ac:dyDescent="0.3">
      <c r="A37" s="72" t="s">
        <v>44</v>
      </c>
      <c r="B37" s="73" t="str">
        <f>IF(C3="3",(C8*B32)+2*B33,"blokir sesuai MP")</f>
        <v>blokir sesuai MP</v>
      </c>
    </row>
    <row r="38" spans="1:24" x14ac:dyDescent="0.3">
      <c r="A38" s="72" t="s">
        <v>45</v>
      </c>
      <c r="B38" s="73" t="str">
        <f ca="1">IFERROR(B31-B37,"khusus PPTB")</f>
        <v>khusus PPTB</v>
      </c>
    </row>
    <row r="39" spans="1:24" ht="30.95" customHeight="1" x14ac:dyDescent="0.3">
      <c r="A39" s="237" t="s">
        <v>46</v>
      </c>
      <c r="B39" s="237"/>
    </row>
    <row r="40" spans="1:24" x14ac:dyDescent="0.3">
      <c r="A40" s="74" t="s">
        <v>36</v>
      </c>
      <c r="B40" s="67">
        <f t="array" aca="1" ref="B40" ca="1">-PV(B12/12,C8,IF(B18=0,B16*_xlfn.IFS(C4="P",70%,C4="C",80%,C4="N",50%),B18))</f>
        <v>444764518.95015055</v>
      </c>
    </row>
    <row r="41" spans="1:24" x14ac:dyDescent="0.3">
      <c r="A41" s="74" t="s">
        <v>265</v>
      </c>
      <c r="B41" s="67">
        <f ca="1">-PMT(B12/12,C8,B31)</f>
        <v>6145570.6548983445</v>
      </c>
    </row>
    <row r="42" spans="1:24" x14ac:dyDescent="0.3">
      <c r="A42" s="74" t="s">
        <v>266</v>
      </c>
      <c r="B42" s="65">
        <f ca="1">C8</f>
        <v>120</v>
      </c>
    </row>
  </sheetData>
  <sheetProtection algorithmName="SHA-512" hashValue="EUW6UffCnfaJwxfhKWW+UkoaXY5z6LvNHFxI15b14XrThg9unT6NFd1HKXbtKizFvp0N2JscTHja9Ie37naOgw==" saltValue="9TDLkyRp819DVfJwfMBQ4w==" spinCount="100000" sheet="1" objects="1" scenarios="1"/>
  <mergeCells count="4">
    <mergeCell ref="A1:B1"/>
    <mergeCell ref="A2:B2"/>
    <mergeCell ref="A29:B29"/>
    <mergeCell ref="A39:B39"/>
  </mergeCells>
  <conditionalFormatting sqref="A1:A2">
    <cfRule type="containsText" dxfId="13" priority="9" operator="containsText" text="TIDAK SESUAI">
      <formula>NOT(ISERROR(SEARCH("TIDAK SESUAI",A1)))</formula>
    </cfRule>
    <cfRule type="cellIs" dxfId="12" priority="10" operator="equal">
      <formula>"OUTPUT (CEK SISA USIA TMT PENSIUN MIN 36 BULAN - MOHON UBAH TAHUN BUP NASABAH PADA SHEET MASA BEKERJA)"</formula>
    </cfRule>
  </conditionalFormatting>
  <conditionalFormatting sqref="A8:A9">
    <cfRule type="containsText" dxfId="11" priority="7" operator="containsText" text="BUP tidak sesuai">
      <formula>NOT(ISERROR(SEARCH("BUP tidak sesuai",A8)))</formula>
    </cfRule>
  </conditionalFormatting>
  <conditionalFormatting sqref="A29">
    <cfRule type="containsText" dxfId="10" priority="11" operator="containsText" text="TIDAK SESUAI">
      <formula>NOT(ISERROR(SEARCH("TIDAK SESUAI",A29)))</formula>
    </cfRule>
    <cfRule type="cellIs" dxfId="9" priority="12" operator="equal">
      <formula>"OUTPUT (CEK SISA USIA TMT PENSIUN MIN 36 BULAN - MOHON UBAH TAHUN BUP NASABAH PADA SHEET MASA BEKERJA)"</formula>
    </cfRule>
  </conditionalFormatting>
  <conditionalFormatting sqref="A33">
    <cfRule type="containsText" dxfId="8" priority="6" operator="containsText" text="DSR&gt;90">
      <formula>NOT(ISERROR(SEARCH("DSR&gt;90",A33)))</formula>
    </cfRule>
  </conditionalFormatting>
  <conditionalFormatting sqref="A39">
    <cfRule type="containsText" dxfId="7" priority="2" operator="containsText" text="TIDAK SESUAI">
      <formula>NOT(ISERROR(SEARCH("TIDAK SESUAI",A39)))</formula>
    </cfRule>
    <cfRule type="cellIs" dxfId="6" priority="3" operator="equal">
      <formula>"OUTPUT (CEK SISA USIA TMT PENSIUN MIN 36 BULAN - MOHON UBAH TAHUN BUP NASABAH PADA SHEET MASA BEKERJA)"</formula>
    </cfRule>
  </conditionalFormatting>
  <conditionalFormatting sqref="A4:B4">
    <cfRule type="expression" dxfId="5" priority="16">
      <formula>$D$4="D"</formula>
    </cfRule>
  </conditionalFormatting>
  <conditionalFormatting sqref="A29:B29">
    <cfRule type="cellIs" dxfId="4" priority="8" operator="equal">
      <formula>"PLAFOND PENGAJUAN MELEBIHI PLAFOND MAX"</formula>
    </cfRule>
  </conditionalFormatting>
  <conditionalFormatting sqref="A39:B39">
    <cfRule type="cellIs" dxfId="3" priority="1" operator="equal">
      <formula>"PLAFOND PENGAJUAN MELEBIHI PLAFOND MAX"</formula>
    </cfRule>
  </conditionalFormatting>
  <conditionalFormatting sqref="B14">
    <cfRule type="containsBlanks" dxfId="2" priority="15">
      <formula>LEN(TRIM(B14))=0</formula>
    </cfRule>
  </conditionalFormatting>
  <conditionalFormatting sqref="B18">
    <cfRule type="cellIs" dxfId="1" priority="5" operator="lessThan">
      <formula>$X$18</formula>
    </cfRule>
  </conditionalFormatting>
  <conditionalFormatting sqref="X17:X18">
    <cfRule type="expression" dxfId="0" priority="4">
      <formula>$X$18&gt;$B$18</formula>
    </cfRule>
  </conditionalFormatting>
  <dataValidations count="11">
    <dataValidation type="list" allowBlank="1" showErrorMessage="1" sqref="B3" xr:uid="{00000000-0002-0000-0100-000000000000}">
      <formula1>"Prapen 3 Tahun, Prapen 10 Tahun"</formula1>
    </dataValidation>
    <dataValidation type="whole" allowBlank="1" showInputMessage="1" showErrorMessage="1" sqref="B30" xr:uid="{00000000-0002-0000-0100-000001000000}">
      <formula1>10000000</formula1>
      <formula2>800000000</formula2>
    </dataValidation>
    <dataValidation type="list" allowBlank="1" showInputMessage="1" showErrorMessage="1" sqref="B14" xr:uid="{00000000-0002-0000-0100-000002000000}">
      <formula1>$F$12:$F$13</formula1>
    </dataValidation>
    <dataValidation type="whole" operator="lessThanOrEqual" allowBlank="1" sqref="B33" xr:uid="{00000000-0002-0000-0100-000003000000}">
      <formula1>B96</formula1>
    </dataValidation>
    <dataValidation type="decimal" operator="greaterThanOrEqual" allowBlank="1" showInputMessage="1" showErrorMessage="1" errorTitle="PRICE TIDAK SESUAI" error="INPUT PRICE SESUAI KETENTUAN" sqref="B13" xr:uid="{00000000-0002-0000-0100-000004000000}">
      <formula1>0.0875</formula1>
    </dataValidation>
    <dataValidation type="decimal" operator="greaterThanOrEqual" allowBlank="1" showErrorMessage="1" errorTitle="PRICE TIDAK SESUAI" error="INPUT PRICE SESUAI PRICE REGULER" sqref="B12" xr:uid="{00000000-0002-0000-0100-000005000000}">
      <formula1>0.0875</formula1>
    </dataValidation>
    <dataValidation type="whole" allowBlank="1" showInputMessage="1" showErrorMessage="1" errorTitle="PLAFON TIDAK SESUAI" error="Plafon maksimal Rp. 800 juta" sqref="B10" xr:uid="{00000000-0002-0000-0100-000006000000}">
      <formula1>10000000</formula1>
      <formula2>800000000</formula2>
    </dataValidation>
    <dataValidation type="date" allowBlank="1" showInputMessage="1" prompt="tglcair - Tanggal Cair Maksimal 24 Bulan Sebelum Tgl Pensiun" sqref="B5" xr:uid="{00000000-0002-0000-0100-000007000000}">
      <formula1>IF(C7="R",DATE(YEAR(B15),MONTH(B15)-60,DAY(B15)),DATE(YEAR(B15),MONTH(B15)-24,DAY(B15)))</formula1>
      <formula2>DATE(YEAR(B15),MONTH(B15)-1,DAY(B15))</formula2>
    </dataValidation>
    <dataValidation type="list" allowBlank="1" showErrorMessage="1" sqref="A16" xr:uid="{00000000-0002-0000-0100-000008000000}">
      <formula1>"Gaji Saat Ini (80%):,Gaji Saat Ini (70%):,Gaji Saat Ini (60%):,Gaji Saat Ini (50%):,Gaji Saat Ini (40%):,Gaji Saat Ini (30%):,Gaji Saat Ini (20%):,Gaji Saat Ini (10%):"</formula1>
    </dataValidation>
    <dataValidation type="list" allowBlank="1" showErrorMessage="1" sqref="A17" xr:uid="{00000000-0002-0000-0100-000009000000}">
      <formula1>"Manfaat pensiun (90%)"</formula1>
    </dataValidation>
    <dataValidation type="list" allowBlank="1" showErrorMessage="1" sqref="B4" xr:uid="{00000000-0002-0000-0100-00000A000000}">
      <formula1>"Payroll,Comitted Payroll,Non Payroll"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D08E"/>
  </sheetPr>
  <dimension ref="A1:AL186"/>
  <sheetViews>
    <sheetView topLeftCell="V1" zoomScale="98" workbookViewId="0">
      <selection activeCell="W17" sqref="W17"/>
    </sheetView>
  </sheetViews>
  <sheetFormatPr defaultColWidth="6.0078125" defaultRowHeight="15" x14ac:dyDescent="0.2"/>
  <cols>
    <col min="1" max="1" width="6.1015625" style="75" customWidth="1"/>
    <col min="2" max="2" width="14.0546875" style="75" customWidth="1"/>
    <col min="3" max="3" width="15.07421875" style="75" customWidth="1"/>
    <col min="4" max="4" width="13.31640625" style="75" customWidth="1"/>
    <col min="5" max="5" width="7.859375" style="75" customWidth="1"/>
    <col min="6" max="6" width="6.1015625" style="75" customWidth="1"/>
    <col min="7" max="7" width="7.859375" style="75" customWidth="1"/>
    <col min="8" max="8" width="13.31640625" style="75" customWidth="1"/>
    <col min="9" max="10" width="11.46484375" style="75" customWidth="1"/>
    <col min="11" max="11" width="11.09765625" style="75" customWidth="1"/>
    <col min="12" max="15" width="6.0078125" style="75"/>
    <col min="16" max="16" width="13.0390625" style="75" customWidth="1"/>
    <col min="17" max="17" width="9.33984375" style="75" customWidth="1"/>
    <col min="18" max="18" width="9.7109375" style="75" customWidth="1"/>
    <col min="19" max="19" width="8.4140625" style="75" customWidth="1"/>
    <col min="20" max="20" width="6.0078125" style="75"/>
    <col min="21" max="21" width="15.07421875" style="75" customWidth="1"/>
    <col min="22" max="22" width="13.87109375" style="75" customWidth="1"/>
    <col min="23" max="23" width="11.375" style="75" customWidth="1"/>
    <col min="24" max="24" width="10.44921875" style="75" customWidth="1"/>
    <col min="25" max="28" width="6.0078125" style="75"/>
    <col min="29" max="29" width="10.7265625" style="75" customWidth="1"/>
    <col min="30" max="32" width="6.0078125" style="75"/>
    <col min="33" max="34" width="11.09765625" style="75" customWidth="1"/>
    <col min="35" max="35" width="11.46484375" style="75" customWidth="1"/>
    <col min="36" max="36" width="10.7265625" style="75" customWidth="1"/>
    <col min="37" max="16384" width="6.0078125" style="75"/>
  </cols>
  <sheetData>
    <row r="1" spans="1:38" x14ac:dyDescent="0.2">
      <c r="B1" s="76" t="s">
        <v>47</v>
      </c>
      <c r="G1" s="75" t="s">
        <v>48</v>
      </c>
      <c r="H1" s="77" t="s">
        <v>49</v>
      </c>
      <c r="I1" s="77" t="s">
        <v>50</v>
      </c>
      <c r="J1" s="77" t="s">
        <v>51</v>
      </c>
      <c r="K1" s="77" t="s">
        <v>52</v>
      </c>
      <c r="O1" s="75" t="s">
        <v>53</v>
      </c>
      <c r="AG1" s="75" t="s">
        <v>54</v>
      </c>
      <c r="AH1" s="78">
        <v>8.6947336238827194E-2</v>
      </c>
    </row>
    <row r="2" spans="1:38" ht="21" x14ac:dyDescent="0.3">
      <c r="B2" s="75" t="s">
        <v>55</v>
      </c>
      <c r="C2" s="79">
        <f>Simulasi!B16</f>
        <v>8134916</v>
      </c>
      <c r="D2" s="80"/>
      <c r="G2" s="81" t="s">
        <v>56</v>
      </c>
      <c r="H2" s="81" t="s">
        <v>57</v>
      </c>
      <c r="I2" s="81" t="s">
        <v>58</v>
      </c>
      <c r="J2" s="81" t="s">
        <v>59</v>
      </c>
      <c r="K2" s="81" t="s">
        <v>60</v>
      </c>
      <c r="O2" s="81" t="s">
        <v>56</v>
      </c>
      <c r="P2" s="81" t="s">
        <v>57</v>
      </c>
      <c r="Q2" s="81" t="s">
        <v>58</v>
      </c>
      <c r="R2" s="81" t="s">
        <v>59</v>
      </c>
      <c r="S2" s="81" t="s">
        <v>60</v>
      </c>
      <c r="U2" s="75" t="s">
        <v>61</v>
      </c>
      <c r="AB2" s="75">
        <v>180</v>
      </c>
      <c r="AG2" s="75" t="s">
        <v>62</v>
      </c>
      <c r="AH2" s="75" t="s">
        <v>63</v>
      </c>
      <c r="AI2" s="75" t="s">
        <v>64</v>
      </c>
      <c r="AJ2" s="75" t="s">
        <v>65</v>
      </c>
      <c r="AK2" s="75" t="s">
        <v>66</v>
      </c>
      <c r="AL2" s="75" t="s">
        <v>67</v>
      </c>
    </row>
    <row r="3" spans="1:38" ht="21" x14ac:dyDescent="0.3">
      <c r="B3" s="75" t="s">
        <v>68</v>
      </c>
      <c r="C3" s="79">
        <f>Simulasi!B17</f>
        <v>4600000</v>
      </c>
      <c r="D3" s="80"/>
      <c r="G3" s="81">
        <v>0</v>
      </c>
      <c r="H3" s="82">
        <f ca="1">C18</f>
        <v>495000000</v>
      </c>
      <c r="I3" s="81"/>
      <c r="J3" s="81"/>
      <c r="K3" s="81"/>
      <c r="O3" s="81">
        <v>0</v>
      </c>
      <c r="P3" s="82">
        <f ca="1">IF(Simulasi!C14="1",MIN('Rumus Plafond + Atrib PP10 (2)'!C14,'Rumus Plafond + Atrib PP10 (2)'!C18),MIN('Rumus Plafond + Atrib PP10 (2)'!C14,'Rumus Plafond + Atrib PP10 (2)'!C45))</f>
        <v>480000000</v>
      </c>
      <c r="Q3" s="81"/>
      <c r="R3" s="81"/>
      <c r="S3" s="81"/>
      <c r="U3" s="75" t="s">
        <v>69</v>
      </c>
      <c r="V3" s="83">
        <f ca="1">P3*Simulasi!$B$12/12</f>
        <v>3700000</v>
      </c>
      <c r="Z3" s="75">
        <v>7000000</v>
      </c>
      <c r="AA3" s="84">
        <v>0.105</v>
      </c>
      <c r="AB3" s="75">
        <v>48</v>
      </c>
      <c r="AC3" s="85">
        <f>ROUNDDOWN(-PV(AA3/12,AB3,Z3,AC4,0)/10^6,0)*10^6</f>
        <v>450000000</v>
      </c>
      <c r="AH3" s="86">
        <f ca="1">SUM(AH4:AH183)</f>
        <v>111669163.03085481</v>
      </c>
      <c r="AI3" s="86">
        <f ca="1">P3+AJ3</f>
        <v>519998267</v>
      </c>
      <c r="AJ3" s="86">
        <f>$C$13</f>
        <v>39998267</v>
      </c>
    </row>
    <row r="4" spans="1:38" ht="21" x14ac:dyDescent="0.3">
      <c r="B4" s="75" t="s">
        <v>70</v>
      </c>
      <c r="C4" s="87" t="str">
        <f>Simulasi!C16</f>
        <v>70%</v>
      </c>
      <c r="D4" s="80"/>
      <c r="G4" s="88">
        <v>1</v>
      </c>
      <c r="H4" s="89">
        <f ca="1">H3-I4</f>
        <v>493385184</v>
      </c>
      <c r="I4" s="89">
        <f ca="1">K4-J4</f>
        <v>1614816</v>
      </c>
      <c r="J4" s="89">
        <f ca="1">IF(G4&lt;=$C$9,H3*$C$25/12,H3*$C$35/12)</f>
        <v>4079625</v>
      </c>
      <c r="K4" s="89">
        <f ca="1">IFERROR(IF(G4&lt;=$C$8,IF(G4&lt;=$C$9,$C$6,$C$36),0),0)</f>
        <v>5694441</v>
      </c>
      <c r="O4" s="88">
        <v>1</v>
      </c>
      <c r="P4" s="89">
        <f ca="1">P3-Q4</f>
        <v>478627771.59444445</v>
      </c>
      <c r="Q4" s="89">
        <f ca="1">S4-R4</f>
        <v>1372228.4055555556</v>
      </c>
      <c r="R4" s="89">
        <f ca="1">IF(O4&lt;=$C$9,P3*$V$5/12,P3*$V$14/12)</f>
        <v>4322212.5944444444</v>
      </c>
      <c r="S4" s="89">
        <f ca="1">IFERROR(IF(O4&lt;=$C$8,IF(O4&lt;=$C$9,$C$6,$V$15),0),0)</f>
        <v>5694441</v>
      </c>
      <c r="U4" s="75" t="s">
        <v>71</v>
      </c>
      <c r="V4" s="86">
        <f>D13</f>
        <v>222212.59444444443</v>
      </c>
      <c r="Z4" s="75">
        <v>3590602.73</v>
      </c>
      <c r="AA4" s="84">
        <v>0.115</v>
      </c>
      <c r="AB4" s="75">
        <f>AB2-AB3</f>
        <v>132</v>
      </c>
      <c r="AC4" s="85">
        <f>-PV(AA4/12,AB4,Z4,0,0)</f>
        <v>268285706.30018598</v>
      </c>
      <c r="AF4" s="88">
        <v>1</v>
      </c>
      <c r="AG4" s="90">
        <f ca="1">$AH$1/12*AI3</f>
        <v>3767705.3470380367</v>
      </c>
      <c r="AH4" s="90">
        <f ca="1">R4-AG4</f>
        <v>554507.24740640773</v>
      </c>
      <c r="AI4" s="90">
        <f ca="1">AI3-Q4-AH4</f>
        <v>518071531.34703803</v>
      </c>
      <c r="AJ4" s="90">
        <f ca="1">AJ3-AH4</f>
        <v>39443759.752593592</v>
      </c>
    </row>
    <row r="5" spans="1:38" ht="21" x14ac:dyDescent="0.3">
      <c r="B5" s="75" t="s">
        <v>72</v>
      </c>
      <c r="C5" s="87" t="str">
        <f>Simulasi!C17</f>
        <v>90%</v>
      </c>
      <c r="D5" s="80"/>
      <c r="G5" s="88">
        <v>2</v>
      </c>
      <c r="H5" s="89">
        <f t="shared" ref="H5:H68" ca="1" si="0">H4-I5</f>
        <v>491757059.22479999</v>
      </c>
      <c r="I5" s="89">
        <f t="shared" ref="I5:I68" ca="1" si="1">K5-J5</f>
        <v>1628124.7752</v>
      </c>
      <c r="J5" s="89">
        <f t="shared" ref="J5:J68" ca="1" si="2">IF(G5&lt;=$C$9,H4*$C$25/12,H4*$C$35/12)</f>
        <v>4066316.2248</v>
      </c>
      <c r="K5" s="89">
        <f t="shared" ref="K5:K68" ca="1" si="3">IFERROR(IF(G5&lt;=$C$8,IF(G5&lt;=$C$9,$C$6,$C$36),0),0)</f>
        <v>5694441</v>
      </c>
      <c r="O5" s="88">
        <v>2</v>
      </c>
      <c r="P5" s="89">
        <f t="shared" ref="P5:P68" ca="1" si="4">P4-Q5</f>
        <v>477243186.80785358</v>
      </c>
      <c r="Q5" s="89">
        <f t="shared" ref="Q5:Q68" ca="1" si="5">S5-R5</f>
        <v>1384584.7865908612</v>
      </c>
      <c r="R5" s="89">
        <f t="shared" ref="R5:R68" ca="1" si="6">IF(O5&lt;=$C$9,P4*$V$5/12,P4*$V$14/12)</f>
        <v>4309856.2134091388</v>
      </c>
      <c r="S5" s="89">
        <f t="shared" ref="S5:S68" ca="1" si="7">IFERROR(IF(O5&lt;=$C$8,IF(O5&lt;=$C$9,$C$6,$V$15),0),0)</f>
        <v>5694441</v>
      </c>
      <c r="U5" s="75" t="s">
        <v>73</v>
      </c>
      <c r="V5" s="84">
        <f ca="1">(V3+V4)/P3*12+IF($D$13&gt;0,0.01,0)</f>
        <v>0.10805531486111111</v>
      </c>
      <c r="AF5" s="88">
        <v>2</v>
      </c>
      <c r="AG5" s="90">
        <f t="shared" ref="AG5:AG68" ca="1" si="8">$AH$1/12*AI4</f>
        <v>3753744.9693162516</v>
      </c>
      <c r="AH5" s="90">
        <f t="shared" ref="AH5:AH68" ca="1" si="9">R5-AG5</f>
        <v>556111.24409288727</v>
      </c>
      <c r="AI5" s="90">
        <f t="shared" ref="AI5:AI68" ca="1" si="10">AI4-Q5-AH5</f>
        <v>516130835.31635427</v>
      </c>
      <c r="AJ5" s="90">
        <f t="shared" ref="AJ5:AJ68" ca="1" si="11">AJ4-AH5</f>
        <v>38887648.508500703</v>
      </c>
    </row>
    <row r="6" spans="1:38" ht="21" x14ac:dyDescent="0.3">
      <c r="B6" s="75" t="s">
        <v>74</v>
      </c>
      <c r="C6" s="79">
        <f>ROUNDDOWN(VLOOKUP(Simulasi!C4,Simulasi!$F$4:$I$6,4,FALSE), )</f>
        <v>5694441</v>
      </c>
      <c r="D6" s="91" t="s">
        <v>75</v>
      </c>
      <c r="G6" s="88">
        <v>3</v>
      </c>
      <c r="H6" s="89">
        <f t="shared" ca="1" si="0"/>
        <v>490115515.98791105</v>
      </c>
      <c r="I6" s="89">
        <f t="shared" ca="1" si="1"/>
        <v>1641543.23688894</v>
      </c>
      <c r="J6" s="89">
        <f t="shared" ca="1" si="2"/>
        <v>4052897.76311106</v>
      </c>
      <c r="K6" s="89">
        <f t="shared" ca="1" si="3"/>
        <v>5694441</v>
      </c>
      <c r="O6" s="88">
        <v>3</v>
      </c>
      <c r="P6" s="89">
        <f t="shared" ca="1" si="4"/>
        <v>475846134.37584049</v>
      </c>
      <c r="Q6" s="89">
        <f t="shared" ca="1" si="5"/>
        <v>1397052.4320131093</v>
      </c>
      <c r="R6" s="89">
        <f t="shared" ca="1" si="6"/>
        <v>4297388.5679868907</v>
      </c>
      <c r="S6" s="89">
        <f t="shared" ca="1" si="7"/>
        <v>5694441</v>
      </c>
      <c r="AF6" s="88">
        <v>3</v>
      </c>
      <c r="AG6" s="90">
        <f t="shared" ca="1" si="8"/>
        <v>3739683.4401231501</v>
      </c>
      <c r="AH6" s="90">
        <f t="shared" ca="1" si="9"/>
        <v>557705.12786374055</v>
      </c>
      <c r="AI6" s="90">
        <f t="shared" ca="1" si="10"/>
        <v>514176077.75647742</v>
      </c>
      <c r="AJ6" s="90">
        <f t="shared" ca="1" si="11"/>
        <v>38329943.38063696</v>
      </c>
    </row>
    <row r="7" spans="1:38" ht="21" x14ac:dyDescent="0.3">
      <c r="B7" s="75" t="s">
        <v>76</v>
      </c>
      <c r="C7" s="79">
        <f>Simulasi!I7</f>
        <v>4140000</v>
      </c>
      <c r="D7" s="91" t="s">
        <v>77</v>
      </c>
      <c r="E7" s="75" t="s">
        <v>78</v>
      </c>
      <c r="G7" s="88">
        <v>4</v>
      </c>
      <c r="H7" s="89">
        <f t="shared" ca="1" si="0"/>
        <v>488460443.69884473</v>
      </c>
      <c r="I7" s="89">
        <f t="shared" ca="1" si="1"/>
        <v>1655072.2890662998</v>
      </c>
      <c r="J7" s="89">
        <f t="shared" ca="1" si="2"/>
        <v>4039368.7109337002</v>
      </c>
      <c r="K7" s="89">
        <f t="shared" ca="1" si="3"/>
        <v>5694441</v>
      </c>
      <c r="O7" s="88">
        <v>4</v>
      </c>
      <c r="P7" s="89">
        <f t="shared" ca="1" si="4"/>
        <v>474436502.03212583</v>
      </c>
      <c r="Q7" s="89">
        <f t="shared" ca="1" si="5"/>
        <v>1409632.3437146638</v>
      </c>
      <c r="R7" s="89">
        <f t="shared" ca="1" si="6"/>
        <v>4284808.6562853362</v>
      </c>
      <c r="S7" s="89">
        <f t="shared" ca="1" si="7"/>
        <v>5694441</v>
      </c>
      <c r="U7" s="75" t="s">
        <v>79</v>
      </c>
      <c r="AA7" s="75" t="s">
        <v>80</v>
      </c>
      <c r="AB7" s="75">
        <v>3550000</v>
      </c>
      <c r="AC7" s="75">
        <v>321000000</v>
      </c>
      <c r="AF7" s="88">
        <v>4</v>
      </c>
      <c r="AG7" s="90">
        <f t="shared" ca="1" si="8"/>
        <v>3725520.026554483</v>
      </c>
      <c r="AH7" s="90">
        <f t="shared" ca="1" si="9"/>
        <v>559288.62973085325</v>
      </c>
      <c r="AI7" s="90">
        <f t="shared" ca="1" si="10"/>
        <v>512207156.78303188</v>
      </c>
      <c r="AJ7" s="90">
        <f t="shared" ca="1" si="11"/>
        <v>37770654.75090611</v>
      </c>
    </row>
    <row r="8" spans="1:38" x14ac:dyDescent="0.2">
      <c r="B8" s="75" t="s">
        <v>81</v>
      </c>
      <c r="C8" s="75">
        <f>Simulasi!B11</f>
        <v>180</v>
      </c>
      <c r="D8" s="80"/>
      <c r="E8" s="89">
        <f ca="1">VLOOKUP(C8,G4:H183,2,FALSE)</f>
        <v>-9.2666596174240112E-8</v>
      </c>
      <c r="G8" s="88">
        <v>5</v>
      </c>
      <c r="H8" s="89">
        <f t="shared" ca="1" si="0"/>
        <v>486791730.8556627</v>
      </c>
      <c r="I8" s="89">
        <f t="shared" ca="1" si="1"/>
        <v>1668712.8431820213</v>
      </c>
      <c r="J8" s="89">
        <f t="shared" ca="1" si="2"/>
        <v>4025728.1568179787</v>
      </c>
      <c r="K8" s="89">
        <f t="shared" ca="1" si="3"/>
        <v>5694441</v>
      </c>
      <c r="O8" s="88">
        <v>5</v>
      </c>
      <c r="P8" s="89">
        <f t="shared" ca="1" si="4"/>
        <v>473014176.49951631</v>
      </c>
      <c r="Q8" s="89">
        <f t="shared" ca="1" si="5"/>
        <v>1422325.5326095382</v>
      </c>
      <c r="R8" s="89">
        <f t="shared" ca="1" si="6"/>
        <v>4272115.4673904618</v>
      </c>
      <c r="S8" s="89">
        <f t="shared" ca="1" si="7"/>
        <v>5694441</v>
      </c>
      <c r="U8" s="75" t="s">
        <v>82</v>
      </c>
      <c r="V8" s="85">
        <f ca="1">VLOOKUP(C9,O4:P183,2,FALSE)</f>
        <v>185564622.91913089</v>
      </c>
      <c r="X8" s="75">
        <v>2694655.18</v>
      </c>
      <c r="AF8" s="88">
        <v>5</v>
      </c>
      <c r="AG8" s="90">
        <f t="shared" ca="1" si="8"/>
        <v>3711253.9903956624</v>
      </c>
      <c r="AH8" s="90">
        <f t="shared" ca="1" si="9"/>
        <v>560861.47699479945</v>
      </c>
      <c r="AI8" s="90">
        <f t="shared" ca="1" si="10"/>
        <v>510223969.77342755</v>
      </c>
      <c r="AJ8" s="90">
        <f t="shared" ca="1" si="11"/>
        <v>37209793.273911312</v>
      </c>
    </row>
    <row r="9" spans="1:38" x14ac:dyDescent="0.2">
      <c r="B9" s="75" t="s">
        <v>83</v>
      </c>
      <c r="C9" s="75">
        <f ca="1">Simulasi!C8</f>
        <v>120</v>
      </c>
      <c r="G9" s="88">
        <v>6</v>
      </c>
      <c r="H9" s="89">
        <f t="shared" ca="1" si="0"/>
        <v>485109265.0374648</v>
      </c>
      <c r="I9" s="89">
        <f t="shared" ca="1" si="1"/>
        <v>1682465.818197913</v>
      </c>
      <c r="J9" s="89">
        <f t="shared" ca="1" si="2"/>
        <v>4011975.181802087</v>
      </c>
      <c r="K9" s="89">
        <f t="shared" ca="1" si="3"/>
        <v>5694441</v>
      </c>
      <c r="O9" s="88">
        <v>6</v>
      </c>
      <c r="P9" s="89">
        <f t="shared" ca="1" si="4"/>
        <v>471579043.4808017</v>
      </c>
      <c r="Q9" s="89">
        <f t="shared" ca="1" si="5"/>
        <v>1435133.0187146319</v>
      </c>
      <c r="R9" s="89">
        <f t="shared" ca="1" si="6"/>
        <v>4259307.9812853681</v>
      </c>
      <c r="S9" s="89">
        <f t="shared" ca="1" si="7"/>
        <v>5694441</v>
      </c>
      <c r="U9" s="75" t="s">
        <v>84</v>
      </c>
      <c r="V9" s="86">
        <f>C13/C8</f>
        <v>222212.59444444443</v>
      </c>
      <c r="W9" s="86"/>
      <c r="X9" s="85">
        <f ca="1">PV(V10/12,V11,-X8,0,0)</f>
        <v>125368366.49449614</v>
      </c>
      <c r="AF9" s="88">
        <v>6</v>
      </c>
      <c r="AG9" s="90">
        <f t="shared" ca="1" si="8"/>
        <v>3696884.588083284</v>
      </c>
      <c r="AH9" s="90">
        <f t="shared" ca="1" si="9"/>
        <v>562423.39320208412</v>
      </c>
      <c r="AI9" s="90">
        <f t="shared" ca="1" si="10"/>
        <v>508226413.36151087</v>
      </c>
      <c r="AJ9" s="90">
        <f t="shared" ca="1" si="11"/>
        <v>36647369.880709231</v>
      </c>
    </row>
    <row r="10" spans="1:38" x14ac:dyDescent="0.2">
      <c r="B10" s="75" t="s">
        <v>85</v>
      </c>
      <c r="C10" s="75">
        <f ca="1">C8-C9</f>
        <v>60</v>
      </c>
      <c r="D10" s="75" t="s">
        <v>86</v>
      </c>
      <c r="G10" s="88">
        <v>7</v>
      </c>
      <c r="H10" s="89">
        <f t="shared" ca="1" si="0"/>
        <v>483412932.89681524</v>
      </c>
      <c r="I10" s="89">
        <f t="shared" ca="1" si="1"/>
        <v>1696332.1406495608</v>
      </c>
      <c r="J10" s="89">
        <f t="shared" ca="1" si="2"/>
        <v>3998108.8593504392</v>
      </c>
      <c r="K10" s="89">
        <f t="shared" ca="1" si="3"/>
        <v>5694441</v>
      </c>
      <c r="O10" s="88">
        <v>7</v>
      </c>
      <c r="P10" s="89">
        <f t="shared" ca="1" si="4"/>
        <v>470130987.64956999</v>
      </c>
      <c r="Q10" s="89">
        <f t="shared" ca="1" si="5"/>
        <v>1448055.8312316975</v>
      </c>
      <c r="R10" s="89">
        <f t="shared" ca="1" si="6"/>
        <v>4246385.1687683025</v>
      </c>
      <c r="S10" s="89">
        <f t="shared" ca="1" si="7"/>
        <v>5694441</v>
      </c>
      <c r="U10" s="75" t="s">
        <v>87</v>
      </c>
      <c r="V10" s="92">
        <f>Simulasi!$B$13</f>
        <v>0.105</v>
      </c>
      <c r="W10" s="86"/>
      <c r="AF10" s="88">
        <v>7</v>
      </c>
      <c r="AG10" s="90">
        <f t="shared" ca="1" si="8"/>
        <v>3682411.0706663718</v>
      </c>
      <c r="AH10" s="90">
        <f t="shared" ca="1" si="9"/>
        <v>563974.09810193069</v>
      </c>
      <c r="AI10" s="90">
        <f t="shared" ca="1" si="10"/>
        <v>506214383.43217725</v>
      </c>
      <c r="AJ10" s="90">
        <f t="shared" ca="1" si="11"/>
        <v>36083395.782607302</v>
      </c>
    </row>
    <row r="11" spans="1:38" x14ac:dyDescent="0.2">
      <c r="B11" s="75" t="s">
        <v>88</v>
      </c>
      <c r="C11" s="92">
        <f>Simulasi!B12+IF($D$13&gt;0,0.001,0)</f>
        <v>9.35E-2</v>
      </c>
      <c r="D11" s="75" t="s">
        <v>89</v>
      </c>
      <c r="G11" s="88">
        <v>8</v>
      </c>
      <c r="H11" s="89">
        <f t="shared" ca="1" si="0"/>
        <v>481702620.15210646</v>
      </c>
      <c r="I11" s="89">
        <f t="shared" ca="1" si="1"/>
        <v>1710312.7447087481</v>
      </c>
      <c r="J11" s="89">
        <f t="shared" ca="1" si="2"/>
        <v>3984128.2552912519</v>
      </c>
      <c r="K11" s="89">
        <f t="shared" ca="1" si="3"/>
        <v>5694441</v>
      </c>
      <c r="O11" s="88">
        <v>8</v>
      </c>
      <c r="P11" s="89">
        <f t="shared" ca="1" si="4"/>
        <v>468669892.64093995</v>
      </c>
      <c r="Q11" s="89">
        <f t="shared" ca="1" si="5"/>
        <v>1461095.0086300476</v>
      </c>
      <c r="R11" s="89">
        <f t="shared" ca="1" si="6"/>
        <v>4233345.9913699524</v>
      </c>
      <c r="S11" s="89">
        <f t="shared" ca="1" si="7"/>
        <v>5694441</v>
      </c>
      <c r="U11" s="75" t="s">
        <v>90</v>
      </c>
      <c r="V11" s="75">
        <f ca="1">C10</f>
        <v>60</v>
      </c>
      <c r="W11" s="84"/>
      <c r="AF11" s="88">
        <v>8</v>
      </c>
      <c r="AG11" s="90">
        <f t="shared" ca="1" si="8"/>
        <v>3667832.6837673425</v>
      </c>
      <c r="AH11" s="90">
        <f t="shared" ca="1" si="9"/>
        <v>565513.30760260997</v>
      </c>
      <c r="AI11" s="90">
        <f t="shared" ca="1" si="10"/>
        <v>504187775.11594462</v>
      </c>
      <c r="AJ11" s="90">
        <f t="shared" ca="1" si="11"/>
        <v>35517882.475004695</v>
      </c>
    </row>
    <row r="12" spans="1:38" x14ac:dyDescent="0.2">
      <c r="B12" s="75" t="s">
        <v>91</v>
      </c>
      <c r="C12" s="92">
        <f>Simulasi!B13+IF($D$13&gt;0,0.01,0)</f>
        <v>0.11499999999999999</v>
      </c>
      <c r="D12" s="75" t="s">
        <v>92</v>
      </c>
      <c r="G12" s="88">
        <v>9</v>
      </c>
      <c r="H12" s="89">
        <f t="shared" ca="1" si="0"/>
        <v>479978211.57986009</v>
      </c>
      <c r="I12" s="89">
        <f t="shared" ca="1" si="1"/>
        <v>1724408.5722463895</v>
      </c>
      <c r="J12" s="89">
        <f t="shared" ca="1" si="2"/>
        <v>3970032.4277536105</v>
      </c>
      <c r="K12" s="89">
        <f t="shared" ca="1" si="3"/>
        <v>5694441</v>
      </c>
      <c r="O12" s="88">
        <v>9</v>
      </c>
      <c r="P12" s="89">
        <f t="shared" ca="1" si="4"/>
        <v>467195641.04220992</v>
      </c>
      <c r="Q12" s="89">
        <f t="shared" ca="1" si="5"/>
        <v>1474251.5987300081</v>
      </c>
      <c r="R12" s="89">
        <f t="shared" ca="1" si="6"/>
        <v>4220189.4012699919</v>
      </c>
      <c r="S12" s="89">
        <f t="shared" ca="1" si="7"/>
        <v>5694441</v>
      </c>
      <c r="U12" s="75" t="s">
        <v>93</v>
      </c>
      <c r="V12" s="85">
        <f ca="1">V10/12*V8</f>
        <v>1623690.4505423952</v>
      </c>
      <c r="AF12" s="88">
        <v>9</v>
      </c>
      <c r="AG12" s="90">
        <f t="shared" ca="1" si="8"/>
        <v>3653148.6675426858</v>
      </c>
      <c r="AH12" s="90">
        <f t="shared" ca="1" si="9"/>
        <v>567040.73372730613</v>
      </c>
      <c r="AI12" s="90">
        <f t="shared" ca="1" si="10"/>
        <v>502146482.78348732</v>
      </c>
      <c r="AJ12" s="90">
        <f t="shared" ca="1" si="11"/>
        <v>34950841.741277389</v>
      </c>
    </row>
    <row r="13" spans="1:38" ht="21" x14ac:dyDescent="0.3">
      <c r="B13" s="75" t="s">
        <v>94</v>
      </c>
      <c r="C13" s="79">
        <f>IF(Simulasi!$C$14="2",Simulasi!B21,0)</f>
        <v>39998267</v>
      </c>
      <c r="D13" s="86">
        <f>C13/C8</f>
        <v>222212.59444444443</v>
      </c>
      <c r="G13" s="88">
        <v>10</v>
      </c>
      <c r="H13" s="89">
        <f t="shared" ca="1" si="0"/>
        <v>478239591.00696409</v>
      </c>
      <c r="I13" s="89">
        <f t="shared" ca="1" si="1"/>
        <v>1738620.5728959865</v>
      </c>
      <c r="J13" s="89">
        <f t="shared" ca="1" si="2"/>
        <v>3955820.4271040135</v>
      </c>
      <c r="K13" s="89">
        <f t="shared" ca="1" si="3"/>
        <v>5694441</v>
      </c>
      <c r="O13" s="88">
        <v>10</v>
      </c>
      <c r="P13" s="89">
        <f t="shared" ca="1" si="4"/>
        <v>465708114.38342279</v>
      </c>
      <c r="Q13" s="89">
        <f t="shared" ca="1" si="5"/>
        <v>1487526.6587871136</v>
      </c>
      <c r="R13" s="89">
        <f t="shared" ca="1" si="6"/>
        <v>4206914.3412128864</v>
      </c>
      <c r="S13" s="89">
        <f t="shared" ca="1" si="7"/>
        <v>5694441</v>
      </c>
      <c r="U13" s="75" t="s">
        <v>95</v>
      </c>
      <c r="V13" s="93">
        <f ca="1">V9+V12</f>
        <v>1845903.0449868396</v>
      </c>
      <c r="W13" s="85"/>
      <c r="AF13" s="88">
        <v>10</v>
      </c>
      <c r="AG13" s="90">
        <f t="shared" ca="1" si="8"/>
        <v>3638358.25664336</v>
      </c>
      <c r="AH13" s="90">
        <f t="shared" ca="1" si="9"/>
        <v>568556.08456952637</v>
      </c>
      <c r="AI13" s="90">
        <f t="shared" ca="1" si="10"/>
        <v>500090400.04013067</v>
      </c>
      <c r="AJ13" s="90">
        <f t="shared" ca="1" si="11"/>
        <v>34382285.656707861</v>
      </c>
    </row>
    <row r="14" spans="1:38" ht="21" x14ac:dyDescent="0.3">
      <c r="B14" s="75" t="s">
        <v>96</v>
      </c>
      <c r="C14" s="79">
        <f>Simulasi!B10</f>
        <v>480000000</v>
      </c>
      <c r="G14" s="88">
        <v>11</v>
      </c>
      <c r="H14" s="89">
        <f t="shared" ca="1" si="0"/>
        <v>476486641.30284649</v>
      </c>
      <c r="I14" s="89">
        <f t="shared" ca="1" si="1"/>
        <v>1752949.7041176041</v>
      </c>
      <c r="J14" s="89">
        <f t="shared" ca="1" si="2"/>
        <v>3941491.2958823959</v>
      </c>
      <c r="K14" s="89">
        <f t="shared" ca="1" si="3"/>
        <v>5694441</v>
      </c>
      <c r="O14" s="88">
        <v>11</v>
      </c>
      <c r="P14" s="89">
        <f t="shared" ca="1" si="4"/>
        <v>464207193.1278457</v>
      </c>
      <c r="Q14" s="89">
        <f t="shared" ca="1" si="5"/>
        <v>1500921.2555770748</v>
      </c>
      <c r="R14" s="89">
        <f t="shared" ca="1" si="6"/>
        <v>4193519.7444229252</v>
      </c>
      <c r="S14" s="89">
        <f t="shared" ca="1" si="7"/>
        <v>5694441</v>
      </c>
      <c r="U14" s="75" t="s">
        <v>97</v>
      </c>
      <c r="V14" s="84">
        <f ca="1">V13/V8*12+IF($D$13&gt;0,0,0)</f>
        <v>0.11936993264872162</v>
      </c>
      <c r="AF14" s="88">
        <v>11</v>
      </c>
      <c r="AG14" s="90">
        <f t="shared" ca="1" si="8"/>
        <v>3623460.6801749035</v>
      </c>
      <c r="AH14" s="90">
        <f t="shared" ca="1" si="9"/>
        <v>570059.06424802169</v>
      </c>
      <c r="AI14" s="90">
        <f t="shared" ca="1" si="10"/>
        <v>498019419.72030556</v>
      </c>
      <c r="AJ14" s="90">
        <f t="shared" ca="1" si="11"/>
        <v>33812226.592459843</v>
      </c>
    </row>
    <row r="15" spans="1:38" ht="22.35" customHeight="1" x14ac:dyDescent="0.2">
      <c r="A15" s="242" t="s">
        <v>98</v>
      </c>
      <c r="B15" s="243" t="s">
        <v>99</v>
      </c>
      <c r="C15" s="243"/>
      <c r="D15" s="243"/>
      <c r="E15" s="243"/>
      <c r="G15" s="88">
        <v>12</v>
      </c>
      <c r="H15" s="89">
        <f t="shared" ca="1" si="0"/>
        <v>474719244.37158412</v>
      </c>
      <c r="I15" s="89">
        <f t="shared" ca="1" si="1"/>
        <v>1767396.9312623735</v>
      </c>
      <c r="J15" s="89">
        <f t="shared" ca="1" si="2"/>
        <v>3927044.0687376265</v>
      </c>
      <c r="K15" s="89">
        <f t="shared" ca="1" si="3"/>
        <v>5694441</v>
      </c>
      <c r="O15" s="88">
        <v>12</v>
      </c>
      <c r="P15" s="89">
        <f t="shared" ca="1" si="4"/>
        <v>462692756.66236418</v>
      </c>
      <c r="Q15" s="89">
        <f t="shared" ca="1" si="5"/>
        <v>1514436.4654815015</v>
      </c>
      <c r="R15" s="89">
        <f t="shared" ca="1" si="6"/>
        <v>4180004.5345184985</v>
      </c>
      <c r="S15" s="89">
        <f t="shared" ca="1" si="7"/>
        <v>5694441</v>
      </c>
      <c r="U15" s="75" t="s">
        <v>100</v>
      </c>
      <c r="V15" s="85">
        <f ca="1">PMT(V14/12,V11,-V8,0,0)</f>
        <v>4121876.7176744328</v>
      </c>
      <c r="AF15" s="88">
        <v>12</v>
      </c>
      <c r="AG15" s="90">
        <f t="shared" ca="1" si="8"/>
        <v>3608455.1616572514</v>
      </c>
      <c r="AH15" s="90">
        <f t="shared" ca="1" si="9"/>
        <v>571549.37286124704</v>
      </c>
      <c r="AI15" s="90">
        <f t="shared" ca="1" si="10"/>
        <v>495933433.88196278</v>
      </c>
      <c r="AJ15" s="90">
        <f t="shared" ca="1" si="11"/>
        <v>33240677.219598595</v>
      </c>
    </row>
    <row r="16" spans="1:38" ht="22.35" customHeight="1" x14ac:dyDescent="0.2">
      <c r="A16" s="242"/>
      <c r="B16" s="243"/>
      <c r="C16" s="243"/>
      <c r="D16" s="243"/>
      <c r="E16" s="243"/>
      <c r="G16" s="88">
        <v>13</v>
      </c>
      <c r="H16" s="89">
        <f t="shared" ca="1" si="0"/>
        <v>472937281.14394659</v>
      </c>
      <c r="I16" s="89">
        <f t="shared" ca="1" si="1"/>
        <v>1781963.2276375275</v>
      </c>
      <c r="J16" s="89">
        <f t="shared" ca="1" si="2"/>
        <v>3912477.7723624725</v>
      </c>
      <c r="K16" s="89">
        <f t="shared" ca="1" si="3"/>
        <v>5694441</v>
      </c>
      <c r="O16" s="88">
        <v>13</v>
      </c>
      <c r="P16" s="89">
        <f t="shared" ca="1" si="4"/>
        <v>461164683.28778976</v>
      </c>
      <c r="Q16" s="89">
        <f t="shared" ca="1" si="5"/>
        <v>1528073.3745743972</v>
      </c>
      <c r="R16" s="89">
        <f t="shared" ca="1" si="6"/>
        <v>4166367.6254256028</v>
      </c>
      <c r="S16" s="89">
        <f t="shared" ca="1" si="7"/>
        <v>5694441</v>
      </c>
      <c r="AF16" s="88">
        <v>13</v>
      </c>
      <c r="AG16" s="90">
        <f t="shared" ca="1" si="8"/>
        <v>3593340.918984266</v>
      </c>
      <c r="AH16" s="90">
        <f t="shared" ca="1" si="9"/>
        <v>573026.70644133678</v>
      </c>
      <c r="AI16" s="90">
        <f t="shared" ca="1" si="10"/>
        <v>493832333.80094701</v>
      </c>
      <c r="AJ16" s="90">
        <f t="shared" ca="1" si="11"/>
        <v>32667650.51315726</v>
      </c>
    </row>
    <row r="17" spans="1:36" ht="22.35" customHeight="1" x14ac:dyDescent="0.2">
      <c r="B17" s="94" t="s">
        <v>101</v>
      </c>
      <c r="C17" s="95">
        <f ca="1">-PV(C12/12,C10,C7-D13, ,0)</f>
        <v>178141106.18062359</v>
      </c>
      <c r="D17" s="96" t="s">
        <v>102</v>
      </c>
      <c r="E17" s="97"/>
      <c r="G17" s="88">
        <v>14</v>
      </c>
      <c r="H17" s="89">
        <f t="shared" ca="1" si="0"/>
        <v>471140631.56937462</v>
      </c>
      <c r="I17" s="89">
        <f t="shared" ca="1" si="1"/>
        <v>1796649.5745719732</v>
      </c>
      <c r="J17" s="89">
        <f t="shared" ca="1" si="2"/>
        <v>3897791.4254280268</v>
      </c>
      <c r="K17" s="89">
        <f t="shared" ca="1" si="3"/>
        <v>5694441</v>
      </c>
      <c r="O17" s="88">
        <v>14</v>
      </c>
      <c r="P17" s="89">
        <f t="shared" ca="1" si="4"/>
        <v>459622850.20908034</v>
      </c>
      <c r="Q17" s="89">
        <f t="shared" ca="1" si="5"/>
        <v>1541833.0787094408</v>
      </c>
      <c r="R17" s="89">
        <f t="shared" ca="1" si="6"/>
        <v>4152607.9212905592</v>
      </c>
      <c r="S17" s="89">
        <f t="shared" ca="1" si="7"/>
        <v>5694441</v>
      </c>
      <c r="U17" s="75" t="s">
        <v>103</v>
      </c>
      <c r="V17" s="89">
        <f ca="1">VLOOKUP(C8,O4:P183,2,FALSE)</f>
        <v>-7.9628080129623413E-8</v>
      </c>
      <c r="AF17" s="88">
        <v>14</v>
      </c>
      <c r="AG17" s="90">
        <f t="shared" ca="1" si="8"/>
        <v>3578117.1643829742</v>
      </c>
      <c r="AH17" s="90">
        <f t="shared" ca="1" si="9"/>
        <v>574490.75690758508</v>
      </c>
      <c r="AI17" s="90">
        <f t="shared" ca="1" si="10"/>
        <v>491716009.96533</v>
      </c>
      <c r="AJ17" s="90">
        <f t="shared" ca="1" si="11"/>
        <v>32093159.756249674</v>
      </c>
    </row>
    <row r="18" spans="1:36" ht="21" x14ac:dyDescent="0.3">
      <c r="B18" s="75" t="s">
        <v>104</v>
      </c>
      <c r="C18" s="79">
        <f ca="1">(ROUNDDOWN(-PV(C11/12,C9,C6-D13,C17,0)/10^6, )*10^6)</f>
        <v>495000000</v>
      </c>
      <c r="D18" s="98" t="s">
        <v>105</v>
      </c>
      <c r="G18" s="88">
        <v>15</v>
      </c>
      <c r="H18" s="89">
        <f t="shared" ca="1" si="0"/>
        <v>469329174.60789222</v>
      </c>
      <c r="I18" s="89">
        <f t="shared" ca="1" si="1"/>
        <v>1811456.9614824038</v>
      </c>
      <c r="J18" s="89">
        <f t="shared" ca="1" si="2"/>
        <v>3882984.0385175962</v>
      </c>
      <c r="K18" s="89">
        <f t="shared" ca="1" si="3"/>
        <v>5694441</v>
      </c>
      <c r="O18" s="88">
        <v>15</v>
      </c>
      <c r="P18" s="89">
        <f t="shared" ca="1" si="4"/>
        <v>458067133.52547228</v>
      </c>
      <c r="Q18" s="89">
        <f t="shared" ca="1" si="5"/>
        <v>1555716.6836080425</v>
      </c>
      <c r="R18" s="89">
        <f t="shared" ca="1" si="6"/>
        <v>4138724.3163919575</v>
      </c>
      <c r="S18" s="89">
        <f t="shared" ca="1" si="7"/>
        <v>5694441</v>
      </c>
      <c r="AF18" s="88">
        <v>15</v>
      </c>
      <c r="AG18" s="90">
        <f t="shared" ca="1" si="8"/>
        <v>3562783.1043725042</v>
      </c>
      <c r="AH18" s="90">
        <f t="shared" ca="1" si="9"/>
        <v>575941.21201945329</v>
      </c>
      <c r="AI18" s="90">
        <f t="shared" ca="1" si="10"/>
        <v>489584352.06970251</v>
      </c>
      <c r="AJ18" s="90">
        <f t="shared" ca="1" si="11"/>
        <v>31517218.544230219</v>
      </c>
    </row>
    <row r="19" spans="1:36" x14ac:dyDescent="0.2">
      <c r="G19" s="88">
        <v>16</v>
      </c>
      <c r="H19" s="89">
        <f t="shared" ca="1" si="0"/>
        <v>467502788.22195226</v>
      </c>
      <c r="I19" s="89">
        <f t="shared" ca="1" si="1"/>
        <v>1826386.3859399552</v>
      </c>
      <c r="J19" s="89">
        <f t="shared" ca="1" si="2"/>
        <v>3868054.6140600448</v>
      </c>
      <c r="K19" s="89">
        <f t="shared" ca="1" si="3"/>
        <v>5694441</v>
      </c>
      <c r="O19" s="88">
        <v>16</v>
      </c>
      <c r="P19" s="89">
        <f t="shared" ca="1" si="4"/>
        <v>456497408.22052407</v>
      </c>
      <c r="Q19" s="89">
        <f t="shared" ca="1" si="5"/>
        <v>1569725.3049482056</v>
      </c>
      <c r="R19" s="89">
        <f t="shared" ca="1" si="6"/>
        <v>4124715.6950517944</v>
      </c>
      <c r="S19" s="89">
        <f t="shared" ca="1" si="7"/>
        <v>5694441</v>
      </c>
      <c r="AF19" s="88">
        <v>16</v>
      </c>
      <c r="AG19" s="90">
        <f t="shared" ca="1" si="8"/>
        <v>3547337.9397227312</v>
      </c>
      <c r="AH19" s="90">
        <f t="shared" ca="1" si="9"/>
        <v>577377.75532906316</v>
      </c>
      <c r="AI19" s="90">
        <f t="shared" ca="1" si="10"/>
        <v>487437249.00942522</v>
      </c>
      <c r="AJ19" s="90">
        <f t="shared" ca="1" si="11"/>
        <v>30939840.788901158</v>
      </c>
    </row>
    <row r="20" spans="1:36" x14ac:dyDescent="0.2">
      <c r="A20" s="99">
        <v>2</v>
      </c>
      <c r="B20" s="75" t="s">
        <v>106</v>
      </c>
      <c r="G20" s="88">
        <v>17</v>
      </c>
      <c r="H20" s="89">
        <f t="shared" ca="1" si="0"/>
        <v>465661349.36821485</v>
      </c>
      <c r="I20" s="89">
        <f t="shared" ca="1" si="1"/>
        <v>1841438.8537374102</v>
      </c>
      <c r="J20" s="89">
        <f t="shared" ca="1" si="2"/>
        <v>3853002.1462625898</v>
      </c>
      <c r="K20" s="89">
        <f t="shared" ca="1" si="3"/>
        <v>5694441</v>
      </c>
      <c r="O20" s="88">
        <v>17</v>
      </c>
      <c r="P20" s="89">
        <f t="shared" ca="1" si="4"/>
        <v>454913548.15206993</v>
      </c>
      <c r="Q20" s="89">
        <f t="shared" ca="1" si="5"/>
        <v>1583860.0684541748</v>
      </c>
      <c r="R20" s="89">
        <f t="shared" ca="1" si="6"/>
        <v>4110580.9315458252</v>
      </c>
      <c r="S20" s="89">
        <f t="shared" ca="1" si="7"/>
        <v>5694441</v>
      </c>
      <c r="U20" s="75" t="s">
        <v>107</v>
      </c>
      <c r="AF20" s="88">
        <v>17</v>
      </c>
      <c r="AG20" s="90">
        <f t="shared" ca="1" si="8"/>
        <v>3531780.8654126194</v>
      </c>
      <c r="AH20" s="90">
        <f t="shared" ca="1" si="9"/>
        <v>578800.06613320578</v>
      </c>
      <c r="AI20" s="90">
        <f t="shared" ca="1" si="10"/>
        <v>485274588.87483788</v>
      </c>
      <c r="AJ20" s="90">
        <f t="shared" ca="1" si="11"/>
        <v>30361040.722767953</v>
      </c>
    </row>
    <row r="21" spans="1:36" x14ac:dyDescent="0.2">
      <c r="B21" s="75" t="s">
        <v>108</v>
      </c>
      <c r="C21" s="85"/>
      <c r="G21" s="88">
        <v>18</v>
      </c>
      <c r="H21" s="89">
        <f t="shared" ca="1" si="0"/>
        <v>463804733.98925787</v>
      </c>
      <c r="I21" s="89">
        <f t="shared" ca="1" si="1"/>
        <v>1856615.3789569624</v>
      </c>
      <c r="J21" s="89">
        <f t="shared" ca="1" si="2"/>
        <v>3837825.6210430376</v>
      </c>
      <c r="K21" s="89">
        <f t="shared" ca="1" si="3"/>
        <v>5694441</v>
      </c>
      <c r="O21" s="88">
        <v>18</v>
      </c>
      <c r="P21" s="89">
        <f t="shared" ca="1" si="4"/>
        <v>453315426.04208302</v>
      </c>
      <c r="Q21" s="89">
        <f t="shared" ca="1" si="5"/>
        <v>1598122.1099869045</v>
      </c>
      <c r="R21" s="89">
        <f t="shared" ca="1" si="6"/>
        <v>4096318.8900130955</v>
      </c>
      <c r="S21" s="89">
        <f t="shared" ca="1" si="7"/>
        <v>5694441</v>
      </c>
      <c r="U21" s="75" t="s">
        <v>109</v>
      </c>
      <c r="V21" s="75">
        <f>1%</f>
        <v>0.01</v>
      </c>
      <c r="AF21" s="88">
        <v>18</v>
      </c>
      <c r="AG21" s="90">
        <f t="shared" ca="1" si="8"/>
        <v>3516111.0705882632</v>
      </c>
      <c r="AH21" s="90">
        <f t="shared" ca="1" si="9"/>
        <v>580207.81942483224</v>
      </c>
      <c r="AI21" s="90">
        <f t="shared" ca="1" si="10"/>
        <v>483096258.94542617</v>
      </c>
      <c r="AJ21" s="90">
        <f t="shared" ca="1" si="11"/>
        <v>29780832.903343119</v>
      </c>
    </row>
    <row r="22" spans="1:36" ht="21" x14ac:dyDescent="0.3">
      <c r="B22" s="75" t="s">
        <v>110</v>
      </c>
      <c r="C22" s="100">
        <f ca="1">(C11)/12*C18</f>
        <v>3856875</v>
      </c>
      <c r="D22" s="98" t="s">
        <v>111</v>
      </c>
      <c r="G22" s="88">
        <v>19</v>
      </c>
      <c r="H22" s="89">
        <f t="shared" ca="1" si="0"/>
        <v>461932817.00521934</v>
      </c>
      <c r="I22" s="89">
        <f t="shared" ca="1" si="1"/>
        <v>1871916.9840385332</v>
      </c>
      <c r="J22" s="89">
        <f t="shared" ca="1" si="2"/>
        <v>3822524.0159614668</v>
      </c>
      <c r="K22" s="89">
        <f t="shared" ca="1" si="3"/>
        <v>5694441</v>
      </c>
      <c r="O22" s="88">
        <v>19</v>
      </c>
      <c r="P22" s="89">
        <f t="shared" ca="1" si="4"/>
        <v>451702913.46644771</v>
      </c>
      <c r="Q22" s="89">
        <f t="shared" ca="1" si="5"/>
        <v>1612512.5756353326</v>
      </c>
      <c r="R22" s="89">
        <f t="shared" ca="1" si="6"/>
        <v>4081928.4243646674</v>
      </c>
      <c r="S22" s="89">
        <f t="shared" ca="1" si="7"/>
        <v>5694441</v>
      </c>
      <c r="U22" s="75" t="s">
        <v>112</v>
      </c>
      <c r="V22" s="75">
        <v>0</v>
      </c>
      <c r="AF22" s="88">
        <v>19</v>
      </c>
      <c r="AG22" s="90">
        <f t="shared" ca="1" si="8"/>
        <v>3500327.738520625</v>
      </c>
      <c r="AH22" s="90">
        <f t="shared" ca="1" si="9"/>
        <v>581600.68584404234</v>
      </c>
      <c r="AI22" s="90">
        <f t="shared" ca="1" si="10"/>
        <v>480902145.68394679</v>
      </c>
      <c r="AJ22" s="90">
        <f t="shared" ca="1" si="11"/>
        <v>29199232.217499077</v>
      </c>
    </row>
    <row r="23" spans="1:36" ht="21" x14ac:dyDescent="0.3">
      <c r="B23" s="75" t="s">
        <v>113</v>
      </c>
      <c r="C23" s="100">
        <f>C13/C8</f>
        <v>222212.59444444443</v>
      </c>
      <c r="D23" s="98" t="s">
        <v>114</v>
      </c>
      <c r="G23" s="88">
        <v>20</v>
      </c>
      <c r="H23" s="89">
        <f t="shared" ca="1" si="0"/>
        <v>460045472.30537069</v>
      </c>
      <c r="I23" s="89">
        <f t="shared" ca="1" si="1"/>
        <v>1887344.6998486505</v>
      </c>
      <c r="J23" s="89">
        <f t="shared" ca="1" si="2"/>
        <v>3807096.3001513495</v>
      </c>
      <c r="K23" s="89">
        <f t="shared" ca="1" si="3"/>
        <v>5694441</v>
      </c>
      <c r="O23" s="88">
        <v>20</v>
      </c>
      <c r="P23" s="89">
        <f t="shared" ca="1" si="4"/>
        <v>450075880.84463924</v>
      </c>
      <c r="Q23" s="89">
        <f t="shared" ca="1" si="5"/>
        <v>1627032.6218084805</v>
      </c>
      <c r="R23" s="89">
        <f t="shared" ca="1" si="6"/>
        <v>4067408.3781915195</v>
      </c>
      <c r="S23" s="89">
        <f t="shared" ca="1" si="7"/>
        <v>5694441</v>
      </c>
      <c r="AF23" s="88">
        <v>20</v>
      </c>
      <c r="AG23" s="90">
        <f t="shared" ca="1" si="8"/>
        <v>3484430.046562965</v>
      </c>
      <c r="AH23" s="90">
        <f t="shared" ca="1" si="9"/>
        <v>582978.3316285545</v>
      </c>
      <c r="AI23" s="90">
        <f t="shared" ca="1" si="10"/>
        <v>478692134.73050976</v>
      </c>
      <c r="AJ23" s="90">
        <f t="shared" ca="1" si="11"/>
        <v>28616253.885870524</v>
      </c>
    </row>
    <row r="24" spans="1:36" ht="21" x14ac:dyDescent="0.3">
      <c r="B24" s="75" t="s">
        <v>115</v>
      </c>
      <c r="C24" s="100">
        <f ca="1">C22+C23</f>
        <v>4079087.5944444444</v>
      </c>
      <c r="D24" s="98" t="s">
        <v>116</v>
      </c>
      <c r="G24" s="88">
        <v>21</v>
      </c>
      <c r="H24" s="89">
        <f t="shared" ca="1" si="0"/>
        <v>458142572.7396208</v>
      </c>
      <c r="I24" s="89">
        <f t="shared" ca="1" si="1"/>
        <v>1902899.5657499027</v>
      </c>
      <c r="J24" s="89">
        <f t="shared" ca="1" si="2"/>
        <v>3791541.4342500973</v>
      </c>
      <c r="K24" s="89">
        <f t="shared" ca="1" si="3"/>
        <v>5694441</v>
      </c>
      <c r="O24" s="88">
        <v>21</v>
      </c>
      <c r="P24" s="89">
        <f t="shared" ca="1" si="4"/>
        <v>448434197.42931086</v>
      </c>
      <c r="Q24" s="89">
        <f t="shared" ca="1" si="5"/>
        <v>1641683.4153283816</v>
      </c>
      <c r="R24" s="89">
        <f t="shared" ca="1" si="6"/>
        <v>4052757.5846716184</v>
      </c>
      <c r="S24" s="89">
        <f t="shared" ca="1" si="7"/>
        <v>5694441</v>
      </c>
      <c r="AF24" s="88">
        <v>21</v>
      </c>
      <c r="AG24" s="90">
        <f t="shared" ca="1" si="8"/>
        <v>3468417.1661079666</v>
      </c>
      <c r="AH24" s="90">
        <f t="shared" ca="1" si="9"/>
        <v>584340.41856365185</v>
      </c>
      <c r="AI24" s="90">
        <f t="shared" ca="1" si="10"/>
        <v>476466110.89661771</v>
      </c>
      <c r="AJ24" s="90">
        <f t="shared" ca="1" si="11"/>
        <v>28031913.467306871</v>
      </c>
    </row>
    <row r="25" spans="1:36" ht="21" x14ac:dyDescent="0.3">
      <c r="B25" s="75" t="s">
        <v>117</v>
      </c>
      <c r="C25" s="101">
        <f ca="1">ROUNDUP(C24/C18*12,4)</f>
        <v>9.8900000000000002E-2</v>
      </c>
      <c r="D25" s="98" t="s">
        <v>118</v>
      </c>
      <c r="G25" s="88">
        <v>22</v>
      </c>
      <c r="H25" s="89">
        <f t="shared" ca="1" si="0"/>
        <v>456223990.10994983</v>
      </c>
      <c r="I25" s="89">
        <f t="shared" ca="1" si="1"/>
        <v>1918582.6296709585</v>
      </c>
      <c r="J25" s="89">
        <f t="shared" ca="1" si="2"/>
        <v>3775858.3703290415</v>
      </c>
      <c r="K25" s="89">
        <f t="shared" ca="1" si="3"/>
        <v>5694441</v>
      </c>
      <c r="O25" s="88">
        <v>22</v>
      </c>
      <c r="P25" s="89">
        <f t="shared" ca="1" si="4"/>
        <v>446777731.29578704</v>
      </c>
      <c r="Q25" s="89">
        <f t="shared" ca="1" si="5"/>
        <v>1656466.133523846</v>
      </c>
      <c r="R25" s="89">
        <f t="shared" ca="1" si="6"/>
        <v>4037974.866476154</v>
      </c>
      <c r="S25" s="89">
        <f t="shared" ca="1" si="7"/>
        <v>5694441</v>
      </c>
      <c r="AF25" s="88">
        <v>22</v>
      </c>
      <c r="AG25" s="90">
        <f t="shared" ca="1" si="8"/>
        <v>3452288.2625445453</v>
      </c>
      <c r="AH25" s="90">
        <f t="shared" ca="1" si="9"/>
        <v>585686.60393160861</v>
      </c>
      <c r="AI25" s="90">
        <f t="shared" ca="1" si="10"/>
        <v>474223958.15916228</v>
      </c>
      <c r="AJ25" s="90">
        <f t="shared" ca="1" si="11"/>
        <v>27446226.863375261</v>
      </c>
    </row>
    <row r="26" spans="1:36" ht="21" x14ac:dyDescent="0.3">
      <c r="C26" s="102"/>
      <c r="G26" s="88">
        <v>23</v>
      </c>
      <c r="H26" s="89">
        <f t="shared" ca="1" si="0"/>
        <v>454289595.16177267</v>
      </c>
      <c r="I26" s="89">
        <f t="shared" ca="1" si="1"/>
        <v>1934394.948177163</v>
      </c>
      <c r="J26" s="89">
        <f t="shared" ca="1" si="2"/>
        <v>3760046.051822837</v>
      </c>
      <c r="K26" s="89">
        <f t="shared" ca="1" si="3"/>
        <v>5694441</v>
      </c>
      <c r="O26" s="88">
        <v>23</v>
      </c>
      <c r="P26" s="89">
        <f t="shared" ca="1" si="4"/>
        <v>445106349.33146197</v>
      </c>
      <c r="Q26" s="89">
        <f t="shared" ca="1" si="5"/>
        <v>1671381.9643250699</v>
      </c>
      <c r="R26" s="89">
        <f t="shared" ca="1" si="6"/>
        <v>4023059.0356749301</v>
      </c>
      <c r="S26" s="89">
        <f t="shared" ca="1" si="7"/>
        <v>5694441</v>
      </c>
      <c r="AF26" s="88">
        <v>23</v>
      </c>
      <c r="AG26" s="90">
        <f t="shared" ca="1" si="8"/>
        <v>3436042.4952143501</v>
      </c>
      <c r="AH26" s="90">
        <f t="shared" ca="1" si="9"/>
        <v>587016.54046058003</v>
      </c>
      <c r="AI26" s="90">
        <f t="shared" ca="1" si="10"/>
        <v>471965559.65437663</v>
      </c>
      <c r="AJ26" s="90">
        <f t="shared" ca="1" si="11"/>
        <v>26859210.322914682</v>
      </c>
    </row>
    <row r="27" spans="1:36" ht="21" x14ac:dyDescent="0.3">
      <c r="A27" s="99">
        <v>3</v>
      </c>
      <c r="B27" s="75" t="s">
        <v>119</v>
      </c>
      <c r="C27" s="102"/>
      <c r="G27" s="88">
        <v>24</v>
      </c>
      <c r="H27" s="89">
        <f t="shared" ca="1" si="0"/>
        <v>452339257.57523096</v>
      </c>
      <c r="I27" s="89">
        <f t="shared" ca="1" si="1"/>
        <v>1950337.5865417235</v>
      </c>
      <c r="J27" s="89">
        <f t="shared" ca="1" si="2"/>
        <v>3744103.4134582765</v>
      </c>
      <c r="K27" s="89">
        <f t="shared" ca="1" si="3"/>
        <v>5694441</v>
      </c>
      <c r="O27" s="88">
        <v>24</v>
      </c>
      <c r="P27" s="89">
        <f t="shared" ca="1" si="4"/>
        <v>443419917.22510284</v>
      </c>
      <c r="Q27" s="89">
        <f t="shared" ca="1" si="5"/>
        <v>1686432.1063590967</v>
      </c>
      <c r="R27" s="89">
        <f t="shared" ca="1" si="6"/>
        <v>4008008.8936409033</v>
      </c>
      <c r="S27" s="89">
        <f t="shared" ca="1" si="7"/>
        <v>5694441</v>
      </c>
      <c r="AF27" s="88">
        <v>24</v>
      </c>
      <c r="AG27" s="90">
        <f t="shared" ca="1" si="8"/>
        <v>3419679.0173679451</v>
      </c>
      <c r="AH27" s="90">
        <f t="shared" ca="1" si="9"/>
        <v>588329.87627295824</v>
      </c>
      <c r="AI27" s="90">
        <f t="shared" ca="1" si="10"/>
        <v>469690797.67174453</v>
      </c>
      <c r="AJ27" s="90">
        <f t="shared" ca="1" si="11"/>
        <v>26270880.446641725</v>
      </c>
    </row>
    <row r="28" spans="1:36" ht="21" x14ac:dyDescent="0.3">
      <c r="B28" s="75" t="s">
        <v>120</v>
      </c>
      <c r="C28" s="79">
        <f ca="1">VLOOKUP(C9,G:H,2,FALSE)</f>
        <v>166288911.14473665</v>
      </c>
      <c r="D28" s="98" t="s">
        <v>121</v>
      </c>
      <c r="G28" s="88">
        <v>25</v>
      </c>
      <c r="H28" s="89">
        <f t="shared" ca="1" si="0"/>
        <v>450372845.95641351</v>
      </c>
      <c r="I28" s="89">
        <f t="shared" ca="1" si="1"/>
        <v>1966411.6188174714</v>
      </c>
      <c r="J28" s="89">
        <f t="shared" ca="1" si="2"/>
        <v>3728029.3811825286</v>
      </c>
      <c r="K28" s="89">
        <f t="shared" ca="1" si="3"/>
        <v>5694441</v>
      </c>
      <c r="O28" s="88">
        <v>25</v>
      </c>
      <c r="P28" s="89">
        <f t="shared" ca="1" si="4"/>
        <v>441718299.45605671</v>
      </c>
      <c r="Q28" s="89">
        <f t="shared" ca="1" si="5"/>
        <v>1701617.7690461404</v>
      </c>
      <c r="R28" s="89">
        <f t="shared" ca="1" si="6"/>
        <v>3992823.2309538596</v>
      </c>
      <c r="S28" s="89">
        <f t="shared" ca="1" si="7"/>
        <v>5694441</v>
      </c>
      <c r="AF28" s="88">
        <v>25</v>
      </c>
      <c r="AG28" s="90">
        <f t="shared" ca="1" si="8"/>
        <v>3403196.9761206768</v>
      </c>
      <c r="AH28" s="90">
        <f t="shared" ca="1" si="9"/>
        <v>589626.25483318279</v>
      </c>
      <c r="AI28" s="90">
        <f t="shared" ca="1" si="10"/>
        <v>467399553.64786524</v>
      </c>
      <c r="AJ28" s="90">
        <f t="shared" ca="1" si="11"/>
        <v>25681254.19180854</v>
      </c>
    </row>
    <row r="29" spans="1:36" ht="21" x14ac:dyDescent="0.3">
      <c r="C29" s="102"/>
      <c r="G29" s="88">
        <v>26</v>
      </c>
      <c r="H29" s="89">
        <f t="shared" ca="1" si="0"/>
        <v>448390227.82850426</v>
      </c>
      <c r="I29" s="89">
        <f t="shared" ca="1" si="1"/>
        <v>1982618.1279092249</v>
      </c>
      <c r="J29" s="89">
        <f t="shared" ca="1" si="2"/>
        <v>3711822.8720907751</v>
      </c>
      <c r="K29" s="89">
        <f t="shared" ca="1" si="3"/>
        <v>5694441</v>
      </c>
      <c r="O29" s="88">
        <v>26</v>
      </c>
      <c r="P29" s="89">
        <f t="shared" ca="1" si="4"/>
        <v>440001359.28335994</v>
      </c>
      <c r="Q29" s="89">
        <f t="shared" ca="1" si="5"/>
        <v>1716940.1726967688</v>
      </c>
      <c r="R29" s="89">
        <f t="shared" ca="1" si="6"/>
        <v>3977500.8273032312</v>
      </c>
      <c r="S29" s="89">
        <f t="shared" ca="1" si="7"/>
        <v>5694441</v>
      </c>
      <c r="AF29" s="88">
        <v>26</v>
      </c>
      <c r="AG29" s="90">
        <f t="shared" ca="1" si="8"/>
        <v>3386595.5124082239</v>
      </c>
      <c r="AH29" s="90">
        <f t="shared" ca="1" si="9"/>
        <v>590905.31489500729</v>
      </c>
      <c r="AI29" s="90">
        <f t="shared" ca="1" si="10"/>
        <v>465091708.16027343</v>
      </c>
      <c r="AJ29" s="90">
        <f t="shared" ca="1" si="11"/>
        <v>25090348.876913533</v>
      </c>
    </row>
    <row r="30" spans="1:36" ht="21" x14ac:dyDescent="0.3">
      <c r="A30" s="99">
        <v>4</v>
      </c>
      <c r="B30" s="75" t="s">
        <v>122</v>
      </c>
      <c r="C30" s="102"/>
      <c r="G30" s="88">
        <v>27</v>
      </c>
      <c r="H30" s="89">
        <f t="shared" ca="1" si="0"/>
        <v>446391269.62285751</v>
      </c>
      <c r="I30" s="89">
        <f t="shared" ca="1" si="1"/>
        <v>1998958.205646744</v>
      </c>
      <c r="J30" s="89">
        <f t="shared" ca="1" si="2"/>
        <v>3695482.794353256</v>
      </c>
      <c r="K30" s="89">
        <f t="shared" ca="1" si="3"/>
        <v>5694441</v>
      </c>
      <c r="O30" s="88">
        <v>27</v>
      </c>
      <c r="P30" s="89">
        <f t="shared" ca="1" si="4"/>
        <v>438268958.73474997</v>
      </c>
      <c r="Q30" s="89">
        <f t="shared" ca="1" si="5"/>
        <v>1732400.548609972</v>
      </c>
      <c r="R30" s="89">
        <f t="shared" ca="1" si="6"/>
        <v>3962040.451390028</v>
      </c>
      <c r="S30" s="89">
        <f t="shared" ca="1" si="7"/>
        <v>5694441</v>
      </c>
      <c r="AF30" s="88">
        <v>27</v>
      </c>
      <c r="AG30" s="90">
        <f t="shared" ca="1" si="8"/>
        <v>3369873.7609418151</v>
      </c>
      <c r="AH30" s="90">
        <f t="shared" ca="1" si="9"/>
        <v>592166.6904482129</v>
      </c>
      <c r="AI30" s="90">
        <f t="shared" ca="1" si="10"/>
        <v>462767140.92121524</v>
      </c>
      <c r="AJ30" s="90">
        <f t="shared" ca="1" si="11"/>
        <v>24498182.186465319</v>
      </c>
    </row>
    <row r="31" spans="1:36" ht="21" x14ac:dyDescent="0.3">
      <c r="B31" s="75" t="s">
        <v>123</v>
      </c>
      <c r="C31" s="102"/>
      <c r="G31" s="88">
        <v>28</v>
      </c>
      <c r="H31" s="89">
        <f t="shared" ca="1" si="0"/>
        <v>444375836.66999924</v>
      </c>
      <c r="I31" s="89">
        <f t="shared" ca="1" si="1"/>
        <v>2015432.9528582827</v>
      </c>
      <c r="J31" s="89">
        <f t="shared" ca="1" si="2"/>
        <v>3679008.0471417173</v>
      </c>
      <c r="K31" s="89">
        <f t="shared" ca="1" si="3"/>
        <v>5694441</v>
      </c>
      <c r="O31" s="88">
        <v>28</v>
      </c>
      <c r="P31" s="89">
        <f t="shared" ca="1" si="4"/>
        <v>436520958.5955779</v>
      </c>
      <c r="Q31" s="89">
        <f t="shared" ca="1" si="5"/>
        <v>1748000.1391721065</v>
      </c>
      <c r="R31" s="89">
        <f t="shared" ca="1" si="6"/>
        <v>3946440.8608278935</v>
      </c>
      <c r="S31" s="89">
        <f t="shared" ca="1" si="7"/>
        <v>5694441</v>
      </c>
      <c r="AF31" s="88">
        <v>28</v>
      </c>
      <c r="AG31" s="90">
        <f t="shared" ca="1" si="8"/>
        <v>3353030.8501631357</v>
      </c>
      <c r="AH31" s="90">
        <f t="shared" ca="1" si="9"/>
        <v>593410.01066475781</v>
      </c>
      <c r="AI31" s="90">
        <f t="shared" ca="1" si="10"/>
        <v>460425730.7713784</v>
      </c>
      <c r="AJ31" s="90">
        <f t="shared" ca="1" si="11"/>
        <v>23904772.175800562</v>
      </c>
    </row>
    <row r="32" spans="1:36" ht="21" x14ac:dyDescent="0.3">
      <c r="B32" s="75" t="s">
        <v>124</v>
      </c>
      <c r="C32" s="100">
        <f ca="1">(C12)/12*C28</f>
        <v>1593602.0651370594</v>
      </c>
      <c r="D32" s="98" t="s">
        <v>125</v>
      </c>
      <c r="G32" s="88">
        <v>29</v>
      </c>
      <c r="H32" s="89">
        <f t="shared" ca="1" si="0"/>
        <v>442343793.1905545</v>
      </c>
      <c r="I32" s="89">
        <f t="shared" ca="1" si="1"/>
        <v>2032043.4794447566</v>
      </c>
      <c r="J32" s="89">
        <f t="shared" ca="1" si="2"/>
        <v>3662397.5205552434</v>
      </c>
      <c r="K32" s="89">
        <f t="shared" ca="1" si="3"/>
        <v>5694441</v>
      </c>
      <c r="O32" s="88">
        <v>29</v>
      </c>
      <c r="P32" s="89">
        <f t="shared" ca="1" si="4"/>
        <v>434757218.39762115</v>
      </c>
      <c r="Q32" s="89">
        <f t="shared" ca="1" si="5"/>
        <v>1763740.197956732</v>
      </c>
      <c r="R32" s="89">
        <f t="shared" ca="1" si="6"/>
        <v>3930700.802043268</v>
      </c>
      <c r="S32" s="89">
        <f t="shared" ca="1" si="7"/>
        <v>5694441</v>
      </c>
      <c r="AF32" s="88">
        <v>29</v>
      </c>
      <c r="AG32" s="90">
        <f t="shared" ca="1" si="8"/>
        <v>3336065.9021988967</v>
      </c>
      <c r="AH32" s="90">
        <f t="shared" ca="1" si="9"/>
        <v>594634.89984437125</v>
      </c>
      <c r="AI32" s="90">
        <f t="shared" ca="1" si="10"/>
        <v>458067355.67357731</v>
      </c>
      <c r="AJ32" s="90">
        <f t="shared" ca="1" si="11"/>
        <v>23310137.275956191</v>
      </c>
    </row>
    <row r="33" spans="1:36" ht="21" x14ac:dyDescent="0.3">
      <c r="B33" s="75" t="s">
        <v>113</v>
      </c>
      <c r="C33" s="100">
        <f>C13/C8</f>
        <v>222212.59444444443</v>
      </c>
      <c r="D33" s="98" t="s">
        <v>114</v>
      </c>
      <c r="E33" s="86"/>
      <c r="G33" s="88">
        <v>30</v>
      </c>
      <c r="H33" s="89">
        <f t="shared" ca="1" si="0"/>
        <v>440295002.28609997</v>
      </c>
      <c r="I33" s="89">
        <f t="shared" ca="1" si="1"/>
        <v>2048790.904454513</v>
      </c>
      <c r="J33" s="89">
        <f t="shared" ca="1" si="2"/>
        <v>3645650.095545487</v>
      </c>
      <c r="K33" s="89">
        <f t="shared" ca="1" si="3"/>
        <v>5694441</v>
      </c>
      <c r="O33" s="88">
        <v>30</v>
      </c>
      <c r="P33" s="89">
        <f t="shared" ca="1" si="4"/>
        <v>432977596.40779579</v>
      </c>
      <c r="Q33" s="89">
        <f t="shared" ca="1" si="5"/>
        <v>1779621.9898253498</v>
      </c>
      <c r="R33" s="89">
        <f t="shared" ca="1" si="6"/>
        <v>3914819.0101746502</v>
      </c>
      <c r="S33" s="89">
        <f t="shared" ca="1" si="7"/>
        <v>5694441</v>
      </c>
      <c r="AF33" s="88">
        <v>30</v>
      </c>
      <c r="AG33" s="90">
        <f t="shared" ca="1" si="8"/>
        <v>3318978.0328150811</v>
      </c>
      <c r="AH33" s="90">
        <f t="shared" ca="1" si="9"/>
        <v>595840.97735956917</v>
      </c>
      <c r="AI33" s="90">
        <f t="shared" ca="1" si="10"/>
        <v>455691892.70639235</v>
      </c>
      <c r="AJ33" s="90">
        <f t="shared" ca="1" si="11"/>
        <v>22714296.298596621</v>
      </c>
    </row>
    <row r="34" spans="1:36" ht="21" x14ac:dyDescent="0.3">
      <c r="B34" s="75" t="s">
        <v>115</v>
      </c>
      <c r="C34" s="100">
        <f ca="1">C32+C33</f>
        <v>1815814.6595815038</v>
      </c>
      <c r="D34" s="98" t="s">
        <v>126</v>
      </c>
      <c r="G34" s="88">
        <v>31</v>
      </c>
      <c r="H34" s="89">
        <f t="shared" ca="1" si="0"/>
        <v>438229325.92994124</v>
      </c>
      <c r="I34" s="89">
        <f t="shared" ca="1" si="1"/>
        <v>2065676.3561587259</v>
      </c>
      <c r="J34" s="89">
        <f t="shared" ca="1" si="2"/>
        <v>3628764.6438412741</v>
      </c>
      <c r="K34" s="89">
        <f t="shared" ca="1" si="3"/>
        <v>5694441</v>
      </c>
      <c r="O34" s="88">
        <v>31</v>
      </c>
      <c r="P34" s="89">
        <f t="shared" ca="1" si="4"/>
        <v>431181949.61676675</v>
      </c>
      <c r="Q34" s="89">
        <f t="shared" ca="1" si="5"/>
        <v>1795646.7910290449</v>
      </c>
      <c r="R34" s="89">
        <f t="shared" ca="1" si="6"/>
        <v>3898794.2089709551</v>
      </c>
      <c r="S34" s="89">
        <f t="shared" ca="1" si="7"/>
        <v>5694441</v>
      </c>
      <c r="AF34" s="88">
        <v>31</v>
      </c>
      <c r="AG34" s="90">
        <f t="shared" ca="1" si="8"/>
        <v>3301766.3513708552</v>
      </c>
      <c r="AH34" s="90">
        <f t="shared" ca="1" si="9"/>
        <v>597027.85760009987</v>
      </c>
      <c r="AI34" s="90">
        <f t="shared" ca="1" si="10"/>
        <v>453299218.05776322</v>
      </c>
      <c r="AJ34" s="90">
        <f t="shared" ca="1" si="11"/>
        <v>22117268.44099652</v>
      </c>
    </row>
    <row r="35" spans="1:36" ht="21" x14ac:dyDescent="0.3">
      <c r="B35" s="75" t="s">
        <v>127</v>
      </c>
      <c r="C35" s="101">
        <f ca="1">ROUNDUP(C34/C28*12,4)</f>
        <v>0.13109999999999999</v>
      </c>
      <c r="D35" s="98" t="s">
        <v>128</v>
      </c>
      <c r="G35" s="88">
        <v>32</v>
      </c>
      <c r="H35" s="89">
        <f t="shared" ca="1" si="0"/>
        <v>436146624.95781386</v>
      </c>
      <c r="I35" s="89">
        <f t="shared" ca="1" si="1"/>
        <v>2082700.9721274008</v>
      </c>
      <c r="J35" s="89">
        <f t="shared" ca="1" si="2"/>
        <v>3611740.0278725992</v>
      </c>
      <c r="K35" s="89">
        <f t="shared" ca="1" si="3"/>
        <v>5694441</v>
      </c>
      <c r="O35" s="88">
        <v>32</v>
      </c>
      <c r="P35" s="89">
        <f t="shared" ca="1" si="4"/>
        <v>429370133.72745574</v>
      </c>
      <c r="Q35" s="89">
        <f t="shared" ca="1" si="5"/>
        <v>1811815.8893110435</v>
      </c>
      <c r="R35" s="89">
        <f t="shared" ca="1" si="6"/>
        <v>3882625.1106889565</v>
      </c>
      <c r="S35" s="89">
        <f t="shared" ca="1" si="7"/>
        <v>5694441</v>
      </c>
      <c r="AF35" s="88">
        <v>32</v>
      </c>
      <c r="AG35" s="90">
        <f t="shared" ca="1" si="8"/>
        <v>3284429.9607721488</v>
      </c>
      <c r="AH35" s="90">
        <f t="shared" ca="1" si="9"/>
        <v>598195.14991680766</v>
      </c>
      <c r="AI35" s="90">
        <f t="shared" ca="1" si="10"/>
        <v>450889207.01853538</v>
      </c>
      <c r="AJ35" s="90">
        <f t="shared" ca="1" si="11"/>
        <v>21519073.291079711</v>
      </c>
    </row>
    <row r="36" spans="1:36" ht="21" x14ac:dyDescent="0.3">
      <c r="B36" s="75" t="s">
        <v>129</v>
      </c>
      <c r="C36" s="100">
        <f ca="1">PMT(C35/12,C10,-C28,0,0)</f>
        <v>3792954.0748673654</v>
      </c>
      <c r="D36" s="98" t="s">
        <v>130</v>
      </c>
      <c r="G36" s="88">
        <v>33</v>
      </c>
      <c r="H36" s="89">
        <f t="shared" ca="1" si="0"/>
        <v>434046759.05850786</v>
      </c>
      <c r="I36" s="89">
        <f t="shared" ca="1" si="1"/>
        <v>2099865.8993060174</v>
      </c>
      <c r="J36" s="89">
        <f t="shared" ca="1" si="2"/>
        <v>3594575.1006939826</v>
      </c>
      <c r="K36" s="89">
        <f t="shared" ca="1" si="3"/>
        <v>5694441</v>
      </c>
      <c r="O36" s="88">
        <v>33</v>
      </c>
      <c r="P36" s="89">
        <f t="shared" ca="1" si="4"/>
        <v>427542003.14344555</v>
      </c>
      <c r="Q36" s="89">
        <f t="shared" ca="1" si="5"/>
        <v>1828130.5840101987</v>
      </c>
      <c r="R36" s="89">
        <f t="shared" ca="1" si="6"/>
        <v>3866310.4159898013</v>
      </c>
      <c r="S36" s="89">
        <f t="shared" ca="1" si="7"/>
        <v>5694441</v>
      </c>
      <c r="AF36" s="88">
        <v>33</v>
      </c>
      <c r="AG36" s="90">
        <f t="shared" ca="1" si="8"/>
        <v>3266967.9574248963</v>
      </c>
      <c r="AH36" s="90">
        <f t="shared" ca="1" si="9"/>
        <v>599342.45856490498</v>
      </c>
      <c r="AI36" s="90">
        <f t="shared" ca="1" si="10"/>
        <v>448461733.97596031</v>
      </c>
      <c r="AJ36" s="90">
        <f t="shared" ca="1" si="11"/>
        <v>20919730.832514808</v>
      </c>
    </row>
    <row r="37" spans="1:36" x14ac:dyDescent="0.2">
      <c r="C37" s="239" t="s">
        <v>131</v>
      </c>
      <c r="D37" s="239"/>
      <c r="E37" s="239"/>
      <c r="G37" s="88">
        <v>34</v>
      </c>
      <c r="H37" s="89">
        <f t="shared" ca="1" si="0"/>
        <v>431929586.76441509</v>
      </c>
      <c r="I37" s="89">
        <f t="shared" ca="1" si="1"/>
        <v>2117172.2940927972</v>
      </c>
      <c r="J37" s="89">
        <f t="shared" ca="1" si="2"/>
        <v>3577268.7059072028</v>
      </c>
      <c r="K37" s="89">
        <f t="shared" ca="1" si="3"/>
        <v>5694441</v>
      </c>
      <c r="O37" s="88">
        <v>34</v>
      </c>
      <c r="P37" s="89">
        <f t="shared" ca="1" si="4"/>
        <v>425697410.95728016</v>
      </c>
      <c r="Q37" s="89">
        <f t="shared" ca="1" si="5"/>
        <v>1844592.1861654031</v>
      </c>
      <c r="R37" s="89">
        <f t="shared" ca="1" si="6"/>
        <v>3849848.8138345969</v>
      </c>
      <c r="S37" s="89">
        <f t="shared" ca="1" si="7"/>
        <v>5694441</v>
      </c>
      <c r="AF37" s="88">
        <v>34</v>
      </c>
      <c r="AG37" s="90">
        <f t="shared" ca="1" si="8"/>
        <v>3249379.4311879412</v>
      </c>
      <c r="AH37" s="90">
        <f t="shared" ca="1" si="9"/>
        <v>600469.38264665566</v>
      </c>
      <c r="AI37" s="90">
        <f t="shared" ca="1" si="10"/>
        <v>446016672.40714824</v>
      </c>
      <c r="AJ37" s="90">
        <f t="shared" ca="1" si="11"/>
        <v>20319261.44986815</v>
      </c>
    </row>
    <row r="38" spans="1:36" ht="14.1" customHeight="1" x14ac:dyDescent="0.2">
      <c r="C38" s="239"/>
      <c r="D38" s="239"/>
      <c r="E38" s="239"/>
      <c r="G38" s="88">
        <v>35</v>
      </c>
      <c r="H38" s="89">
        <f t="shared" ca="1" si="0"/>
        <v>429794965.44199848</v>
      </c>
      <c r="I38" s="89">
        <f t="shared" ca="1" si="1"/>
        <v>2134621.3224166124</v>
      </c>
      <c r="J38" s="89">
        <f t="shared" ca="1" si="2"/>
        <v>3559819.6775833876</v>
      </c>
      <c r="K38" s="89">
        <f t="shared" ca="1" si="3"/>
        <v>5694441</v>
      </c>
      <c r="O38" s="88">
        <v>35</v>
      </c>
      <c r="P38" s="89">
        <f t="shared" ca="1" si="4"/>
        <v>423836208.93865919</v>
      </c>
      <c r="Q38" s="89">
        <f t="shared" ca="1" si="5"/>
        <v>1861202.0186209399</v>
      </c>
      <c r="R38" s="89">
        <f t="shared" ca="1" si="6"/>
        <v>3833238.9813790601</v>
      </c>
      <c r="S38" s="89">
        <f t="shared" ca="1" si="7"/>
        <v>5694441</v>
      </c>
      <c r="AF38" s="88">
        <v>35</v>
      </c>
      <c r="AG38" s="90">
        <f t="shared" ca="1" si="8"/>
        <v>3231663.4653255963</v>
      </c>
      <c r="AH38" s="90">
        <f t="shared" ca="1" si="9"/>
        <v>601575.5160534638</v>
      </c>
      <c r="AI38" s="90">
        <f t="shared" ca="1" si="10"/>
        <v>443553894.87247384</v>
      </c>
      <c r="AJ38" s="90">
        <f t="shared" ca="1" si="11"/>
        <v>19717685.933814686</v>
      </c>
    </row>
    <row r="39" spans="1:36" ht="14.1" customHeight="1" x14ac:dyDescent="0.2">
      <c r="A39" s="242">
        <v>5</v>
      </c>
      <c r="B39" s="243" t="s">
        <v>132</v>
      </c>
      <c r="C39" s="243"/>
      <c r="D39" s="243"/>
      <c r="E39" s="243"/>
      <c r="G39" s="88">
        <v>36</v>
      </c>
      <c r="H39" s="89">
        <f t="shared" ca="1" si="0"/>
        <v>427642751.28218293</v>
      </c>
      <c r="I39" s="89">
        <f t="shared" ca="1" si="1"/>
        <v>2152214.1598155294</v>
      </c>
      <c r="J39" s="89">
        <f t="shared" ca="1" si="2"/>
        <v>3542226.8401844706</v>
      </c>
      <c r="K39" s="89">
        <f t="shared" ca="1" si="3"/>
        <v>5694441</v>
      </c>
      <c r="O39" s="88">
        <v>36</v>
      </c>
      <c r="P39" s="89">
        <f t="shared" ca="1" si="4"/>
        <v>421958247.52252638</v>
      </c>
      <c r="Q39" s="89">
        <f t="shared" ca="1" si="5"/>
        <v>1877961.4161327924</v>
      </c>
      <c r="R39" s="89">
        <f t="shared" ca="1" si="6"/>
        <v>3816479.5838672076</v>
      </c>
      <c r="S39" s="89">
        <f t="shared" ca="1" si="7"/>
        <v>5694441</v>
      </c>
      <c r="AF39" s="88">
        <v>36</v>
      </c>
      <c r="AG39" s="90">
        <f t="shared" ca="1" si="8"/>
        <v>3213819.1364598661</v>
      </c>
      <c r="AH39" s="90">
        <f t="shared" ca="1" si="9"/>
        <v>602660.44740734156</v>
      </c>
      <c r="AI39" s="90">
        <f t="shared" ca="1" si="10"/>
        <v>441073273.00893366</v>
      </c>
      <c r="AJ39" s="90">
        <f t="shared" ca="1" si="11"/>
        <v>19115025.486407343</v>
      </c>
    </row>
    <row r="40" spans="1:36" ht="15" customHeight="1" x14ac:dyDescent="0.2">
      <c r="A40" s="242"/>
      <c r="B40" s="243"/>
      <c r="C40" s="243"/>
      <c r="D40" s="243"/>
      <c r="E40" s="243"/>
      <c r="G40" s="88">
        <v>37</v>
      </c>
      <c r="H40" s="89">
        <f t="shared" ca="1" si="0"/>
        <v>425472799.29066694</v>
      </c>
      <c r="I40" s="89">
        <f t="shared" ca="1" si="1"/>
        <v>2169951.991516009</v>
      </c>
      <c r="J40" s="89">
        <f t="shared" ca="1" si="2"/>
        <v>3524489.008483991</v>
      </c>
      <c r="K40" s="89">
        <f t="shared" ca="1" si="3"/>
        <v>5694441</v>
      </c>
      <c r="O40" s="88">
        <v>37</v>
      </c>
      <c r="P40" s="89">
        <f t="shared" ca="1" si="4"/>
        <v>420063375.79705048</v>
      </c>
      <c r="Q40" s="89">
        <f t="shared" ca="1" si="5"/>
        <v>1894871.7254758961</v>
      </c>
      <c r="R40" s="89">
        <f t="shared" ca="1" si="6"/>
        <v>3799569.2745241039</v>
      </c>
      <c r="S40" s="89">
        <f t="shared" ca="1" si="7"/>
        <v>5694441</v>
      </c>
      <c r="AF40" s="88">
        <v>37</v>
      </c>
      <c r="AG40" s="90">
        <f t="shared" ca="1" si="8"/>
        <v>3195845.514522315</v>
      </c>
      <c r="AH40" s="90">
        <f t="shared" ca="1" si="9"/>
        <v>603723.76000178885</v>
      </c>
      <c r="AI40" s="90">
        <f t="shared" ca="1" si="10"/>
        <v>438574677.52345598</v>
      </c>
      <c r="AJ40" s="90">
        <f t="shared" ca="1" si="11"/>
        <v>18511301.726405554</v>
      </c>
    </row>
    <row r="41" spans="1:36" ht="29.25" customHeight="1" x14ac:dyDescent="0.2">
      <c r="A41" s="242"/>
      <c r="B41" s="243"/>
      <c r="C41" s="243"/>
      <c r="D41" s="243"/>
      <c r="E41" s="243"/>
      <c r="G41" s="88">
        <v>38</v>
      </c>
      <c r="H41" s="89">
        <f t="shared" ca="1" si="0"/>
        <v>423284963.27815419</v>
      </c>
      <c r="I41" s="89">
        <f t="shared" ca="1" si="1"/>
        <v>2187836.0125127533</v>
      </c>
      <c r="J41" s="89">
        <f t="shared" ca="1" si="2"/>
        <v>3506604.9874872467</v>
      </c>
      <c r="K41" s="89">
        <f t="shared" ca="1" si="3"/>
        <v>5694441</v>
      </c>
      <c r="O41" s="88">
        <v>38</v>
      </c>
      <c r="P41" s="89">
        <f t="shared" ca="1" si="4"/>
        <v>418151441.49149811</v>
      </c>
      <c r="Q41" s="89">
        <f t="shared" ca="1" si="5"/>
        <v>1911934.3055523727</v>
      </c>
      <c r="R41" s="89">
        <f t="shared" ca="1" si="6"/>
        <v>3782506.6944476273</v>
      </c>
      <c r="S41" s="89">
        <f t="shared" ca="1" si="7"/>
        <v>5694441</v>
      </c>
      <c r="AF41" s="88">
        <v>38</v>
      </c>
      <c r="AG41" s="90">
        <f t="shared" ca="1" si="8"/>
        <v>3177741.6627055947</v>
      </c>
      <c r="AH41" s="90">
        <f t="shared" ca="1" si="9"/>
        <v>604765.03174203262</v>
      </c>
      <c r="AI41" s="90">
        <f t="shared" ca="1" si="10"/>
        <v>436057978.18616158</v>
      </c>
      <c r="AJ41" s="90">
        <f t="shared" ca="1" si="11"/>
        <v>17906536.694663521</v>
      </c>
    </row>
    <row r="42" spans="1:36" x14ac:dyDescent="0.2">
      <c r="A42" s="103"/>
      <c r="B42" s="75" t="s">
        <v>117</v>
      </c>
      <c r="C42" s="104">
        <f ca="1">C25+IF($D$13&gt;0,0.01,0)</f>
        <v>0.1089</v>
      </c>
      <c r="D42" s="98" t="s">
        <v>133</v>
      </c>
      <c r="E42" s="97"/>
      <c r="G42" s="88">
        <v>39</v>
      </c>
      <c r="H42" s="89">
        <f t="shared" ca="1" si="0"/>
        <v>421079095.85050499</v>
      </c>
      <c r="I42" s="89">
        <f t="shared" ca="1" si="1"/>
        <v>2205867.4276492125</v>
      </c>
      <c r="J42" s="89">
        <f t="shared" ca="1" si="2"/>
        <v>3488573.5723507875</v>
      </c>
      <c r="K42" s="89">
        <f t="shared" ca="1" si="3"/>
        <v>5694441</v>
      </c>
      <c r="O42" s="88">
        <v>39</v>
      </c>
      <c r="P42" s="89">
        <f t="shared" ca="1" si="4"/>
        <v>416222290.96399736</v>
      </c>
      <c r="Q42" s="89">
        <f t="shared" ca="1" si="5"/>
        <v>1929150.5275007244</v>
      </c>
      <c r="R42" s="89">
        <f t="shared" ca="1" si="6"/>
        <v>3765290.4724992756</v>
      </c>
      <c r="S42" s="89">
        <f t="shared" ca="1" si="7"/>
        <v>5694441</v>
      </c>
      <c r="AF42" s="88">
        <v>39</v>
      </c>
      <c r="AG42" s="90">
        <f t="shared" ca="1" si="8"/>
        <v>3159506.6374146137</v>
      </c>
      <c r="AH42" s="90">
        <f t="shared" ca="1" si="9"/>
        <v>605783.83508466184</v>
      </c>
      <c r="AI42" s="90">
        <f t="shared" ca="1" si="10"/>
        <v>433523043.82357615</v>
      </c>
      <c r="AJ42" s="90">
        <f t="shared" ca="1" si="11"/>
        <v>17300752.859578859</v>
      </c>
    </row>
    <row r="43" spans="1:36" x14ac:dyDescent="0.2">
      <c r="B43" s="75" t="s">
        <v>134</v>
      </c>
      <c r="C43" s="104">
        <f ca="1">C35+IF($D$13&gt;0,0.01,0)</f>
        <v>0.1411</v>
      </c>
      <c r="D43" s="98" t="s">
        <v>135</v>
      </c>
      <c r="E43" s="97"/>
      <c r="G43" s="88">
        <v>40</v>
      </c>
      <c r="H43" s="89">
        <f t="shared" ca="1" si="0"/>
        <v>418855048.39880621</v>
      </c>
      <c r="I43" s="89">
        <f t="shared" ca="1" si="1"/>
        <v>2224047.4516987544</v>
      </c>
      <c r="J43" s="89">
        <f t="shared" ca="1" si="2"/>
        <v>3470393.5483012456</v>
      </c>
      <c r="K43" s="89">
        <f t="shared" ca="1" si="3"/>
        <v>5694441</v>
      </c>
      <c r="O43" s="88">
        <v>40</v>
      </c>
      <c r="P43" s="89">
        <f t="shared" ca="1" si="4"/>
        <v>414275769.18919134</v>
      </c>
      <c r="Q43" s="89">
        <f t="shared" ca="1" si="5"/>
        <v>1946521.7748060222</v>
      </c>
      <c r="R43" s="89">
        <f t="shared" ca="1" si="6"/>
        <v>3747919.2251939778</v>
      </c>
      <c r="S43" s="89">
        <f t="shared" ca="1" si="7"/>
        <v>5694441</v>
      </c>
      <c r="AF43" s="88">
        <v>40</v>
      </c>
      <c r="AG43" s="90">
        <f t="shared" ca="1" si="8"/>
        <v>3141139.4882173575</v>
      </c>
      <c r="AH43" s="90">
        <f t="shared" ca="1" si="9"/>
        <v>606779.73697662028</v>
      </c>
      <c r="AI43" s="90">
        <f t="shared" ca="1" si="10"/>
        <v>430969742.31179351</v>
      </c>
      <c r="AJ43" s="90">
        <f t="shared" ca="1" si="11"/>
        <v>16693973.122602239</v>
      </c>
    </row>
    <row r="44" spans="1:36" ht="16.350000000000001" customHeight="1" x14ac:dyDescent="0.3">
      <c r="B44" s="75" t="s">
        <v>101</v>
      </c>
      <c r="C44" s="79">
        <f ca="1">-PV(C43/12,C10,C7-D13,0,0)</f>
        <v>167962870.22772828</v>
      </c>
      <c r="D44" s="98" t="s">
        <v>136</v>
      </c>
      <c r="E44" s="105"/>
      <c r="F44" s="105"/>
      <c r="G44" s="88">
        <v>41</v>
      </c>
      <c r="H44" s="89">
        <f t="shared" ca="1" si="0"/>
        <v>416612671.0893597</v>
      </c>
      <c r="I44" s="89">
        <f t="shared" ca="1" si="1"/>
        <v>2242377.3094465057</v>
      </c>
      <c r="J44" s="89">
        <f t="shared" ca="1" si="2"/>
        <v>3452063.6905534943</v>
      </c>
      <c r="K44" s="89">
        <f t="shared" ca="1" si="3"/>
        <v>5694441</v>
      </c>
      <c r="O44" s="88">
        <v>41</v>
      </c>
      <c r="P44" s="89">
        <f t="shared" ca="1" si="4"/>
        <v>412311719.74578029</v>
      </c>
      <c r="Q44" s="89">
        <f t="shared" ca="1" si="5"/>
        <v>1964049.4434110778</v>
      </c>
      <c r="R44" s="89">
        <f t="shared" ca="1" si="6"/>
        <v>3730391.5565889222</v>
      </c>
      <c r="S44" s="89">
        <f t="shared" ca="1" si="7"/>
        <v>5694441</v>
      </c>
      <c r="AF44" s="88">
        <v>41</v>
      </c>
      <c r="AG44" s="90">
        <f t="shared" ca="1" si="8"/>
        <v>3122639.2577953516</v>
      </c>
      <c r="AH44" s="90">
        <f t="shared" ca="1" si="9"/>
        <v>607752.2987935706</v>
      </c>
      <c r="AI44" s="90">
        <f t="shared" ca="1" si="10"/>
        <v>428397940.5695889</v>
      </c>
      <c r="AJ44" s="90">
        <f t="shared" ca="1" si="11"/>
        <v>16086220.823808668</v>
      </c>
    </row>
    <row r="45" spans="1:36" ht="21" customHeight="1" x14ac:dyDescent="0.3">
      <c r="B45" s="75" t="s">
        <v>137</v>
      </c>
      <c r="C45" s="79">
        <f ca="1">C18</f>
        <v>495000000</v>
      </c>
      <c r="D45" s="238" t="s">
        <v>138</v>
      </c>
      <c r="E45" s="239"/>
      <c r="F45" s="239"/>
      <c r="G45" s="88">
        <v>42</v>
      </c>
      <c r="H45" s="89">
        <f t="shared" ca="1" si="0"/>
        <v>414351812.85358787</v>
      </c>
      <c r="I45" s="89">
        <f t="shared" ca="1" si="1"/>
        <v>2260858.2357718605</v>
      </c>
      <c r="J45" s="89">
        <f t="shared" ca="1" si="2"/>
        <v>3433582.7642281395</v>
      </c>
      <c r="K45" s="89">
        <f t="shared" ca="1" si="3"/>
        <v>5694441</v>
      </c>
      <c r="O45" s="88">
        <v>42</v>
      </c>
      <c r="P45" s="89">
        <f t="shared" ca="1" si="4"/>
        <v>410329984.80395168</v>
      </c>
      <c r="Q45" s="89">
        <f t="shared" ca="1" si="5"/>
        <v>1981734.9418286253</v>
      </c>
      <c r="R45" s="89">
        <f t="shared" ca="1" si="6"/>
        <v>3712706.0581713747</v>
      </c>
      <c r="S45" s="89">
        <f t="shared" ca="1" si="7"/>
        <v>5694441</v>
      </c>
      <c r="AF45" s="88">
        <v>42</v>
      </c>
      <c r="AG45" s="90">
        <f t="shared" ca="1" si="8"/>
        <v>3104004.9818937629</v>
      </c>
      <c r="AH45" s="90">
        <f t="shared" ca="1" si="9"/>
        <v>608701.07627761178</v>
      </c>
      <c r="AI45" s="90">
        <f t="shared" ca="1" si="10"/>
        <v>425807504.55148268</v>
      </c>
      <c r="AJ45" s="90">
        <f t="shared" ca="1" si="11"/>
        <v>15477519.747531056</v>
      </c>
    </row>
    <row r="46" spans="1:36" ht="15" customHeight="1" x14ac:dyDescent="0.2">
      <c r="B46" s="106" t="s">
        <v>139</v>
      </c>
      <c r="C46" s="107"/>
      <c r="D46" s="107"/>
      <c r="E46" s="107"/>
      <c r="G46" s="88">
        <v>43</v>
      </c>
      <c r="H46" s="89">
        <f t="shared" ca="1" si="0"/>
        <v>412072321.37785619</v>
      </c>
      <c r="I46" s="89">
        <f t="shared" ca="1" si="1"/>
        <v>2279491.4757316802</v>
      </c>
      <c r="J46" s="89">
        <f t="shared" ca="1" si="2"/>
        <v>3414949.5242683198</v>
      </c>
      <c r="K46" s="89">
        <f t="shared" ca="1" si="3"/>
        <v>5694441</v>
      </c>
      <c r="O46" s="88">
        <v>43</v>
      </c>
      <c r="P46" s="89">
        <f t="shared" ca="1" si="4"/>
        <v>408330405.11269718</v>
      </c>
      <c r="Q46" s="89">
        <f t="shared" ca="1" si="5"/>
        <v>1999579.6912545054</v>
      </c>
      <c r="R46" s="89">
        <f t="shared" ca="1" si="6"/>
        <v>3694861.3087454946</v>
      </c>
      <c r="S46" s="89">
        <f t="shared" ca="1" si="7"/>
        <v>5694441</v>
      </c>
      <c r="AF46" s="88">
        <v>43</v>
      </c>
      <c r="AG46" s="90">
        <f t="shared" ca="1" si="8"/>
        <v>3085235.6892711422</v>
      </c>
      <c r="AH46" s="90">
        <f t="shared" ca="1" si="9"/>
        <v>609625.61947435234</v>
      </c>
      <c r="AI46" s="90">
        <f t="shared" ca="1" si="10"/>
        <v>423198299.24075383</v>
      </c>
      <c r="AJ46" s="90">
        <f t="shared" ca="1" si="11"/>
        <v>14867894.128056705</v>
      </c>
    </row>
    <row r="47" spans="1:36" ht="15" customHeight="1" x14ac:dyDescent="0.2">
      <c r="B47" s="75" t="s">
        <v>140</v>
      </c>
      <c r="C47" s="104">
        <f ca="1">C42</f>
        <v>0.1089</v>
      </c>
      <c r="D47" s="107" t="s">
        <v>141</v>
      </c>
      <c r="E47" s="108">
        <f>C6-C23</f>
        <v>5472228.4055555556</v>
      </c>
      <c r="G47" s="88">
        <v>44</v>
      </c>
      <c r="H47" s="89">
        <f t="shared" ca="1" si="0"/>
        <v>409774043.09321201</v>
      </c>
      <c r="I47" s="89">
        <f t="shared" ca="1" si="1"/>
        <v>2298278.2846441683</v>
      </c>
      <c r="J47" s="89">
        <f t="shared" ca="1" si="2"/>
        <v>3396162.7153558317</v>
      </c>
      <c r="K47" s="89">
        <f t="shared" ca="1" si="3"/>
        <v>5694441</v>
      </c>
      <c r="O47" s="88">
        <v>44</v>
      </c>
      <c r="P47" s="89">
        <f t="shared" ca="1" si="4"/>
        <v>406312819.98701531</v>
      </c>
      <c r="Q47" s="89">
        <f t="shared" ca="1" si="5"/>
        <v>2017585.1256818711</v>
      </c>
      <c r="R47" s="89">
        <f t="shared" ca="1" si="6"/>
        <v>3676855.8743181289</v>
      </c>
      <c r="S47" s="89">
        <f t="shared" ca="1" si="7"/>
        <v>5694441</v>
      </c>
      <c r="AF47" s="88">
        <v>44</v>
      </c>
      <c r="AG47" s="90">
        <f t="shared" ca="1" si="8"/>
        <v>3066330.4016488027</v>
      </c>
      <c r="AH47" s="90">
        <f t="shared" ca="1" si="9"/>
        <v>610525.47266932623</v>
      </c>
      <c r="AI47" s="90">
        <f t="shared" ca="1" si="10"/>
        <v>420570188.64240265</v>
      </c>
      <c r="AJ47" s="90">
        <f t="shared" ca="1" si="11"/>
        <v>14257368.655387379</v>
      </c>
    </row>
    <row r="48" spans="1:36" ht="14.25" customHeight="1" x14ac:dyDescent="0.2">
      <c r="B48" s="75" t="s">
        <v>142</v>
      </c>
      <c r="C48" s="104">
        <f ca="1">C43</f>
        <v>0.1411</v>
      </c>
      <c r="D48" s="107" t="s">
        <v>143</v>
      </c>
      <c r="E48" s="108">
        <f>C7-C23</f>
        <v>3917787.4055555556</v>
      </c>
      <c r="G48" s="88">
        <v>45</v>
      </c>
      <c r="H48" s="89">
        <f t="shared" ca="1" si="0"/>
        <v>407456823.16503859</v>
      </c>
      <c r="I48" s="89">
        <f t="shared" ca="1" si="1"/>
        <v>2317219.9281734447</v>
      </c>
      <c r="J48" s="89">
        <f t="shared" ca="1" si="2"/>
        <v>3377221.0718265553</v>
      </c>
      <c r="K48" s="89">
        <f t="shared" ca="1" si="3"/>
        <v>5694441</v>
      </c>
      <c r="O48" s="88">
        <v>45</v>
      </c>
      <c r="P48" s="89">
        <f t="shared" ca="1" si="4"/>
        <v>404277067.29499888</v>
      </c>
      <c r="Q48" s="89">
        <f t="shared" ca="1" si="5"/>
        <v>2035752.6920164251</v>
      </c>
      <c r="R48" s="89">
        <f t="shared" ca="1" si="6"/>
        <v>3658688.3079835749</v>
      </c>
      <c r="S48" s="89">
        <f t="shared" ca="1" si="7"/>
        <v>5694441</v>
      </c>
      <c r="AF48" s="88">
        <v>45</v>
      </c>
      <c r="AG48" s="90">
        <f t="shared" ca="1" si="8"/>
        <v>3047288.1336598303</v>
      </c>
      <c r="AH48" s="90">
        <f t="shared" ca="1" si="9"/>
        <v>611400.17432374461</v>
      </c>
      <c r="AI48" s="90">
        <f t="shared" ca="1" si="10"/>
        <v>417923035.77606249</v>
      </c>
      <c r="AJ48" s="90">
        <f t="shared" ca="1" si="11"/>
        <v>13645968.481063634</v>
      </c>
    </row>
    <row r="49" spans="1:36" ht="21" x14ac:dyDescent="0.3">
      <c r="B49" s="75" t="s">
        <v>144</v>
      </c>
      <c r="C49" s="79">
        <f ca="1">-PV(C48/12,C10,E48,0,0)</f>
        <v>167962870.22772828</v>
      </c>
      <c r="D49" s="107" t="s">
        <v>145</v>
      </c>
      <c r="E49" s="107"/>
      <c r="G49" s="88">
        <v>46</v>
      </c>
      <c r="H49" s="89">
        <f t="shared" ca="1" si="0"/>
        <v>405120505.48262376</v>
      </c>
      <c r="I49" s="89">
        <f t="shared" ca="1" si="1"/>
        <v>2336317.6824148069</v>
      </c>
      <c r="J49" s="89">
        <f t="shared" ca="1" si="2"/>
        <v>3358123.3175851931</v>
      </c>
      <c r="K49" s="89">
        <f t="shared" ca="1" si="3"/>
        <v>5694441</v>
      </c>
      <c r="O49" s="88">
        <v>46</v>
      </c>
      <c r="P49" s="89">
        <f t="shared" ca="1" si="4"/>
        <v>402222983.44480622</v>
      </c>
      <c r="Q49" s="89">
        <f t="shared" ca="1" si="5"/>
        <v>2054083.8501926907</v>
      </c>
      <c r="R49" s="89">
        <f t="shared" ca="1" si="6"/>
        <v>3640357.1498073093</v>
      </c>
      <c r="S49" s="89">
        <f t="shared" ca="1" si="7"/>
        <v>5694441</v>
      </c>
      <c r="AF49" s="88">
        <v>46</v>
      </c>
      <c r="AG49" s="90">
        <f t="shared" ca="1" si="8"/>
        <v>3028107.8927977262</v>
      </c>
      <c r="AH49" s="90">
        <f t="shared" ca="1" si="9"/>
        <v>612249.25700958306</v>
      </c>
      <c r="AI49" s="90">
        <f t="shared" ca="1" si="10"/>
        <v>415256702.66886026</v>
      </c>
      <c r="AJ49" s="90">
        <f t="shared" ca="1" si="11"/>
        <v>13033719.224054052</v>
      </c>
    </row>
    <row r="50" spans="1:36" ht="21" x14ac:dyDescent="0.3">
      <c r="B50" s="75" t="s">
        <v>146</v>
      </c>
      <c r="C50" s="79">
        <f ca="1">ROUNDDOWN(-PV(C47/12,C9,E47,C49,0)/10^6,0)*10^6</f>
        <v>455000000</v>
      </c>
      <c r="G50" s="88">
        <v>47</v>
      </c>
      <c r="H50" s="89">
        <f t="shared" ca="1" si="0"/>
        <v>402764932.64864302</v>
      </c>
      <c r="I50" s="89">
        <f t="shared" ca="1" si="1"/>
        <v>2355572.8339807093</v>
      </c>
      <c r="J50" s="89">
        <f t="shared" ca="1" si="2"/>
        <v>3338868.1660192907</v>
      </c>
      <c r="K50" s="89">
        <f t="shared" ca="1" si="3"/>
        <v>5694441</v>
      </c>
      <c r="O50" s="88">
        <v>47</v>
      </c>
      <c r="P50" s="89">
        <f t="shared" ca="1" si="4"/>
        <v>400150403.37151492</v>
      </c>
      <c r="Q50" s="89">
        <f t="shared" ca="1" si="5"/>
        <v>2072580.0732913315</v>
      </c>
      <c r="R50" s="89">
        <f t="shared" ca="1" si="6"/>
        <v>3621860.9267086685</v>
      </c>
      <c r="S50" s="89">
        <f t="shared" ca="1" si="7"/>
        <v>5694441</v>
      </c>
      <c r="AF50" s="88">
        <v>47</v>
      </c>
      <c r="AG50" s="90">
        <f t="shared" ca="1" si="8"/>
        <v>3008788.6793646733</v>
      </c>
      <c r="AH50" s="90">
        <f t="shared" ca="1" si="9"/>
        <v>613072.24734399514</v>
      </c>
      <c r="AI50" s="90">
        <f t="shared" ca="1" si="10"/>
        <v>412571050.34822488</v>
      </c>
      <c r="AJ50" s="90">
        <f t="shared" ca="1" si="11"/>
        <v>12420646.976710057</v>
      </c>
    </row>
    <row r="51" spans="1:36" x14ac:dyDescent="0.2">
      <c r="G51" s="88">
        <v>48</v>
      </c>
      <c r="H51" s="89">
        <f t="shared" ca="1" si="0"/>
        <v>400389945.96855557</v>
      </c>
      <c r="I51" s="89">
        <f t="shared" ca="1" si="1"/>
        <v>2374986.6800874337</v>
      </c>
      <c r="J51" s="89">
        <f t="shared" ca="1" si="2"/>
        <v>3319454.3199125663</v>
      </c>
      <c r="K51" s="89">
        <f t="shared" ca="1" si="3"/>
        <v>5694441</v>
      </c>
      <c r="O51" s="88">
        <v>48</v>
      </c>
      <c r="P51" s="89">
        <f t="shared" ca="1" si="4"/>
        <v>398059160.52385741</v>
      </c>
      <c r="Q51" s="89">
        <f t="shared" ca="1" si="5"/>
        <v>2091242.8476575282</v>
      </c>
      <c r="R51" s="89">
        <f t="shared" ca="1" si="6"/>
        <v>3603198.1523424718</v>
      </c>
      <c r="S51" s="89">
        <f t="shared" ca="1" si="7"/>
        <v>5694441</v>
      </c>
      <c r="AF51" s="88">
        <v>48</v>
      </c>
      <c r="AG51" s="90">
        <f t="shared" ca="1" si="8"/>
        <v>2989329.4864194342</v>
      </c>
      <c r="AH51" s="90">
        <f t="shared" ca="1" si="9"/>
        <v>613868.66592303757</v>
      </c>
      <c r="AI51" s="90">
        <f t="shared" ca="1" si="10"/>
        <v>409865938.83464432</v>
      </c>
      <c r="AJ51" s="90">
        <f t="shared" ca="1" si="11"/>
        <v>11806778.310787018</v>
      </c>
    </row>
    <row r="52" spans="1:36" x14ac:dyDescent="0.2">
      <c r="G52" s="88">
        <v>49</v>
      </c>
      <c r="H52" s="89">
        <f t="shared" ca="1" si="0"/>
        <v>397995385.43991309</v>
      </c>
      <c r="I52" s="89">
        <f t="shared" ca="1" si="1"/>
        <v>2394560.5286424882</v>
      </c>
      <c r="J52" s="89">
        <f t="shared" ca="1" si="2"/>
        <v>3299880.4713575118</v>
      </c>
      <c r="K52" s="89">
        <f t="shared" ca="1" si="3"/>
        <v>5694441</v>
      </c>
      <c r="O52" s="88">
        <v>49</v>
      </c>
      <c r="P52" s="89">
        <f t="shared" ca="1" si="4"/>
        <v>395949086.85083699</v>
      </c>
      <c r="Q52" s="89">
        <f t="shared" ca="1" si="5"/>
        <v>2110073.6730204183</v>
      </c>
      <c r="R52" s="89">
        <f t="shared" ca="1" si="6"/>
        <v>3584367.3269795817</v>
      </c>
      <c r="S52" s="89">
        <f t="shared" ca="1" si="7"/>
        <v>5694441</v>
      </c>
      <c r="AF52" s="88">
        <v>49</v>
      </c>
      <c r="AG52" s="90">
        <f t="shared" ca="1" si="8"/>
        <v>2969729.2997248666</v>
      </c>
      <c r="AH52" s="90">
        <f t="shared" ca="1" si="9"/>
        <v>614638.0272547151</v>
      </c>
      <c r="AI52" s="90">
        <f t="shared" ca="1" si="10"/>
        <v>407141227.13436919</v>
      </c>
      <c r="AJ52" s="90">
        <f t="shared" ca="1" si="11"/>
        <v>11192140.283532303</v>
      </c>
    </row>
    <row r="53" spans="1:36" ht="28.35" customHeight="1" x14ac:dyDescent="0.2">
      <c r="G53" s="88">
        <v>50</v>
      </c>
      <c r="H53" s="89">
        <f t="shared" ca="1" si="0"/>
        <v>395581089.74158037</v>
      </c>
      <c r="I53" s="89">
        <f t="shared" ca="1" si="1"/>
        <v>2414295.6983327162</v>
      </c>
      <c r="J53" s="89">
        <f t="shared" ca="1" si="2"/>
        <v>3280145.3016672838</v>
      </c>
      <c r="K53" s="89">
        <f t="shared" ca="1" si="3"/>
        <v>5694441</v>
      </c>
      <c r="O53" s="88">
        <v>50</v>
      </c>
      <c r="P53" s="89">
        <f t="shared" ca="1" si="4"/>
        <v>393820012.78822339</v>
      </c>
      <c r="Q53" s="89">
        <f t="shared" ca="1" si="5"/>
        <v>2129074.0626136153</v>
      </c>
      <c r="R53" s="89">
        <f t="shared" ca="1" si="6"/>
        <v>3565366.9373863847</v>
      </c>
      <c r="S53" s="89">
        <f t="shared" ca="1" si="7"/>
        <v>5694441</v>
      </c>
      <c r="AF53" s="88">
        <v>50</v>
      </c>
      <c r="AG53" s="90">
        <f t="shared" ca="1" si="8"/>
        <v>2949987.0976950591</v>
      </c>
      <c r="AH53" s="90">
        <f t="shared" ca="1" si="9"/>
        <v>615379.83969132556</v>
      </c>
      <c r="AI53" s="90">
        <f t="shared" ca="1" si="10"/>
        <v>404396773.23206425</v>
      </c>
      <c r="AJ53" s="90">
        <f t="shared" ca="1" si="11"/>
        <v>10576760.443840977</v>
      </c>
    </row>
    <row r="54" spans="1:36" x14ac:dyDescent="0.2">
      <c r="G54" s="88">
        <v>51</v>
      </c>
      <c r="H54" s="89">
        <f t="shared" ca="1" si="0"/>
        <v>393146896.22286725</v>
      </c>
      <c r="I54" s="89">
        <f t="shared" ca="1" si="1"/>
        <v>2434193.5187131413</v>
      </c>
      <c r="J54" s="89">
        <f t="shared" ca="1" si="2"/>
        <v>3260247.4812868587</v>
      </c>
      <c r="K54" s="89">
        <f t="shared" ca="1" si="3"/>
        <v>5694441</v>
      </c>
      <c r="O54" s="88">
        <v>51</v>
      </c>
      <c r="P54" s="89">
        <f t="shared" ca="1" si="4"/>
        <v>391671767.24492657</v>
      </c>
      <c r="Q54" s="89">
        <f t="shared" ca="1" si="5"/>
        <v>2148245.5432968098</v>
      </c>
      <c r="R54" s="89">
        <f t="shared" ca="1" si="6"/>
        <v>3546195.4567031902</v>
      </c>
      <c r="S54" s="89">
        <f t="shared" ca="1" si="7"/>
        <v>5694441</v>
      </c>
      <c r="AF54" s="88">
        <v>51</v>
      </c>
      <c r="AG54" s="90">
        <f t="shared" ca="1" si="8"/>
        <v>2930101.8513420867</v>
      </c>
      <c r="AH54" s="90">
        <f t="shared" ca="1" si="9"/>
        <v>616093.60536110355</v>
      </c>
      <c r="AI54" s="90">
        <f t="shared" ca="1" si="10"/>
        <v>401632434.08340633</v>
      </c>
      <c r="AJ54" s="90">
        <f t="shared" ca="1" si="11"/>
        <v>9960666.8384798728</v>
      </c>
    </row>
    <row r="55" spans="1:36" x14ac:dyDescent="0.2">
      <c r="G55" s="88">
        <v>52</v>
      </c>
      <c r="H55" s="89">
        <f t="shared" ca="1" si="0"/>
        <v>390692640.89257073</v>
      </c>
      <c r="I55" s="89">
        <f t="shared" ca="1" si="1"/>
        <v>2454255.3302965355</v>
      </c>
      <c r="J55" s="89">
        <f t="shared" ca="1" si="2"/>
        <v>3240185.6697034645</v>
      </c>
      <c r="K55" s="89">
        <f t="shared" ca="1" si="3"/>
        <v>5694441</v>
      </c>
      <c r="O55" s="88">
        <v>52</v>
      </c>
      <c r="P55" s="89">
        <f t="shared" ca="1" si="4"/>
        <v>389504177.58924812</v>
      </c>
      <c r="Q55" s="89">
        <f t="shared" ca="1" si="5"/>
        <v>2167589.6556784697</v>
      </c>
      <c r="R55" s="89">
        <f t="shared" ca="1" si="6"/>
        <v>3526851.3443215303</v>
      </c>
      <c r="S55" s="89">
        <f t="shared" ca="1" si="7"/>
        <v>5694441</v>
      </c>
      <c r="AF55" s="88">
        <v>52</v>
      </c>
      <c r="AG55" s="90">
        <f t="shared" ca="1" si="8"/>
        <v>2910072.5242223772</v>
      </c>
      <c r="AH55" s="90">
        <f t="shared" ca="1" si="9"/>
        <v>616778.82009915309</v>
      </c>
      <c r="AI55" s="90">
        <f t="shared" ca="1" si="10"/>
        <v>398848065.6076287</v>
      </c>
      <c r="AJ55" s="90">
        <f t="shared" ca="1" si="11"/>
        <v>9343888.0183807202</v>
      </c>
    </row>
    <row r="56" spans="1:36" x14ac:dyDescent="0.2">
      <c r="G56" s="88">
        <v>53</v>
      </c>
      <c r="H56" s="89">
        <f t="shared" ca="1" si="0"/>
        <v>388218158.40792698</v>
      </c>
      <c r="I56" s="89">
        <f t="shared" ca="1" si="1"/>
        <v>2474482.4846437294</v>
      </c>
      <c r="J56" s="89">
        <f t="shared" ca="1" si="2"/>
        <v>3219958.5153562706</v>
      </c>
      <c r="K56" s="89">
        <f t="shared" ca="1" si="3"/>
        <v>5694441</v>
      </c>
      <c r="O56" s="88">
        <v>53</v>
      </c>
      <c r="P56" s="89">
        <f t="shared" ca="1" si="4"/>
        <v>387317069.63500845</v>
      </c>
      <c r="Q56" s="89">
        <f t="shared" ca="1" si="5"/>
        <v>2187107.9542396381</v>
      </c>
      <c r="R56" s="89">
        <f t="shared" ca="1" si="6"/>
        <v>3507333.0457603619</v>
      </c>
      <c r="S56" s="89">
        <f t="shared" ca="1" si="7"/>
        <v>5694441</v>
      </c>
      <c r="AF56" s="88">
        <v>53</v>
      </c>
      <c r="AG56" s="90">
        <f t="shared" ca="1" si="8"/>
        <v>2889898.0723826918</v>
      </c>
      <c r="AH56" s="90">
        <f t="shared" ca="1" si="9"/>
        <v>617434.97337767016</v>
      </c>
      <c r="AI56" s="90">
        <f t="shared" ca="1" si="10"/>
        <v>396043522.68001139</v>
      </c>
      <c r="AJ56" s="90">
        <f t="shared" ca="1" si="11"/>
        <v>8726453.0450030491</v>
      </c>
    </row>
    <row r="57" spans="1:36" x14ac:dyDescent="0.2">
      <c r="G57" s="88">
        <v>54</v>
      </c>
      <c r="H57" s="89">
        <f t="shared" ca="1" si="0"/>
        <v>385723282.06347233</v>
      </c>
      <c r="I57" s="89">
        <f t="shared" ca="1" si="1"/>
        <v>2494876.3444546685</v>
      </c>
      <c r="J57" s="89">
        <f t="shared" ca="1" si="2"/>
        <v>3199564.6555453315</v>
      </c>
      <c r="K57" s="89">
        <f t="shared" ca="1" si="3"/>
        <v>5694441</v>
      </c>
      <c r="O57" s="88">
        <v>54</v>
      </c>
      <c r="P57" s="89">
        <f t="shared" ca="1" si="4"/>
        <v>385110267.62754959</v>
      </c>
      <c r="Q57" s="89">
        <f t="shared" ca="1" si="5"/>
        <v>2206802.0074588549</v>
      </c>
      <c r="R57" s="89">
        <f t="shared" ca="1" si="6"/>
        <v>3487638.9925411451</v>
      </c>
      <c r="S57" s="89">
        <f t="shared" ca="1" si="7"/>
        <v>5694441</v>
      </c>
      <c r="AF57" s="88">
        <v>54</v>
      </c>
      <c r="AG57" s="90">
        <f t="shared" ca="1" si="8"/>
        <v>2869577.444305711</v>
      </c>
      <c r="AH57" s="90">
        <f t="shared" ca="1" si="9"/>
        <v>618061.54823543411</v>
      </c>
      <c r="AI57" s="90">
        <f t="shared" ca="1" si="10"/>
        <v>393218659.12431711</v>
      </c>
      <c r="AJ57" s="90">
        <f t="shared" ca="1" si="11"/>
        <v>8108391.496767615</v>
      </c>
    </row>
    <row r="58" spans="1:36" x14ac:dyDescent="0.2">
      <c r="A58" s="109"/>
      <c r="B58" s="109"/>
      <c r="C58" s="109"/>
      <c r="D58" s="109"/>
      <c r="E58" s="109"/>
      <c r="F58" s="109"/>
      <c r="G58" s="88">
        <v>55</v>
      </c>
      <c r="H58" s="89">
        <f t="shared" ca="1" si="0"/>
        <v>383207843.7798121</v>
      </c>
      <c r="I58" s="89">
        <f t="shared" ca="1" si="1"/>
        <v>2515438.2836602158</v>
      </c>
      <c r="J58" s="89">
        <f t="shared" ca="1" si="2"/>
        <v>3179002.7163397842</v>
      </c>
      <c r="K58" s="89">
        <f t="shared" ca="1" si="3"/>
        <v>5694441</v>
      </c>
      <c r="O58" s="88">
        <v>55</v>
      </c>
      <c r="P58" s="89">
        <f t="shared" ca="1" si="4"/>
        <v>382883594.2296114</v>
      </c>
      <c r="Q58" s="89">
        <f t="shared" ca="1" si="5"/>
        <v>2226673.397938197</v>
      </c>
      <c r="R58" s="89">
        <f t="shared" ca="1" si="6"/>
        <v>3467767.602061803</v>
      </c>
      <c r="S58" s="89">
        <f t="shared" ca="1" si="7"/>
        <v>5694441</v>
      </c>
      <c r="AF58" s="88">
        <v>55</v>
      </c>
      <c r="AG58" s="90">
        <f t="shared" ca="1" si="8"/>
        <v>2849109.5808552313</v>
      </c>
      <c r="AH58" s="90">
        <f t="shared" ca="1" si="9"/>
        <v>618658.02120657172</v>
      </c>
      <c r="AI58" s="90">
        <f t="shared" ca="1" si="10"/>
        <v>390373327.70517236</v>
      </c>
      <c r="AJ58" s="90">
        <f t="shared" ca="1" si="11"/>
        <v>7489733.4755610432</v>
      </c>
    </row>
    <row r="59" spans="1:36" x14ac:dyDescent="0.2">
      <c r="A59" s="110">
        <v>6</v>
      </c>
      <c r="B59" s="109" t="s">
        <v>119</v>
      </c>
      <c r="C59" s="109"/>
      <c r="D59" s="109"/>
      <c r="E59" s="109"/>
      <c r="F59" s="109"/>
      <c r="G59" s="88">
        <v>56</v>
      </c>
      <c r="H59" s="89">
        <f t="shared" ca="1" si="0"/>
        <v>380671674.09229738</v>
      </c>
      <c r="I59" s="89">
        <f t="shared" ca="1" si="1"/>
        <v>2536169.6875147154</v>
      </c>
      <c r="J59" s="89">
        <f t="shared" ca="1" si="2"/>
        <v>3158271.3124852846</v>
      </c>
      <c r="K59" s="89">
        <f t="shared" ca="1" si="3"/>
        <v>5694441</v>
      </c>
      <c r="O59" s="88">
        <v>56</v>
      </c>
      <c r="P59" s="89">
        <f t="shared" ca="1" si="4"/>
        <v>380636870.50708097</v>
      </c>
      <c r="Q59" s="89">
        <f t="shared" ca="1" si="5"/>
        <v>2246723.722530453</v>
      </c>
      <c r="R59" s="89">
        <f t="shared" ca="1" si="6"/>
        <v>3447717.277469547</v>
      </c>
      <c r="S59" s="89">
        <f t="shared" ca="1" si="7"/>
        <v>5694441</v>
      </c>
      <c r="AF59" s="88">
        <v>56</v>
      </c>
      <c r="AG59" s="90">
        <f t="shared" ca="1" si="8"/>
        <v>2828493.4152209582</v>
      </c>
      <c r="AH59" s="90">
        <f t="shared" ca="1" si="9"/>
        <v>619223.86224858882</v>
      </c>
      <c r="AI59" s="90">
        <f t="shared" ca="1" si="10"/>
        <v>387507380.12039334</v>
      </c>
      <c r="AJ59" s="90">
        <f t="shared" ca="1" si="11"/>
        <v>6870509.6133124549</v>
      </c>
    </row>
    <row r="60" spans="1:36" ht="21" x14ac:dyDescent="0.3">
      <c r="A60" s="109"/>
      <c r="B60" s="109" t="s">
        <v>120</v>
      </c>
      <c r="C60" s="111">
        <f ca="1">H117</f>
        <v>191500351.40258655</v>
      </c>
      <c r="D60" s="112" t="s">
        <v>147</v>
      </c>
      <c r="E60" s="109"/>
      <c r="F60" s="109"/>
      <c r="G60" s="88">
        <v>57</v>
      </c>
      <c r="H60" s="89">
        <f t="shared" ca="1" si="0"/>
        <v>378114602.13960809</v>
      </c>
      <c r="I60" s="89">
        <f t="shared" ca="1" si="1"/>
        <v>2557071.9526893157</v>
      </c>
      <c r="J60" s="89">
        <f t="shared" ca="1" si="2"/>
        <v>3137369.0473106843</v>
      </c>
      <c r="K60" s="89">
        <f t="shared" ca="1" si="3"/>
        <v>5694441</v>
      </c>
      <c r="O60" s="88">
        <v>57</v>
      </c>
      <c r="P60" s="89">
        <f t="shared" ca="1" si="4"/>
        <v>378369915.91461354</v>
      </c>
      <c r="Q60" s="89">
        <f t="shared" ca="1" si="5"/>
        <v>2266954.5924674491</v>
      </c>
      <c r="R60" s="89">
        <f t="shared" ca="1" si="6"/>
        <v>3427486.4075325509</v>
      </c>
      <c r="S60" s="89">
        <f t="shared" ca="1" si="7"/>
        <v>5694441</v>
      </c>
      <c r="AF60" s="88">
        <v>57</v>
      </c>
      <c r="AG60" s="90">
        <f t="shared" ca="1" si="8"/>
        <v>2807727.8728629048</v>
      </c>
      <c r="AH60" s="90">
        <f t="shared" ca="1" si="9"/>
        <v>619758.53466964606</v>
      </c>
      <c r="AI60" s="90">
        <f t="shared" ca="1" si="10"/>
        <v>384620666.99325627</v>
      </c>
      <c r="AJ60" s="90">
        <f t="shared" ca="1" si="11"/>
        <v>6250751.0786428088</v>
      </c>
    </row>
    <row r="61" spans="1:36" x14ac:dyDescent="0.2">
      <c r="A61" s="109"/>
      <c r="B61" s="109"/>
      <c r="C61" s="113"/>
      <c r="D61" s="109"/>
      <c r="E61" s="109"/>
      <c r="F61" s="109"/>
      <c r="G61" s="88">
        <v>58</v>
      </c>
      <c r="H61" s="89">
        <f t="shared" ca="1" si="0"/>
        <v>375536455.652242</v>
      </c>
      <c r="I61" s="89">
        <f t="shared" ca="1" si="1"/>
        <v>2578146.4873660635</v>
      </c>
      <c r="J61" s="89">
        <f t="shared" ca="1" si="2"/>
        <v>3116294.5126339365</v>
      </c>
      <c r="K61" s="89">
        <f t="shared" ca="1" si="3"/>
        <v>5694441</v>
      </c>
      <c r="O61" s="88">
        <v>58</v>
      </c>
      <c r="P61" s="89">
        <f t="shared" ca="1" si="4"/>
        <v>376082548.281124</v>
      </c>
      <c r="Q61" s="89">
        <f t="shared" ca="1" si="5"/>
        <v>2287367.6334895249</v>
      </c>
      <c r="R61" s="89">
        <f t="shared" ca="1" si="6"/>
        <v>3407073.3665104751</v>
      </c>
      <c r="S61" s="89">
        <f t="shared" ca="1" si="7"/>
        <v>5694441</v>
      </c>
      <c r="AF61" s="88">
        <v>58</v>
      </c>
      <c r="AG61" s="90">
        <f t="shared" ca="1" si="8"/>
        <v>2786811.8714553863</v>
      </c>
      <c r="AH61" s="90">
        <f t="shared" ca="1" si="9"/>
        <v>620261.49505508877</v>
      </c>
      <c r="AI61" s="90">
        <f t="shared" ca="1" si="10"/>
        <v>381713037.86471164</v>
      </c>
      <c r="AJ61" s="90">
        <f t="shared" ca="1" si="11"/>
        <v>5630489.5835877201</v>
      </c>
    </row>
    <row r="62" spans="1:36" ht="32.1" customHeight="1" x14ac:dyDescent="0.2">
      <c r="A62" s="109"/>
      <c r="B62" s="114" t="s">
        <v>129</v>
      </c>
      <c r="C62" s="115">
        <f ca="1">-PMT(C43/12,C10,C60,0,0)</f>
        <v>4466806.6452264041</v>
      </c>
      <c r="D62" s="240" t="s">
        <v>148</v>
      </c>
      <c r="E62" s="241"/>
      <c r="F62" s="241"/>
      <c r="G62" s="88">
        <v>59</v>
      </c>
      <c r="H62" s="89">
        <f t="shared" ca="1" si="0"/>
        <v>372937060.94090921</v>
      </c>
      <c r="I62" s="89">
        <f t="shared" ca="1" si="1"/>
        <v>2599394.7113327719</v>
      </c>
      <c r="J62" s="89">
        <f t="shared" ca="1" si="2"/>
        <v>3095046.2886672281</v>
      </c>
      <c r="K62" s="89">
        <f t="shared" ca="1" si="3"/>
        <v>5694441</v>
      </c>
      <c r="O62" s="88">
        <v>59</v>
      </c>
      <c r="P62" s="89">
        <f t="shared" ca="1" si="4"/>
        <v>373774583.79514784</v>
      </c>
      <c r="Q62" s="89">
        <f t="shared" ca="1" si="5"/>
        <v>2307964.4859761768</v>
      </c>
      <c r="R62" s="89">
        <f t="shared" ca="1" si="6"/>
        <v>3386476.5140238232</v>
      </c>
      <c r="S62" s="89">
        <f t="shared" ca="1" si="7"/>
        <v>5694441</v>
      </c>
      <c r="AF62" s="88">
        <v>59</v>
      </c>
      <c r="AG62" s="90">
        <f t="shared" ca="1" si="8"/>
        <v>2765744.320830605</v>
      </c>
      <c r="AH62" s="90">
        <f t="shared" ca="1" si="9"/>
        <v>620732.19319321821</v>
      </c>
      <c r="AI62" s="90">
        <f t="shared" ca="1" si="10"/>
        <v>378784341.18554229</v>
      </c>
      <c r="AJ62" s="90">
        <f t="shared" ca="1" si="11"/>
        <v>5009757.3903945014</v>
      </c>
    </row>
    <row r="63" spans="1:36" x14ac:dyDescent="0.2">
      <c r="A63" s="109"/>
      <c r="B63" s="109"/>
      <c r="C63" s="241" t="s">
        <v>149</v>
      </c>
      <c r="D63" s="241"/>
      <c r="E63" s="241"/>
      <c r="F63" s="109"/>
      <c r="G63" s="88">
        <v>60</v>
      </c>
      <c r="H63" s="89">
        <f t="shared" ca="1" si="0"/>
        <v>370316242.88483053</v>
      </c>
      <c r="I63" s="89">
        <f t="shared" ca="1" si="1"/>
        <v>2620818.0560786729</v>
      </c>
      <c r="J63" s="89">
        <f t="shared" ca="1" si="2"/>
        <v>3073622.9439213271</v>
      </c>
      <c r="K63" s="89">
        <f t="shared" ca="1" si="3"/>
        <v>5694441</v>
      </c>
      <c r="O63" s="88">
        <v>60</v>
      </c>
      <c r="P63" s="89">
        <f t="shared" ca="1" si="4"/>
        <v>371445836.99006999</v>
      </c>
      <c r="Q63" s="89">
        <f t="shared" ca="1" si="5"/>
        <v>2328746.8050778783</v>
      </c>
      <c r="R63" s="89">
        <f t="shared" ca="1" si="6"/>
        <v>3365694.1949221217</v>
      </c>
      <c r="S63" s="89">
        <f t="shared" ca="1" si="7"/>
        <v>5694441</v>
      </c>
      <c r="AF63" s="88">
        <v>60</v>
      </c>
      <c r="AG63" s="90">
        <f t="shared" ca="1" si="8"/>
        <v>2744524.1229218319</v>
      </c>
      <c r="AH63" s="90">
        <f t="shared" ca="1" si="9"/>
        <v>621170.0720002898</v>
      </c>
      <c r="AI63" s="90">
        <f t="shared" ca="1" si="10"/>
        <v>375834424.30846417</v>
      </c>
      <c r="AJ63" s="90">
        <f t="shared" ca="1" si="11"/>
        <v>4388587.3183942121</v>
      </c>
    </row>
    <row r="64" spans="1:36" x14ac:dyDescent="0.2">
      <c r="A64" s="109"/>
      <c r="B64" s="109"/>
      <c r="C64" s="241"/>
      <c r="D64" s="241"/>
      <c r="E64" s="241"/>
      <c r="F64" s="109"/>
      <c r="G64" s="88">
        <v>61</v>
      </c>
      <c r="H64" s="89">
        <f t="shared" ca="1" si="0"/>
        <v>367673824.9199397</v>
      </c>
      <c r="I64" s="89">
        <f t="shared" ca="1" si="1"/>
        <v>2642417.9648908549</v>
      </c>
      <c r="J64" s="89">
        <f t="shared" ca="1" si="2"/>
        <v>3052023.0351091451</v>
      </c>
      <c r="K64" s="89">
        <f t="shared" ca="1" si="3"/>
        <v>5694441</v>
      </c>
      <c r="O64" s="88">
        <v>61</v>
      </c>
      <c r="P64" s="89">
        <f t="shared" ca="1" si="4"/>
        <v>369096120.72922093</v>
      </c>
      <c r="Q64" s="89">
        <f t="shared" ca="1" si="5"/>
        <v>2349716.2608490861</v>
      </c>
      <c r="R64" s="89">
        <f t="shared" ca="1" si="6"/>
        <v>3344724.7391509139</v>
      </c>
      <c r="S64" s="89">
        <f t="shared" ca="1" si="7"/>
        <v>5694441</v>
      </c>
      <c r="AF64" s="88">
        <v>61</v>
      </c>
      <c r="AG64" s="90">
        <f t="shared" ca="1" si="8"/>
        <v>2723150.1717061736</v>
      </c>
      <c r="AH64" s="90">
        <f t="shared" ca="1" si="9"/>
        <v>621574.56744474033</v>
      </c>
      <c r="AI64" s="90">
        <f t="shared" ca="1" si="10"/>
        <v>372863133.48017037</v>
      </c>
      <c r="AJ64" s="90">
        <f t="shared" ca="1" si="11"/>
        <v>3767012.7509494717</v>
      </c>
    </row>
    <row r="65" spans="1:36" x14ac:dyDescent="0.2">
      <c r="D65" s="80"/>
      <c r="G65" s="88">
        <v>62</v>
      </c>
      <c r="H65" s="89">
        <f t="shared" ca="1" si="0"/>
        <v>365009629.02698821</v>
      </c>
      <c r="I65" s="89">
        <f t="shared" ca="1" si="1"/>
        <v>2664195.8929514973</v>
      </c>
      <c r="J65" s="89">
        <f t="shared" ca="1" si="2"/>
        <v>3030245.1070485027</v>
      </c>
      <c r="K65" s="89">
        <f t="shared" ca="1" si="3"/>
        <v>5694441</v>
      </c>
      <c r="O65" s="88">
        <v>62</v>
      </c>
      <c r="P65" s="89">
        <f t="shared" ca="1" si="4"/>
        <v>366725246.19083846</v>
      </c>
      <c r="Q65" s="89">
        <f t="shared" ca="1" si="5"/>
        <v>2370874.5383824459</v>
      </c>
      <c r="R65" s="89">
        <f t="shared" ca="1" si="6"/>
        <v>3323566.4616175541</v>
      </c>
      <c r="S65" s="89">
        <f t="shared" ca="1" si="7"/>
        <v>5694441</v>
      </c>
      <c r="AF65" s="88">
        <v>62</v>
      </c>
      <c r="AG65" s="90">
        <f t="shared" ca="1" si="8"/>
        <v>2701621.3531469232</v>
      </c>
      <c r="AH65" s="90">
        <f t="shared" ca="1" si="9"/>
        <v>621945.10847063083</v>
      </c>
      <c r="AI65" s="90">
        <f t="shared" ca="1" si="10"/>
        <v>369870313.83331728</v>
      </c>
      <c r="AJ65" s="90">
        <f t="shared" ca="1" si="11"/>
        <v>3145067.6424788409</v>
      </c>
    </row>
    <row r="66" spans="1:36" ht="21" x14ac:dyDescent="0.3">
      <c r="C66" s="79"/>
      <c r="D66" s="80"/>
      <c r="G66" s="88">
        <v>63</v>
      </c>
      <c r="H66" s="89">
        <f t="shared" ca="1" si="0"/>
        <v>362323475.71955228</v>
      </c>
      <c r="I66" s="89">
        <f t="shared" ca="1" si="1"/>
        <v>2686153.3074359056</v>
      </c>
      <c r="J66" s="89">
        <f t="shared" ca="1" si="2"/>
        <v>3008287.6925640944</v>
      </c>
      <c r="K66" s="89">
        <f t="shared" ca="1" si="3"/>
        <v>5694441</v>
      </c>
      <c r="O66" s="88">
        <v>63</v>
      </c>
      <c r="P66" s="89">
        <f t="shared" ca="1" si="4"/>
        <v>364333022.85289425</v>
      </c>
      <c r="Q66" s="89">
        <f t="shared" ca="1" si="5"/>
        <v>2392223.3379442054</v>
      </c>
      <c r="R66" s="89">
        <f t="shared" ca="1" si="6"/>
        <v>3302217.6620557946</v>
      </c>
      <c r="S66" s="89">
        <f t="shared" ca="1" si="7"/>
        <v>5694441</v>
      </c>
      <c r="AF66" s="88">
        <v>63</v>
      </c>
      <c r="AG66" s="90">
        <f t="shared" ca="1" si="8"/>
        <v>2679936.545135498</v>
      </c>
      <c r="AH66" s="90">
        <f t="shared" ca="1" si="9"/>
        <v>622281.11692029657</v>
      </c>
      <c r="AI66" s="90">
        <f t="shared" ca="1" si="10"/>
        <v>366855809.37845278</v>
      </c>
      <c r="AJ66" s="90">
        <f t="shared" ca="1" si="11"/>
        <v>2522786.5255585443</v>
      </c>
    </row>
    <row r="67" spans="1:36" ht="21" x14ac:dyDescent="0.3">
      <c r="B67" s="75" t="s">
        <v>150</v>
      </c>
      <c r="C67" s="79"/>
      <c r="D67" s="80"/>
      <c r="G67" s="88">
        <v>64</v>
      </c>
      <c r="H67" s="89">
        <f t="shared" ca="1" si="0"/>
        <v>359615184.03194094</v>
      </c>
      <c r="I67" s="89">
        <f t="shared" ca="1" si="1"/>
        <v>2708291.6876113564</v>
      </c>
      <c r="J67" s="89">
        <f t="shared" ca="1" si="2"/>
        <v>2986149.3123886436</v>
      </c>
      <c r="K67" s="89">
        <f t="shared" ca="1" si="3"/>
        <v>5694441</v>
      </c>
      <c r="O67" s="88">
        <v>64</v>
      </c>
      <c r="P67" s="89">
        <f t="shared" ca="1" si="4"/>
        <v>361919258.47778338</v>
      </c>
      <c r="Q67" s="89">
        <f t="shared" ca="1" si="5"/>
        <v>2413764.3751108437</v>
      </c>
      <c r="R67" s="89">
        <f t="shared" ca="1" si="6"/>
        <v>3280676.6248891563</v>
      </c>
      <c r="S67" s="89">
        <f t="shared" ca="1" si="7"/>
        <v>5694441</v>
      </c>
      <c r="AF67" s="88">
        <v>64</v>
      </c>
      <c r="AG67" s="90">
        <f t="shared" ca="1" si="8"/>
        <v>2658094.6174329524</v>
      </c>
      <c r="AH67" s="90">
        <f t="shared" ca="1" si="9"/>
        <v>622582.00745620392</v>
      </c>
      <c r="AI67" s="90">
        <f t="shared" ca="1" si="10"/>
        <v>363819462.99588573</v>
      </c>
      <c r="AJ67" s="90">
        <f t="shared" ca="1" si="11"/>
        <v>1900204.5181023404</v>
      </c>
    </row>
    <row r="68" spans="1:36" x14ac:dyDescent="0.2">
      <c r="A68" s="103" t="s">
        <v>151</v>
      </c>
      <c r="B68" s="75" t="s">
        <v>152</v>
      </c>
      <c r="D68" s="80"/>
      <c r="G68" s="88">
        <v>65</v>
      </c>
      <c r="H68" s="89">
        <f t="shared" ca="1" si="0"/>
        <v>356884571.5070042</v>
      </c>
      <c r="I68" s="89">
        <f t="shared" ca="1" si="1"/>
        <v>2730612.5249367538</v>
      </c>
      <c r="J68" s="89">
        <f t="shared" ca="1" si="2"/>
        <v>2963828.4750632462</v>
      </c>
      <c r="K68" s="89">
        <f t="shared" ca="1" si="3"/>
        <v>5694441</v>
      </c>
      <c r="O68" s="88">
        <v>65</v>
      </c>
      <c r="P68" s="89">
        <f t="shared" ca="1" si="4"/>
        <v>359483759.09687644</v>
      </c>
      <c r="Q68" s="89">
        <f t="shared" ca="1" si="5"/>
        <v>2435499.3809069381</v>
      </c>
      <c r="R68" s="89">
        <f t="shared" ca="1" si="6"/>
        <v>3258941.6190930619</v>
      </c>
      <c r="S68" s="89">
        <f t="shared" ca="1" si="7"/>
        <v>5694441</v>
      </c>
      <c r="AF68" s="88">
        <v>65</v>
      </c>
      <c r="AG68" s="90">
        <f t="shared" ca="1" si="8"/>
        <v>2636094.4316110685</v>
      </c>
      <c r="AH68" s="90">
        <f t="shared" ca="1" si="9"/>
        <v>622847.18748199334</v>
      </c>
      <c r="AI68" s="90">
        <f t="shared" ca="1" si="10"/>
        <v>360761116.42749679</v>
      </c>
      <c r="AJ68" s="90">
        <f t="shared" ca="1" si="11"/>
        <v>1277357.3306203471</v>
      </c>
    </row>
    <row r="69" spans="1:36" x14ac:dyDescent="0.2">
      <c r="A69" s="75" t="s">
        <v>153</v>
      </c>
      <c r="B69" s="75" t="s">
        <v>154</v>
      </c>
      <c r="G69" s="88">
        <v>66</v>
      </c>
      <c r="H69" s="89">
        <f t="shared" ref="H69:H132" ca="1" si="12">H68-I69</f>
        <v>354131454.18384111</v>
      </c>
      <c r="I69" s="89">
        <f t="shared" ref="I69:I132" ca="1" si="13">K69-J69</f>
        <v>2753117.323163107</v>
      </c>
      <c r="J69" s="89">
        <f t="shared" ref="J69:J132" ca="1" si="14">IF(G69&lt;=$C$9,H68*$C$25/12,H68*$C$35/12)</f>
        <v>2941323.676836893</v>
      </c>
      <c r="K69" s="89">
        <f t="shared" ref="K69:K132" ca="1" si="15">IFERROR(IF(G69&lt;=$C$8,IF(G69&lt;=$C$9,$C$6,$C$36),0),0)</f>
        <v>5694441</v>
      </c>
      <c r="O69" s="88">
        <v>66</v>
      </c>
      <c r="P69" s="89">
        <f t="shared" ref="P69:P132" ca="1" si="16">P68-Q69</f>
        <v>357026328.99493217</v>
      </c>
      <c r="Q69" s="89">
        <f t="shared" ref="Q69:Q132" ca="1" si="17">S69-R69</f>
        <v>2457430.1019442664</v>
      </c>
      <c r="R69" s="89">
        <f t="shared" ref="R69:R132" ca="1" si="18">IF(O69&lt;=$C$9,P68*$V$5/12,P68*$V$14/12)</f>
        <v>3237010.8980557336</v>
      </c>
      <c r="S69" s="89">
        <f t="shared" ref="S69:S132" ca="1" si="19">IFERROR(IF(O69&lt;=$C$8,IF(O69&lt;=$C$9,$C$6,$V$15),0),0)</f>
        <v>5694441</v>
      </c>
      <c r="AF69" s="88">
        <v>66</v>
      </c>
      <c r="AG69" s="90">
        <f t="shared" ref="AG69:AG132" ca="1" si="20">$AH$1/12*AI68</f>
        <v>2613934.8409930207</v>
      </c>
      <c r="AH69" s="90">
        <f t="shared" ref="AH69:AH132" ca="1" si="21">R69-AG69</f>
        <v>623076.05706271296</v>
      </c>
      <c r="AI69" s="90">
        <f t="shared" ref="AI69:AI132" ca="1" si="22">AI68-Q69-AH69</f>
        <v>357680610.26848984</v>
      </c>
      <c r="AJ69" s="90">
        <f t="shared" ref="AJ69:AJ132" ca="1" si="23">AJ68-AH69</f>
        <v>654281.27355763409</v>
      </c>
    </row>
    <row r="70" spans="1:36" x14ac:dyDescent="0.2">
      <c r="A70" s="75" t="s">
        <v>155</v>
      </c>
      <c r="B70" s="75" t="s">
        <v>156</v>
      </c>
      <c r="G70" s="88">
        <v>67</v>
      </c>
      <c r="H70" s="89">
        <f t="shared" ca="1" si="12"/>
        <v>351355646.58540624</v>
      </c>
      <c r="I70" s="89">
        <f t="shared" ca="1" si="13"/>
        <v>2775807.5984348427</v>
      </c>
      <c r="J70" s="89">
        <f t="shared" ca="1" si="14"/>
        <v>2918633.4015651573</v>
      </c>
      <c r="K70" s="89">
        <f t="shared" ca="1" si="15"/>
        <v>5694441</v>
      </c>
      <c r="O70" s="88">
        <v>67</v>
      </c>
      <c r="P70" s="89">
        <f t="shared" ca="1" si="16"/>
        <v>354546770.69437003</v>
      </c>
      <c r="Q70" s="89">
        <f t="shared" ca="1" si="17"/>
        <v>2479558.3005621633</v>
      </c>
      <c r="R70" s="89">
        <f t="shared" ca="1" si="18"/>
        <v>3214882.6994378367</v>
      </c>
      <c r="S70" s="89">
        <f t="shared" ca="1" si="19"/>
        <v>5694441</v>
      </c>
      <c r="AF70" s="88">
        <v>67</v>
      </c>
      <c r="AG70" s="90">
        <f t="shared" ca="1" si="20"/>
        <v>2591614.6905936077</v>
      </c>
      <c r="AH70" s="90">
        <f t="shared" ca="1" si="21"/>
        <v>623268.00884422893</v>
      </c>
      <c r="AI70" s="90">
        <f t="shared" ca="1" si="22"/>
        <v>354577783.95908344</v>
      </c>
      <c r="AJ70" s="90">
        <f t="shared" ca="1" si="23"/>
        <v>31013.264713405166</v>
      </c>
    </row>
    <row r="71" spans="1:36" x14ac:dyDescent="0.2">
      <c r="A71" s="75" t="s">
        <v>157</v>
      </c>
      <c r="B71" s="75" t="s">
        <v>158</v>
      </c>
      <c r="G71" s="88">
        <v>68</v>
      </c>
      <c r="H71" s="89">
        <f t="shared" ca="1" si="12"/>
        <v>348556961.70601428</v>
      </c>
      <c r="I71" s="89">
        <f t="shared" ca="1" si="13"/>
        <v>2798684.8793919436</v>
      </c>
      <c r="J71" s="89">
        <f t="shared" ca="1" si="14"/>
        <v>2895756.1206080564</v>
      </c>
      <c r="K71" s="89">
        <f t="shared" ca="1" si="15"/>
        <v>5694441</v>
      </c>
      <c r="O71" s="88">
        <v>68</v>
      </c>
      <c r="P71" s="89">
        <f t="shared" ca="1" si="16"/>
        <v>352044884.93940091</v>
      </c>
      <c r="Q71" s="89">
        <f t="shared" ca="1" si="17"/>
        <v>2501885.7549691405</v>
      </c>
      <c r="R71" s="89">
        <f t="shared" ca="1" si="18"/>
        <v>3192555.2450308595</v>
      </c>
      <c r="S71" s="89">
        <f t="shared" ca="1" si="19"/>
        <v>5694441</v>
      </c>
      <c r="AF71" s="88">
        <v>68</v>
      </c>
      <c r="AG71" s="90">
        <f t="shared" ca="1" si="20"/>
        <v>2569132.8170590545</v>
      </c>
      <c r="AH71" s="90">
        <f t="shared" ca="1" si="21"/>
        <v>623422.42797180498</v>
      </c>
      <c r="AI71" s="90">
        <f t="shared" ca="1" si="22"/>
        <v>351452475.77614254</v>
      </c>
      <c r="AJ71" s="90">
        <f t="shared" ca="1" si="23"/>
        <v>-592409.16325839981</v>
      </c>
    </row>
    <row r="72" spans="1:36" ht="27" customHeight="1" x14ac:dyDescent="0.2">
      <c r="G72" s="88">
        <v>69</v>
      </c>
      <c r="H72" s="89">
        <f t="shared" ca="1" si="12"/>
        <v>345735210.99874133</v>
      </c>
      <c r="I72" s="89">
        <f t="shared" ca="1" si="13"/>
        <v>2821750.7072729324</v>
      </c>
      <c r="J72" s="89">
        <f t="shared" ca="1" si="14"/>
        <v>2872690.2927270676</v>
      </c>
      <c r="K72" s="89">
        <f t="shared" ca="1" si="15"/>
        <v>5694441</v>
      </c>
      <c r="O72" s="88">
        <v>69</v>
      </c>
      <c r="P72" s="89">
        <f t="shared" ca="1" si="16"/>
        <v>349520470.68001515</v>
      </c>
      <c r="Q72" s="89">
        <f t="shared" ca="1" si="17"/>
        <v>2524414.2593857832</v>
      </c>
      <c r="R72" s="89">
        <f t="shared" ca="1" si="18"/>
        <v>3170026.7406142168</v>
      </c>
      <c r="S72" s="89">
        <f t="shared" ca="1" si="19"/>
        <v>5694441</v>
      </c>
      <c r="AF72" s="88">
        <v>69</v>
      </c>
      <c r="AG72" s="90">
        <f t="shared" ca="1" si="20"/>
        <v>2546488.048606378</v>
      </c>
      <c r="AH72" s="90">
        <f t="shared" ca="1" si="21"/>
        <v>623538.69200783875</v>
      </c>
      <c r="AI72" s="90">
        <f t="shared" ca="1" si="22"/>
        <v>348304522.82474893</v>
      </c>
      <c r="AJ72" s="90">
        <f t="shared" ca="1" si="23"/>
        <v>-1215947.8552662386</v>
      </c>
    </row>
    <row r="73" spans="1:36" x14ac:dyDescent="0.2">
      <c r="G73" s="88">
        <v>70</v>
      </c>
      <c r="H73" s="89">
        <f t="shared" ca="1" si="12"/>
        <v>342890204.36272264</v>
      </c>
      <c r="I73" s="89">
        <f t="shared" ca="1" si="13"/>
        <v>2845006.636018707</v>
      </c>
      <c r="J73" s="89">
        <f t="shared" ca="1" si="14"/>
        <v>2849434.363981293</v>
      </c>
      <c r="K73" s="89">
        <f t="shared" ca="1" si="15"/>
        <v>5694441</v>
      </c>
      <c r="O73" s="88">
        <v>70</v>
      </c>
      <c r="P73" s="89">
        <f t="shared" ca="1" si="16"/>
        <v>346973325.05582619</v>
      </c>
      <c r="Q73" s="89">
        <f t="shared" ca="1" si="17"/>
        <v>2547145.624188934</v>
      </c>
      <c r="R73" s="89">
        <f t="shared" ca="1" si="18"/>
        <v>3147295.375811066</v>
      </c>
      <c r="S73" s="89">
        <f t="shared" ca="1" si="19"/>
        <v>5694441</v>
      </c>
      <c r="AF73" s="88">
        <v>70</v>
      </c>
      <c r="AG73" s="90">
        <f t="shared" ca="1" si="20"/>
        <v>2523679.204962309</v>
      </c>
      <c r="AH73" s="90">
        <f t="shared" ca="1" si="21"/>
        <v>623616.17084875703</v>
      </c>
      <c r="AI73" s="90">
        <f t="shared" ca="1" si="22"/>
        <v>345133761.02971125</v>
      </c>
      <c r="AJ73" s="90">
        <f t="shared" ca="1" si="23"/>
        <v>-1839564.0261149956</v>
      </c>
    </row>
    <row r="74" spans="1:36" x14ac:dyDescent="0.2">
      <c r="G74" s="88">
        <v>71</v>
      </c>
      <c r="H74" s="89">
        <f t="shared" ca="1" si="12"/>
        <v>340021750.1303454</v>
      </c>
      <c r="I74" s="89">
        <f t="shared" ca="1" si="13"/>
        <v>2868454.2323772274</v>
      </c>
      <c r="J74" s="89">
        <f t="shared" ca="1" si="14"/>
        <v>2825986.7676227726</v>
      </c>
      <c r="K74" s="89">
        <f t="shared" ca="1" si="15"/>
        <v>5694441</v>
      </c>
      <c r="O74" s="88">
        <v>71</v>
      </c>
      <c r="P74" s="89">
        <f t="shared" ca="1" si="16"/>
        <v>344403243.37976903</v>
      </c>
      <c r="Q74" s="89">
        <f t="shared" ca="1" si="17"/>
        <v>2570081.6760571706</v>
      </c>
      <c r="R74" s="89">
        <f t="shared" ca="1" si="18"/>
        <v>3124359.3239428294</v>
      </c>
      <c r="S74" s="89">
        <f t="shared" ca="1" si="19"/>
        <v>5694441</v>
      </c>
      <c r="AF74" s="88">
        <v>71</v>
      </c>
      <c r="AG74" s="90">
        <f t="shared" ca="1" si="20"/>
        <v>2500705.0973017779</v>
      </c>
      <c r="AH74" s="90">
        <f t="shared" ca="1" si="21"/>
        <v>623654.22664105147</v>
      </c>
      <c r="AI74" s="90">
        <f t="shared" ca="1" si="22"/>
        <v>341940025.12701303</v>
      </c>
      <c r="AJ74" s="90">
        <f t="shared" ca="1" si="23"/>
        <v>-2463218.2527560471</v>
      </c>
    </row>
    <row r="75" spans="1:36" x14ac:dyDescent="0.2">
      <c r="A75" s="103"/>
      <c r="B75" s="97"/>
      <c r="C75" s="116"/>
      <c r="D75" s="97"/>
      <c r="E75" s="97"/>
      <c r="G75" s="88">
        <v>72</v>
      </c>
      <c r="H75" s="89">
        <f t="shared" ca="1" si="12"/>
        <v>337129655.05433631</v>
      </c>
      <c r="I75" s="89">
        <f t="shared" ca="1" si="13"/>
        <v>2892095.07600907</v>
      </c>
      <c r="J75" s="89">
        <f t="shared" ca="1" si="14"/>
        <v>2802345.92399093</v>
      </c>
      <c r="K75" s="89">
        <f t="shared" ca="1" si="15"/>
        <v>5694441</v>
      </c>
      <c r="O75" s="88">
        <v>72</v>
      </c>
      <c r="P75" s="89">
        <f t="shared" ca="1" si="16"/>
        <v>341810019.12165141</v>
      </c>
      <c r="Q75" s="89">
        <f t="shared" ca="1" si="17"/>
        <v>2593224.258117598</v>
      </c>
      <c r="R75" s="89">
        <f t="shared" ca="1" si="18"/>
        <v>3101216.741882402</v>
      </c>
      <c r="S75" s="89">
        <f t="shared" ca="1" si="19"/>
        <v>5694441</v>
      </c>
      <c r="AF75" s="88">
        <v>72</v>
      </c>
      <c r="AG75" s="90">
        <f t="shared" ca="1" si="20"/>
        <v>2477564.528185952</v>
      </c>
      <c r="AH75" s="90">
        <f t="shared" ca="1" si="21"/>
        <v>623652.21369645</v>
      </c>
      <c r="AI75" s="90">
        <f t="shared" ca="1" si="22"/>
        <v>338723148.65519893</v>
      </c>
      <c r="AJ75" s="90">
        <f t="shared" ca="1" si="23"/>
        <v>-3086870.4664524971</v>
      </c>
    </row>
    <row r="76" spans="1:36" x14ac:dyDescent="0.2">
      <c r="A76" s="103"/>
      <c r="B76" s="97"/>
      <c r="C76" s="97"/>
      <c r="D76" s="97"/>
      <c r="E76" s="97"/>
      <c r="G76" s="88">
        <v>73</v>
      </c>
      <c r="H76" s="89">
        <f t="shared" ca="1" si="12"/>
        <v>334213724.29474247</v>
      </c>
      <c r="I76" s="89">
        <f t="shared" ca="1" si="13"/>
        <v>2915930.7595938449</v>
      </c>
      <c r="J76" s="89">
        <f t="shared" ca="1" si="14"/>
        <v>2778510.2404061551</v>
      </c>
      <c r="K76" s="89">
        <f t="shared" ca="1" si="15"/>
        <v>5694441</v>
      </c>
      <c r="O76" s="88">
        <v>73</v>
      </c>
      <c r="P76" s="89">
        <f t="shared" ca="1" si="16"/>
        <v>339193443.89155746</v>
      </c>
      <c r="Q76" s="89">
        <f t="shared" ca="1" si="17"/>
        <v>2616575.230093962</v>
      </c>
      <c r="R76" s="89">
        <f t="shared" ca="1" si="18"/>
        <v>3077865.769906038</v>
      </c>
      <c r="S76" s="89">
        <f t="shared" ca="1" si="19"/>
        <v>5694441</v>
      </c>
      <c r="AF76" s="88">
        <v>73</v>
      </c>
      <c r="AG76" s="90">
        <f t="shared" ca="1" si="20"/>
        <v>2454256.2914998191</v>
      </c>
      <c r="AH76" s="90">
        <f t="shared" ca="1" si="21"/>
        <v>623609.47840621881</v>
      </c>
      <c r="AI76" s="90">
        <f t="shared" ca="1" si="22"/>
        <v>335482963.94669878</v>
      </c>
      <c r="AJ76" s="90">
        <f t="shared" ca="1" si="23"/>
        <v>-3710479.9448587159</v>
      </c>
    </row>
    <row r="77" spans="1:36" x14ac:dyDescent="0.2">
      <c r="B77" s="94"/>
      <c r="C77" s="103"/>
      <c r="D77" s="97"/>
      <c r="E77" s="97"/>
      <c r="G77" s="88">
        <v>74</v>
      </c>
      <c r="H77" s="89">
        <f t="shared" ca="1" si="12"/>
        <v>331273761.40580499</v>
      </c>
      <c r="I77" s="89">
        <f t="shared" ca="1" si="13"/>
        <v>2939962.8889374975</v>
      </c>
      <c r="J77" s="89">
        <f t="shared" ca="1" si="14"/>
        <v>2754478.1110625025</v>
      </c>
      <c r="K77" s="89">
        <f t="shared" ca="1" si="15"/>
        <v>5694441</v>
      </c>
      <c r="O77" s="88">
        <v>74</v>
      </c>
      <c r="P77" s="89">
        <f t="shared" ca="1" si="16"/>
        <v>336553307.42310137</v>
      </c>
      <c r="Q77" s="89">
        <f t="shared" ca="1" si="17"/>
        <v>2640136.4684560946</v>
      </c>
      <c r="R77" s="89">
        <f t="shared" ca="1" si="18"/>
        <v>3054304.5315439054</v>
      </c>
      <c r="S77" s="89">
        <f t="shared" ca="1" si="19"/>
        <v>5694441</v>
      </c>
      <c r="AF77" s="88">
        <v>74</v>
      </c>
      <c r="AG77" s="90">
        <f t="shared" ca="1" si="20"/>
        <v>2430779.1723893299</v>
      </c>
      <c r="AH77" s="90">
        <f t="shared" ca="1" si="21"/>
        <v>623525.3591545755</v>
      </c>
      <c r="AI77" s="90">
        <f t="shared" ca="1" si="22"/>
        <v>332219302.11908811</v>
      </c>
      <c r="AJ77" s="90">
        <f t="shared" ca="1" si="23"/>
        <v>-4334005.3040132914</v>
      </c>
    </row>
    <row r="78" spans="1:36" x14ac:dyDescent="0.2">
      <c r="G78" s="88">
        <v>75</v>
      </c>
      <c r="H78" s="89">
        <f t="shared" ca="1" si="12"/>
        <v>328309568.32272452</v>
      </c>
      <c r="I78" s="89">
        <f t="shared" ca="1" si="13"/>
        <v>2964193.0830804906</v>
      </c>
      <c r="J78" s="89">
        <f t="shared" ca="1" si="14"/>
        <v>2730247.9169195094</v>
      </c>
      <c r="K78" s="89">
        <f t="shared" ca="1" si="15"/>
        <v>5694441</v>
      </c>
      <c r="O78" s="88">
        <v>75</v>
      </c>
      <c r="P78" s="89">
        <f t="shared" ca="1" si="16"/>
        <v>333889397.55653065</v>
      </c>
      <c r="Q78" s="89">
        <f t="shared" ca="1" si="17"/>
        <v>2663909.8665707051</v>
      </c>
      <c r="R78" s="89">
        <f t="shared" ca="1" si="18"/>
        <v>3030531.1334292949</v>
      </c>
      <c r="S78" s="89">
        <f t="shared" ca="1" si="19"/>
        <v>5694441</v>
      </c>
      <c r="AF78" s="88">
        <v>75</v>
      </c>
      <c r="AG78" s="90">
        <f t="shared" ca="1" si="20"/>
        <v>2407131.9471980724</v>
      </c>
      <c r="AH78" s="90">
        <f t="shared" ca="1" si="21"/>
        <v>623399.18623122247</v>
      </c>
      <c r="AI78" s="90">
        <f t="shared" ca="1" si="22"/>
        <v>328931993.06628621</v>
      </c>
      <c r="AJ78" s="90">
        <f t="shared" ca="1" si="23"/>
        <v>-4957404.4902445134</v>
      </c>
    </row>
    <row r="79" spans="1:36" x14ac:dyDescent="0.2">
      <c r="G79" s="88">
        <v>76</v>
      </c>
      <c r="H79" s="89">
        <f t="shared" ca="1" si="12"/>
        <v>325320945.34831762</v>
      </c>
      <c r="I79" s="89">
        <f t="shared" ca="1" si="13"/>
        <v>2988622.9744068789</v>
      </c>
      <c r="J79" s="89">
        <f t="shared" ca="1" si="14"/>
        <v>2705818.0255931211</v>
      </c>
      <c r="K79" s="89">
        <f t="shared" ca="1" si="15"/>
        <v>5694441</v>
      </c>
      <c r="O79" s="88">
        <v>76</v>
      </c>
      <c r="P79" s="89">
        <f t="shared" ca="1" si="16"/>
        <v>331201500.22167712</v>
      </c>
      <c r="Q79" s="89">
        <f t="shared" ca="1" si="17"/>
        <v>2687897.3348535313</v>
      </c>
      <c r="R79" s="89">
        <f t="shared" ca="1" si="18"/>
        <v>3006543.6651464687</v>
      </c>
      <c r="S79" s="89">
        <f t="shared" ca="1" si="19"/>
        <v>5694441</v>
      </c>
      <c r="AF79" s="88">
        <v>76</v>
      </c>
      <c r="AG79" s="90">
        <f t="shared" ca="1" si="20"/>
        <v>2383313.3834034968</v>
      </c>
      <c r="AH79" s="90">
        <f t="shared" ca="1" si="21"/>
        <v>623230.28174297186</v>
      </c>
      <c r="AI79" s="90">
        <f t="shared" ca="1" si="22"/>
        <v>325620865.44968969</v>
      </c>
      <c r="AJ79" s="90">
        <f t="shared" ca="1" si="23"/>
        <v>-5580634.7719874848</v>
      </c>
    </row>
    <row r="80" spans="1:36" x14ac:dyDescent="0.2">
      <c r="A80" s="99"/>
      <c r="G80" s="88">
        <v>77</v>
      </c>
      <c r="H80" s="89">
        <f t="shared" ca="1" si="12"/>
        <v>322307691.13956332</v>
      </c>
      <c r="I80" s="89">
        <f t="shared" ca="1" si="13"/>
        <v>3013254.208754282</v>
      </c>
      <c r="J80" s="89">
        <f t="shared" ca="1" si="14"/>
        <v>2681186.791245718</v>
      </c>
      <c r="K80" s="89">
        <f t="shared" ca="1" si="15"/>
        <v>5694441</v>
      </c>
      <c r="O80" s="88">
        <v>77</v>
      </c>
      <c r="P80" s="89">
        <f t="shared" ca="1" si="16"/>
        <v>328489399.42075425</v>
      </c>
      <c r="Q80" s="89">
        <f t="shared" ca="1" si="17"/>
        <v>2712100.8009228595</v>
      </c>
      <c r="R80" s="89">
        <f t="shared" ca="1" si="18"/>
        <v>2982340.1990771405</v>
      </c>
      <c r="S80" s="89">
        <f t="shared" ca="1" si="19"/>
        <v>5694441</v>
      </c>
      <c r="AF80" s="88">
        <v>77</v>
      </c>
      <c r="AG80" s="90">
        <f t="shared" ca="1" si="20"/>
        <v>2359322.239552673</v>
      </c>
      <c r="AH80" s="90">
        <f t="shared" ca="1" si="21"/>
        <v>623017.95952446759</v>
      </c>
      <c r="AI80" s="90">
        <f t="shared" ca="1" si="22"/>
        <v>322285746.68924236</v>
      </c>
      <c r="AJ80" s="90">
        <f t="shared" ca="1" si="23"/>
        <v>-6203652.7315119524</v>
      </c>
    </row>
    <row r="81" spans="1:36" x14ac:dyDescent="0.2">
      <c r="C81" s="85"/>
      <c r="G81" s="88">
        <v>78</v>
      </c>
      <c r="H81" s="89">
        <f t="shared" ca="1" si="12"/>
        <v>319269602.69403857</v>
      </c>
      <c r="I81" s="89">
        <f t="shared" ca="1" si="13"/>
        <v>3038088.4455247656</v>
      </c>
      <c r="J81" s="89">
        <f t="shared" ca="1" si="14"/>
        <v>2656352.5544752344</v>
      </c>
      <c r="K81" s="89">
        <f t="shared" ca="1" si="15"/>
        <v>5694441</v>
      </c>
      <c r="O81" s="88">
        <v>78</v>
      </c>
      <c r="P81" s="89">
        <f t="shared" ca="1" si="16"/>
        <v>325752877.21099985</v>
      </c>
      <c r="Q81" s="89">
        <f t="shared" ca="1" si="17"/>
        <v>2736522.209754426</v>
      </c>
      <c r="R81" s="89">
        <f t="shared" ca="1" si="18"/>
        <v>2957918.790245574</v>
      </c>
      <c r="S81" s="89">
        <f t="shared" ca="1" si="19"/>
        <v>5694441</v>
      </c>
      <c r="AF81" s="88">
        <v>78</v>
      </c>
      <c r="AG81" s="90">
        <f t="shared" ca="1" si="20"/>
        <v>2335157.2651975872</v>
      </c>
      <c r="AH81" s="90">
        <f t="shared" ca="1" si="21"/>
        <v>622761.52504798677</v>
      </c>
      <c r="AI81" s="90">
        <f t="shared" ca="1" si="22"/>
        <v>318926462.95444</v>
      </c>
      <c r="AJ81" s="90">
        <f t="shared" ca="1" si="23"/>
        <v>-6826414.2565599391</v>
      </c>
    </row>
    <row r="82" spans="1:36" x14ac:dyDescent="0.2">
      <c r="G82" s="88">
        <v>79</v>
      </c>
      <c r="H82" s="89">
        <f t="shared" ca="1" si="12"/>
        <v>316206475.33624196</v>
      </c>
      <c r="I82" s="89">
        <f t="shared" ca="1" si="13"/>
        <v>3063127.3577966322</v>
      </c>
      <c r="J82" s="89">
        <f t="shared" ca="1" si="14"/>
        <v>2631313.6422033678</v>
      </c>
      <c r="K82" s="89">
        <f t="shared" ca="1" si="15"/>
        <v>5694441</v>
      </c>
      <c r="O82" s="88">
        <v>79</v>
      </c>
      <c r="P82" s="89">
        <f t="shared" ca="1" si="16"/>
        <v>322991713.68716216</v>
      </c>
      <c r="Q82" s="89">
        <f t="shared" ca="1" si="17"/>
        <v>2761163.5238377121</v>
      </c>
      <c r="R82" s="89">
        <f t="shared" ca="1" si="18"/>
        <v>2933277.4761622879</v>
      </c>
      <c r="S82" s="89">
        <f t="shared" ca="1" si="19"/>
        <v>5694441</v>
      </c>
      <c r="AF82" s="88">
        <v>79</v>
      </c>
      <c r="AG82" s="90">
        <f t="shared" ca="1" si="20"/>
        <v>2310817.2008299632</v>
      </c>
      <c r="AH82" s="90">
        <f t="shared" ca="1" si="21"/>
        <v>622460.27533232467</v>
      </c>
      <c r="AI82" s="90">
        <f t="shared" ca="1" si="22"/>
        <v>315542839.15526998</v>
      </c>
      <c r="AJ82" s="90">
        <f t="shared" ca="1" si="23"/>
        <v>-7448874.5318922643</v>
      </c>
    </row>
    <row r="83" spans="1:36" x14ac:dyDescent="0.2">
      <c r="G83" s="88">
        <v>80</v>
      </c>
      <c r="H83" s="89">
        <f t="shared" ca="1" si="12"/>
        <v>313118102.70380485</v>
      </c>
      <c r="I83" s="89">
        <f t="shared" ca="1" si="13"/>
        <v>3088372.6324371393</v>
      </c>
      <c r="J83" s="89">
        <f t="shared" ca="1" si="14"/>
        <v>2606068.3675628607</v>
      </c>
      <c r="K83" s="89">
        <f t="shared" ca="1" si="15"/>
        <v>5694441</v>
      </c>
      <c r="O83" s="88">
        <v>80</v>
      </c>
      <c r="P83" s="89">
        <f t="shared" ca="1" si="16"/>
        <v>320205686.9638285</v>
      </c>
      <c r="Q83" s="89">
        <f t="shared" ca="1" si="17"/>
        <v>2786026.7233336535</v>
      </c>
      <c r="R83" s="89">
        <f t="shared" ca="1" si="18"/>
        <v>2908414.2766663465</v>
      </c>
      <c r="S83" s="89">
        <f t="shared" ca="1" si="19"/>
        <v>5694441</v>
      </c>
      <c r="AF83" s="88">
        <v>80</v>
      </c>
      <c r="AG83" s="90">
        <f t="shared" ca="1" si="20"/>
        <v>2286300.777815619</v>
      </c>
      <c r="AH83" s="90">
        <f t="shared" ca="1" si="21"/>
        <v>622113.49885072745</v>
      </c>
      <c r="AI83" s="90">
        <f t="shared" ca="1" si="22"/>
        <v>312134698.93308562</v>
      </c>
      <c r="AJ83" s="90">
        <f t="shared" ca="1" si="23"/>
        <v>-8070988.0307429917</v>
      </c>
    </row>
    <row r="84" spans="1:36" x14ac:dyDescent="0.2">
      <c r="G84" s="88">
        <v>81</v>
      </c>
      <c r="H84" s="89">
        <f t="shared" ca="1" si="12"/>
        <v>310004276.7335887</v>
      </c>
      <c r="I84" s="89">
        <f t="shared" ca="1" si="13"/>
        <v>3113825.9702161415</v>
      </c>
      <c r="J84" s="89">
        <f t="shared" ca="1" si="14"/>
        <v>2580615.0297838585</v>
      </c>
      <c r="K84" s="89">
        <f t="shared" ca="1" si="15"/>
        <v>5694441</v>
      </c>
      <c r="O84" s="88">
        <v>81</v>
      </c>
      <c r="P84" s="89">
        <f t="shared" ca="1" si="16"/>
        <v>317394573.15759474</v>
      </c>
      <c r="Q84" s="89">
        <f t="shared" ca="1" si="17"/>
        <v>2811113.8062337604</v>
      </c>
      <c r="R84" s="89">
        <f t="shared" ca="1" si="18"/>
        <v>2883327.1937662396</v>
      </c>
      <c r="S84" s="89">
        <f t="shared" ca="1" si="19"/>
        <v>5694441</v>
      </c>
      <c r="AF84" s="88">
        <v>81</v>
      </c>
      <c r="AG84" s="90">
        <f t="shared" ca="1" si="20"/>
        <v>2261606.7183283409</v>
      </c>
      <c r="AH84" s="90">
        <f t="shared" ca="1" si="21"/>
        <v>621720.47543789865</v>
      </c>
      <c r="AI84" s="90">
        <f t="shared" ca="1" si="22"/>
        <v>308701864.65141398</v>
      </c>
      <c r="AJ84" s="90">
        <f t="shared" ca="1" si="23"/>
        <v>-8692708.5061808899</v>
      </c>
    </row>
    <row r="85" spans="1:36" ht="21" x14ac:dyDescent="0.3">
      <c r="C85" s="102"/>
      <c r="G85" s="88">
        <v>82</v>
      </c>
      <c r="H85" s="89">
        <f t="shared" ca="1" si="12"/>
        <v>306864787.647668</v>
      </c>
      <c r="I85" s="89">
        <f t="shared" ca="1" si="13"/>
        <v>3139489.0859206733</v>
      </c>
      <c r="J85" s="89">
        <f t="shared" ca="1" si="14"/>
        <v>2554951.9140793267</v>
      </c>
      <c r="K85" s="89">
        <f t="shared" ca="1" si="15"/>
        <v>5694441</v>
      </c>
      <c r="O85" s="88">
        <v>82</v>
      </c>
      <c r="P85" s="89">
        <f t="shared" ca="1" si="16"/>
        <v>314558146.36907405</v>
      </c>
      <c r="Q85" s="89">
        <f t="shared" ca="1" si="17"/>
        <v>2836426.7885206775</v>
      </c>
      <c r="R85" s="89">
        <f t="shared" ca="1" si="18"/>
        <v>2858014.2114793225</v>
      </c>
      <c r="S85" s="89">
        <f t="shared" ca="1" si="19"/>
        <v>5694441</v>
      </c>
      <c r="AF85" s="88">
        <v>82</v>
      </c>
      <c r="AG85" s="90">
        <f t="shared" ca="1" si="20"/>
        <v>2236733.7352832844</v>
      </c>
      <c r="AH85" s="90">
        <f t="shared" ca="1" si="21"/>
        <v>621280.47619603807</v>
      </c>
      <c r="AI85" s="90">
        <f t="shared" ca="1" si="22"/>
        <v>305244157.38669723</v>
      </c>
      <c r="AJ85" s="90">
        <f t="shared" ca="1" si="23"/>
        <v>-9313988.9823769275</v>
      </c>
    </row>
    <row r="86" spans="1:36" ht="21" x14ac:dyDescent="0.3">
      <c r="C86" s="102"/>
      <c r="G86" s="88">
        <v>83</v>
      </c>
      <c r="H86" s="89">
        <f t="shared" ca="1" si="12"/>
        <v>303699423.93919754</v>
      </c>
      <c r="I86" s="89">
        <f t="shared" ca="1" si="13"/>
        <v>3165363.7084704693</v>
      </c>
      <c r="J86" s="89">
        <f t="shared" ca="1" si="14"/>
        <v>2529077.2915295307</v>
      </c>
      <c r="K86" s="89">
        <f t="shared" ca="1" si="15"/>
        <v>5694441</v>
      </c>
      <c r="O86" s="88">
        <v>83</v>
      </c>
      <c r="P86" s="89">
        <f t="shared" ca="1" si="16"/>
        <v>311696178.66474384</v>
      </c>
      <c r="Q86" s="89">
        <f t="shared" ca="1" si="17"/>
        <v>2861967.7043301854</v>
      </c>
      <c r="R86" s="89">
        <f t="shared" ca="1" si="18"/>
        <v>2832473.2956698146</v>
      </c>
      <c r="S86" s="89">
        <f t="shared" ca="1" si="19"/>
        <v>5694441</v>
      </c>
      <c r="AF86" s="88">
        <v>83</v>
      </c>
      <c r="AG86" s="90">
        <f t="shared" ca="1" si="20"/>
        <v>2211680.5322698876</v>
      </c>
      <c r="AH86" s="90">
        <f t="shared" ca="1" si="21"/>
        <v>620792.76339992695</v>
      </c>
      <c r="AI86" s="90">
        <f t="shared" ca="1" si="22"/>
        <v>301761396.91896713</v>
      </c>
      <c r="AJ86" s="90">
        <f t="shared" ca="1" si="23"/>
        <v>-9934781.7457768545</v>
      </c>
    </row>
    <row r="87" spans="1:36" ht="21" x14ac:dyDescent="0.3">
      <c r="A87" s="99"/>
      <c r="C87" s="102"/>
      <c r="G87" s="88">
        <v>84</v>
      </c>
      <c r="H87" s="89">
        <f t="shared" ca="1" si="12"/>
        <v>300507972.35816312</v>
      </c>
      <c r="I87" s="89">
        <f t="shared" ca="1" si="13"/>
        <v>3191451.5810344466</v>
      </c>
      <c r="J87" s="89">
        <f t="shared" ca="1" si="14"/>
        <v>2502989.4189655534</v>
      </c>
      <c r="K87" s="89">
        <f t="shared" ca="1" si="15"/>
        <v>5694441</v>
      </c>
      <c r="O87" s="88">
        <v>84</v>
      </c>
      <c r="P87" s="89">
        <f t="shared" ca="1" si="16"/>
        <v>308808440.05862916</v>
      </c>
      <c r="Q87" s="89">
        <f t="shared" ca="1" si="17"/>
        <v>2887738.6061146632</v>
      </c>
      <c r="R87" s="89">
        <f t="shared" ca="1" si="18"/>
        <v>2806702.3938853368</v>
      </c>
      <c r="S87" s="89">
        <f t="shared" ca="1" si="19"/>
        <v>5694441</v>
      </c>
      <c r="AF87" s="88">
        <v>84</v>
      </c>
      <c r="AG87" s="90">
        <f t="shared" ca="1" si="20"/>
        <v>2186445.8034843025</v>
      </c>
      <c r="AH87" s="90">
        <f t="shared" ca="1" si="21"/>
        <v>620256.59040103434</v>
      </c>
      <c r="AI87" s="90">
        <f t="shared" ca="1" si="22"/>
        <v>298253401.72245139</v>
      </c>
      <c r="AJ87" s="90">
        <f t="shared" ca="1" si="23"/>
        <v>-10555038.336177889</v>
      </c>
    </row>
    <row r="88" spans="1:36" ht="21" x14ac:dyDescent="0.3">
      <c r="C88" s="117"/>
      <c r="G88" s="88">
        <v>85</v>
      </c>
      <c r="H88" s="89">
        <f t="shared" ca="1" si="12"/>
        <v>297290217.89701498</v>
      </c>
      <c r="I88" s="89">
        <f t="shared" ca="1" si="13"/>
        <v>3217754.4611481386</v>
      </c>
      <c r="J88" s="89">
        <f t="shared" ca="1" si="14"/>
        <v>2476686.5388518614</v>
      </c>
      <c r="K88" s="89">
        <f t="shared" ca="1" si="15"/>
        <v>5694441</v>
      </c>
      <c r="O88" s="88">
        <v>85</v>
      </c>
      <c r="P88" s="89">
        <f t="shared" ca="1" si="16"/>
        <v>305894698.49382114</v>
      </c>
      <c r="Q88" s="89">
        <f t="shared" ca="1" si="17"/>
        <v>2913741.5648080227</v>
      </c>
      <c r="R88" s="89">
        <f t="shared" ca="1" si="18"/>
        <v>2780699.4351919773</v>
      </c>
      <c r="S88" s="89">
        <f t="shared" ca="1" si="19"/>
        <v>5694441</v>
      </c>
      <c r="AF88" s="88">
        <v>85</v>
      </c>
      <c r="AG88" s="90">
        <f t="shared" ca="1" si="20"/>
        <v>2161028.2336613317</v>
      </c>
      <c r="AH88" s="90">
        <f t="shared" ca="1" si="21"/>
        <v>619671.2015306456</v>
      </c>
      <c r="AI88" s="90">
        <f t="shared" ca="1" si="22"/>
        <v>294719988.95611274</v>
      </c>
      <c r="AJ88" s="90">
        <f t="shared" ca="1" si="23"/>
        <v>-11174709.537708536</v>
      </c>
    </row>
    <row r="89" spans="1:36" ht="21" x14ac:dyDescent="0.3">
      <c r="C89" s="102"/>
      <c r="G89" s="88">
        <v>86</v>
      </c>
      <c r="H89" s="89">
        <f t="shared" ca="1" si="12"/>
        <v>294045943.77618289</v>
      </c>
      <c r="I89" s="89">
        <f t="shared" ca="1" si="13"/>
        <v>3244274.1208321014</v>
      </c>
      <c r="J89" s="89">
        <f t="shared" ca="1" si="14"/>
        <v>2450166.8791678986</v>
      </c>
      <c r="K89" s="89">
        <f t="shared" ca="1" si="15"/>
        <v>5694441</v>
      </c>
      <c r="O89" s="88">
        <v>86</v>
      </c>
      <c r="P89" s="89">
        <f t="shared" ca="1" si="16"/>
        <v>302954719.823829</v>
      </c>
      <c r="Q89" s="89">
        <f t="shared" ca="1" si="17"/>
        <v>2939978.6699921251</v>
      </c>
      <c r="R89" s="89">
        <f t="shared" ca="1" si="18"/>
        <v>2754462.3300078749</v>
      </c>
      <c r="S89" s="89">
        <f t="shared" ca="1" si="19"/>
        <v>5694441</v>
      </c>
      <c r="AF89" s="88">
        <v>86</v>
      </c>
      <c r="AG89" s="90">
        <f t="shared" ca="1" si="20"/>
        <v>2135426.498005881</v>
      </c>
      <c r="AH89" s="90">
        <f t="shared" ca="1" si="21"/>
        <v>619035.8320019939</v>
      </c>
      <c r="AI89" s="90">
        <f t="shared" ca="1" si="22"/>
        <v>291160974.45411861</v>
      </c>
      <c r="AJ89" s="90">
        <f t="shared" ca="1" si="23"/>
        <v>-11793745.369710529</v>
      </c>
    </row>
    <row r="90" spans="1:36" ht="21" x14ac:dyDescent="0.3">
      <c r="A90" s="99"/>
      <c r="C90" s="102"/>
      <c r="G90" s="88">
        <v>87</v>
      </c>
      <c r="H90" s="89">
        <f t="shared" ca="1" si="12"/>
        <v>290774931.42947161</v>
      </c>
      <c r="I90" s="89">
        <f t="shared" ca="1" si="13"/>
        <v>3271012.3467112924</v>
      </c>
      <c r="J90" s="89">
        <f t="shared" ca="1" si="14"/>
        <v>2423428.6532887076</v>
      </c>
      <c r="K90" s="89">
        <f t="shared" ca="1" si="15"/>
        <v>5694441</v>
      </c>
      <c r="O90" s="88">
        <v>87</v>
      </c>
      <c r="P90" s="89">
        <f t="shared" ca="1" si="16"/>
        <v>299988267.79376429</v>
      </c>
      <c r="Q90" s="89">
        <f t="shared" ca="1" si="17"/>
        <v>2966452.0300647048</v>
      </c>
      <c r="R90" s="89">
        <f t="shared" ca="1" si="18"/>
        <v>2727988.9699352952</v>
      </c>
      <c r="S90" s="89">
        <f t="shared" ca="1" si="19"/>
        <v>5694441</v>
      </c>
      <c r="AF90" s="88">
        <v>87</v>
      </c>
      <c r="AG90" s="90">
        <f t="shared" ca="1" si="20"/>
        <v>2109639.2621239023</v>
      </c>
      <c r="AH90" s="90">
        <f t="shared" ca="1" si="21"/>
        <v>618349.70781139284</v>
      </c>
      <c r="AI90" s="90">
        <f t="shared" ca="1" si="22"/>
        <v>287576172.71624249</v>
      </c>
      <c r="AJ90" s="90">
        <f t="shared" ca="1" si="23"/>
        <v>-12412095.077521922</v>
      </c>
    </row>
    <row r="91" spans="1:36" ht="21" x14ac:dyDescent="0.3">
      <c r="C91" s="102"/>
      <c r="G91" s="88">
        <v>88</v>
      </c>
      <c r="H91" s="89">
        <f t="shared" ca="1" si="12"/>
        <v>287476960.48933619</v>
      </c>
      <c r="I91" s="89">
        <f t="shared" ca="1" si="13"/>
        <v>3297970.940135438</v>
      </c>
      <c r="J91" s="89">
        <f t="shared" ca="1" si="14"/>
        <v>2396470.059864562</v>
      </c>
      <c r="K91" s="89">
        <f t="shared" ca="1" si="15"/>
        <v>5694441</v>
      </c>
      <c r="O91" s="88">
        <v>88</v>
      </c>
      <c r="P91" s="89">
        <f t="shared" ca="1" si="16"/>
        <v>296995104.02135551</v>
      </c>
      <c r="Q91" s="89">
        <f t="shared" ca="1" si="17"/>
        <v>2993163.77240879</v>
      </c>
      <c r="R91" s="89">
        <f t="shared" ca="1" si="18"/>
        <v>2701277.22759121</v>
      </c>
      <c r="S91" s="89">
        <f t="shared" ca="1" si="19"/>
        <v>5694441</v>
      </c>
      <c r="AF91" s="88">
        <v>88</v>
      </c>
      <c r="AG91" s="90">
        <f t="shared" ca="1" si="20"/>
        <v>2083665.1819528483</v>
      </c>
      <c r="AH91" s="90">
        <f t="shared" ca="1" si="21"/>
        <v>617612.04563836171</v>
      </c>
      <c r="AI91" s="90">
        <f t="shared" ca="1" si="22"/>
        <v>283965396.89819533</v>
      </c>
      <c r="AJ91" s="90">
        <f t="shared" ca="1" si="23"/>
        <v>-13029707.123160284</v>
      </c>
    </row>
    <row r="92" spans="1:36" ht="21" x14ac:dyDescent="0.3">
      <c r="C92" s="117"/>
      <c r="G92" s="88">
        <v>89</v>
      </c>
      <c r="H92" s="89">
        <f t="shared" ca="1" si="12"/>
        <v>284151808.77203578</v>
      </c>
      <c r="I92" s="89">
        <f t="shared" ca="1" si="13"/>
        <v>3325151.7173003876</v>
      </c>
      <c r="J92" s="89">
        <f t="shared" ca="1" si="14"/>
        <v>2369289.2826996124</v>
      </c>
      <c r="K92" s="89">
        <f t="shared" ca="1" si="15"/>
        <v>5694441</v>
      </c>
      <c r="O92" s="88">
        <v>89</v>
      </c>
      <c r="P92" s="89">
        <f t="shared" ca="1" si="16"/>
        <v>293974987.97779185</v>
      </c>
      <c r="Q92" s="89">
        <f t="shared" ca="1" si="17"/>
        <v>3020116.0435636654</v>
      </c>
      <c r="R92" s="89">
        <f t="shared" ca="1" si="18"/>
        <v>2674324.9564363346</v>
      </c>
      <c r="S92" s="89">
        <f t="shared" ca="1" si="19"/>
        <v>5694441</v>
      </c>
      <c r="AF92" s="88">
        <v>89</v>
      </c>
      <c r="AG92" s="90">
        <f t="shared" ca="1" si="20"/>
        <v>2057502.9036916171</v>
      </c>
      <c r="AH92" s="90">
        <f t="shared" ca="1" si="21"/>
        <v>616822.05274471757</v>
      </c>
      <c r="AI92" s="90">
        <f t="shared" ca="1" si="22"/>
        <v>280328458.80188692</v>
      </c>
      <c r="AJ92" s="90">
        <f t="shared" ca="1" si="23"/>
        <v>-13646529.175905002</v>
      </c>
    </row>
    <row r="93" spans="1:36" x14ac:dyDescent="0.2">
      <c r="G93" s="88">
        <v>90</v>
      </c>
      <c r="H93" s="89">
        <f t="shared" ca="1" si="12"/>
        <v>280799252.26266533</v>
      </c>
      <c r="I93" s="89">
        <f t="shared" ca="1" si="13"/>
        <v>3352556.5093704718</v>
      </c>
      <c r="J93" s="89">
        <f t="shared" ca="1" si="14"/>
        <v>2341884.4906295282</v>
      </c>
      <c r="K93" s="89">
        <f t="shared" ca="1" si="15"/>
        <v>5694441</v>
      </c>
      <c r="O93" s="88">
        <v>90</v>
      </c>
      <c r="P93" s="89">
        <f t="shared" ca="1" si="16"/>
        <v>290927676.96839446</v>
      </c>
      <c r="Q93" s="89">
        <f t="shared" ca="1" si="17"/>
        <v>3047311.0093973624</v>
      </c>
      <c r="R93" s="89">
        <f t="shared" ca="1" si="18"/>
        <v>2647129.9906026376</v>
      </c>
      <c r="S93" s="89">
        <f t="shared" ca="1" si="19"/>
        <v>5694441</v>
      </c>
      <c r="AF93" s="88">
        <v>90</v>
      </c>
      <c r="AG93" s="90">
        <f t="shared" ca="1" si="20"/>
        <v>2031151.0637299898</v>
      </c>
      <c r="AH93" s="90">
        <f t="shared" ca="1" si="21"/>
        <v>615978.92687264783</v>
      </c>
      <c r="AI93" s="90">
        <f t="shared" ca="1" si="22"/>
        <v>276665168.86561686</v>
      </c>
      <c r="AJ93" s="90">
        <f t="shared" ca="1" si="23"/>
        <v>-14262508.102777651</v>
      </c>
    </row>
    <row r="94" spans="1:36" x14ac:dyDescent="0.2">
      <c r="G94" s="88">
        <v>91</v>
      </c>
      <c r="H94" s="89">
        <f t="shared" ca="1" si="12"/>
        <v>277419065.10006344</v>
      </c>
      <c r="I94" s="89">
        <f t="shared" ca="1" si="13"/>
        <v>3380187.1626018663</v>
      </c>
      <c r="J94" s="89">
        <f t="shared" ca="1" si="14"/>
        <v>2314253.8373981337</v>
      </c>
      <c r="K94" s="89">
        <f t="shared" ca="1" si="15"/>
        <v>5694441</v>
      </c>
      <c r="O94" s="88">
        <v>91</v>
      </c>
      <c r="P94" s="89">
        <f t="shared" ca="1" si="16"/>
        <v>287852926.11311376</v>
      </c>
      <c r="Q94" s="89">
        <f t="shared" ca="1" si="17"/>
        <v>3074750.8552807095</v>
      </c>
      <c r="R94" s="89">
        <f t="shared" ca="1" si="18"/>
        <v>2619690.1447192905</v>
      </c>
      <c r="S94" s="89">
        <f t="shared" ca="1" si="19"/>
        <v>5694441</v>
      </c>
      <c r="AF94" s="88">
        <v>91</v>
      </c>
      <c r="AG94" s="90">
        <f t="shared" ca="1" si="20"/>
        <v>2004608.2885775578</v>
      </c>
      <c r="AH94" s="90">
        <f t="shared" ca="1" si="21"/>
        <v>615081.85614173277</v>
      </c>
      <c r="AI94" s="90">
        <f t="shared" ca="1" si="22"/>
        <v>272975336.15419441</v>
      </c>
      <c r="AJ94" s="90">
        <f t="shared" ca="1" si="23"/>
        <v>-14877589.958919384</v>
      </c>
    </row>
    <row r="95" spans="1:36" ht="21" x14ac:dyDescent="0.3">
      <c r="C95" s="102"/>
      <c r="G95" s="88">
        <v>92</v>
      </c>
      <c r="H95" s="89">
        <f t="shared" ca="1" si="12"/>
        <v>274011019.56159645</v>
      </c>
      <c r="I95" s="89">
        <f t="shared" ca="1" si="13"/>
        <v>3408045.538466977</v>
      </c>
      <c r="J95" s="89">
        <f t="shared" ca="1" si="14"/>
        <v>2286395.461533023</v>
      </c>
      <c r="K95" s="89">
        <f t="shared" ca="1" si="15"/>
        <v>5694441</v>
      </c>
      <c r="O95" s="88">
        <v>92</v>
      </c>
      <c r="P95" s="89">
        <f t="shared" ca="1" si="16"/>
        <v>284750488.32685083</v>
      </c>
      <c r="Q95" s="89">
        <f t="shared" ca="1" si="17"/>
        <v>3102437.7862629448</v>
      </c>
      <c r="R95" s="89">
        <f t="shared" ca="1" si="18"/>
        <v>2592003.2137370552</v>
      </c>
      <c r="S95" s="89">
        <f t="shared" ca="1" si="19"/>
        <v>5694441</v>
      </c>
      <c r="AF95" s="88">
        <v>92</v>
      </c>
      <c r="AG95" s="90">
        <f t="shared" ca="1" si="20"/>
        <v>1977873.1947921352</v>
      </c>
      <c r="AH95" s="90">
        <f t="shared" ca="1" si="21"/>
        <v>614130.01894492004</v>
      </c>
      <c r="AI95" s="90">
        <f t="shared" ca="1" si="22"/>
        <v>269258768.34898657</v>
      </c>
      <c r="AJ95" s="90">
        <f t="shared" ca="1" si="23"/>
        <v>-15491719.977864303</v>
      </c>
    </row>
    <row r="96" spans="1:36" x14ac:dyDescent="0.2">
      <c r="C96" s="118"/>
      <c r="G96" s="88">
        <v>93</v>
      </c>
      <c r="H96" s="89">
        <f t="shared" ca="1" si="12"/>
        <v>270574886.04781663</v>
      </c>
      <c r="I96" s="89">
        <f t="shared" ca="1" si="13"/>
        <v>3436133.5137798428</v>
      </c>
      <c r="J96" s="89">
        <f t="shared" ca="1" si="14"/>
        <v>2258307.4862201572</v>
      </c>
      <c r="K96" s="89">
        <f t="shared" ca="1" si="15"/>
        <v>5694441</v>
      </c>
      <c r="O96" s="88">
        <v>93</v>
      </c>
      <c r="P96" s="89">
        <f t="shared" ca="1" si="16"/>
        <v>281620114.29960191</v>
      </c>
      <c r="Q96" s="89">
        <f t="shared" ca="1" si="17"/>
        <v>3130374.0272489158</v>
      </c>
      <c r="R96" s="89">
        <f t="shared" ca="1" si="18"/>
        <v>2564066.9727510842</v>
      </c>
      <c r="S96" s="89">
        <f t="shared" ca="1" si="19"/>
        <v>5694441</v>
      </c>
      <c r="AF96" s="88">
        <v>93</v>
      </c>
      <c r="AG96" s="90">
        <f t="shared" ca="1" si="20"/>
        <v>1950944.3889076514</v>
      </c>
      <c r="AH96" s="90">
        <f t="shared" ca="1" si="21"/>
        <v>613122.58384343283</v>
      </c>
      <c r="AI96" s="90">
        <f t="shared" ca="1" si="22"/>
        <v>265515271.73789421</v>
      </c>
      <c r="AJ96" s="90">
        <f t="shared" ca="1" si="23"/>
        <v>-16104842.561707735</v>
      </c>
    </row>
    <row r="97" spans="1:36" x14ac:dyDescent="0.2">
      <c r="G97" s="88">
        <v>94</v>
      </c>
      <c r="H97" s="89">
        <f t="shared" ca="1" si="12"/>
        <v>267110433.06699407</v>
      </c>
      <c r="I97" s="89">
        <f t="shared" ca="1" si="13"/>
        <v>3464452.9808225776</v>
      </c>
      <c r="J97" s="89">
        <f t="shared" ca="1" si="14"/>
        <v>2229988.0191774224</v>
      </c>
      <c r="K97" s="89">
        <f t="shared" ca="1" si="15"/>
        <v>5694441</v>
      </c>
      <c r="O97" s="88">
        <v>94</v>
      </c>
      <c r="P97" s="89">
        <f t="shared" ca="1" si="16"/>
        <v>278461552.47642404</v>
      </c>
      <c r="Q97" s="89">
        <f t="shared" ca="1" si="17"/>
        <v>3158561.823177868</v>
      </c>
      <c r="R97" s="89">
        <f t="shared" ca="1" si="18"/>
        <v>2535879.176822132</v>
      </c>
      <c r="S97" s="89">
        <f t="shared" ca="1" si="19"/>
        <v>5694441</v>
      </c>
      <c r="AF97" s="88">
        <v>94</v>
      </c>
      <c r="AG97" s="90">
        <f t="shared" ca="1" si="20"/>
        <v>1923820.4673615217</v>
      </c>
      <c r="AH97" s="90">
        <f t="shared" ca="1" si="21"/>
        <v>612058.70946061029</v>
      </c>
      <c r="AI97" s="90">
        <f t="shared" ca="1" si="22"/>
        <v>261744651.20525572</v>
      </c>
      <c r="AJ97" s="90">
        <f t="shared" ca="1" si="23"/>
        <v>-16716901.271168346</v>
      </c>
    </row>
    <row r="98" spans="1:36" x14ac:dyDescent="0.2">
      <c r="A98" s="103"/>
      <c r="B98" s="103"/>
      <c r="C98" s="103"/>
      <c r="D98" s="103"/>
      <c r="G98" s="88">
        <v>95</v>
      </c>
      <c r="H98" s="89">
        <f t="shared" ca="1" si="12"/>
        <v>263617427.21952122</v>
      </c>
      <c r="I98" s="89">
        <f t="shared" ca="1" si="13"/>
        <v>3493005.8474728572</v>
      </c>
      <c r="J98" s="89">
        <f t="shared" ca="1" si="14"/>
        <v>2201435.1525271428</v>
      </c>
      <c r="K98" s="89">
        <f t="shared" ca="1" si="15"/>
        <v>5694441</v>
      </c>
      <c r="O98" s="88">
        <v>95</v>
      </c>
      <c r="P98" s="89">
        <f t="shared" ca="1" si="16"/>
        <v>275274549.03722018</v>
      </c>
      <c r="Q98" s="89">
        <f t="shared" ca="1" si="17"/>
        <v>3187003.4392038486</v>
      </c>
      <c r="R98" s="89">
        <f t="shared" ca="1" si="18"/>
        <v>2507437.5607961514</v>
      </c>
      <c r="S98" s="89">
        <f t="shared" ca="1" si="19"/>
        <v>5694441</v>
      </c>
      <c r="AF98" s="88">
        <v>95</v>
      </c>
      <c r="AG98" s="90">
        <f t="shared" ca="1" si="20"/>
        <v>1896500.0164214929</v>
      </c>
      <c r="AH98" s="90">
        <f t="shared" ca="1" si="21"/>
        <v>610937.54437465849</v>
      </c>
      <c r="AI98" s="90">
        <f t="shared" ca="1" si="22"/>
        <v>257946710.22167721</v>
      </c>
      <c r="AJ98" s="90">
        <f t="shared" ca="1" si="23"/>
        <v>-17327838.815543003</v>
      </c>
    </row>
    <row r="99" spans="1:36" x14ac:dyDescent="0.2">
      <c r="A99" s="103"/>
      <c r="B99" s="103"/>
      <c r="C99" s="103"/>
      <c r="D99" s="103"/>
      <c r="G99" s="88">
        <v>96</v>
      </c>
      <c r="H99" s="89">
        <f t="shared" ca="1" si="12"/>
        <v>260095633.18218878</v>
      </c>
      <c r="I99" s="89">
        <f t="shared" ca="1" si="13"/>
        <v>3521794.0373324458</v>
      </c>
      <c r="J99" s="89">
        <f t="shared" ca="1" si="14"/>
        <v>2172646.9626675542</v>
      </c>
      <c r="K99" s="89">
        <f t="shared" ca="1" si="15"/>
        <v>5694441</v>
      </c>
      <c r="O99" s="88">
        <v>96</v>
      </c>
      <c r="P99" s="89">
        <f t="shared" ca="1" si="16"/>
        <v>272058847.87634248</v>
      </c>
      <c r="Q99" s="89">
        <f t="shared" ca="1" si="17"/>
        <v>3215701.1608777335</v>
      </c>
      <c r="R99" s="89">
        <f t="shared" ca="1" si="18"/>
        <v>2478739.8391222665</v>
      </c>
      <c r="S99" s="89">
        <f t="shared" ca="1" si="19"/>
        <v>5694441</v>
      </c>
      <c r="AF99" s="88">
        <v>96</v>
      </c>
      <c r="AG99" s="90">
        <f t="shared" ca="1" si="20"/>
        <v>1868981.6121119577</v>
      </c>
      <c r="AH99" s="90">
        <f t="shared" ca="1" si="21"/>
        <v>609758.22701030876</v>
      </c>
      <c r="AI99" s="90">
        <f t="shared" ca="1" si="22"/>
        <v>254121250.83378917</v>
      </c>
      <c r="AJ99" s="90">
        <f t="shared" ca="1" si="23"/>
        <v>-17937597.042553313</v>
      </c>
    </row>
    <row r="100" spans="1:36" x14ac:dyDescent="0.2">
      <c r="A100" s="103"/>
      <c r="B100" s="103"/>
      <c r="C100" s="103"/>
      <c r="D100" s="103"/>
      <c r="E100" s="97"/>
      <c r="G100" s="88">
        <v>97</v>
      </c>
      <c r="H100" s="89">
        <f t="shared" ca="1" si="12"/>
        <v>256544813.692332</v>
      </c>
      <c r="I100" s="89">
        <f t="shared" ca="1" si="13"/>
        <v>3550819.489856794</v>
      </c>
      <c r="J100" s="89">
        <f t="shared" ca="1" si="14"/>
        <v>2143621.510143206</v>
      </c>
      <c r="K100" s="89">
        <f t="shared" ca="1" si="15"/>
        <v>5694441</v>
      </c>
      <c r="O100" s="88">
        <v>97</v>
      </c>
      <c r="P100" s="89">
        <f t="shared" ca="1" si="16"/>
        <v>268814190.58201158</v>
      </c>
      <c r="Q100" s="89">
        <f t="shared" ca="1" si="17"/>
        <v>3244657.2943308903</v>
      </c>
      <c r="R100" s="89">
        <f t="shared" ca="1" si="18"/>
        <v>2449783.7056691097</v>
      </c>
      <c r="S100" s="89">
        <f t="shared" ca="1" si="19"/>
        <v>5694441</v>
      </c>
      <c r="AF100" s="88">
        <v>97</v>
      </c>
      <c r="AG100" s="90">
        <f t="shared" ca="1" si="20"/>
        <v>1841263.8201397343</v>
      </c>
      <c r="AH100" s="90">
        <f t="shared" ca="1" si="21"/>
        <v>608519.8855293754</v>
      </c>
      <c r="AI100" s="90">
        <f t="shared" ca="1" si="22"/>
        <v>250268073.65392891</v>
      </c>
      <c r="AJ100" s="90">
        <f t="shared" ca="1" si="23"/>
        <v>-18546116.92808269</v>
      </c>
    </row>
    <row r="101" spans="1:36" x14ac:dyDescent="0.2">
      <c r="A101" s="103"/>
      <c r="C101" s="84"/>
      <c r="E101" s="97"/>
      <c r="G101" s="88">
        <v>98</v>
      </c>
      <c r="H101" s="89">
        <f t="shared" ca="1" si="12"/>
        <v>252964729.53184631</v>
      </c>
      <c r="I101" s="89">
        <f t="shared" ca="1" si="13"/>
        <v>3580084.160485697</v>
      </c>
      <c r="J101" s="89">
        <f t="shared" ca="1" si="14"/>
        <v>2114356.839514303</v>
      </c>
      <c r="K101" s="89">
        <f t="shared" ca="1" si="15"/>
        <v>5694441</v>
      </c>
      <c r="O101" s="88">
        <v>98</v>
      </c>
      <c r="P101" s="89">
        <f t="shared" ca="1" si="16"/>
        <v>265540316.41555107</v>
      </c>
      <c r="Q101" s="89">
        <f t="shared" ca="1" si="17"/>
        <v>3273874.1664605006</v>
      </c>
      <c r="R101" s="89">
        <f t="shared" ca="1" si="18"/>
        <v>2420566.8335394994</v>
      </c>
      <c r="S101" s="89">
        <f t="shared" ca="1" si="19"/>
        <v>5694441</v>
      </c>
      <c r="AF101" s="88">
        <v>98</v>
      </c>
      <c r="AG101" s="90">
        <f t="shared" ca="1" si="20"/>
        <v>1813345.1958193106</v>
      </c>
      <c r="AH101" s="90">
        <f t="shared" ca="1" si="21"/>
        <v>607221.63772018882</v>
      </c>
      <c r="AI101" s="90">
        <f t="shared" ca="1" si="22"/>
        <v>246386977.84974819</v>
      </c>
      <c r="AJ101" s="90">
        <f t="shared" ca="1" si="23"/>
        <v>-19153338.56580288</v>
      </c>
    </row>
    <row r="102" spans="1:36" x14ac:dyDescent="0.2">
      <c r="C102" s="84"/>
      <c r="E102" s="97"/>
      <c r="G102" s="88">
        <v>99</v>
      </c>
      <c r="H102" s="89">
        <f t="shared" ca="1" si="12"/>
        <v>249355139.51107129</v>
      </c>
      <c r="I102" s="89">
        <f t="shared" ca="1" si="13"/>
        <v>3609590.0207750332</v>
      </c>
      <c r="J102" s="89">
        <f t="shared" ca="1" si="14"/>
        <v>2084850.9792249668</v>
      </c>
      <c r="K102" s="89">
        <f t="shared" ca="1" si="15"/>
        <v>5694441</v>
      </c>
      <c r="O102" s="88">
        <v>99</v>
      </c>
      <c r="P102" s="89">
        <f t="shared" ca="1" si="16"/>
        <v>262236962.29043451</v>
      </c>
      <c r="Q102" s="89">
        <f t="shared" ca="1" si="17"/>
        <v>3303354.1251165462</v>
      </c>
      <c r="R102" s="89">
        <f t="shared" ca="1" si="18"/>
        <v>2391086.8748834538</v>
      </c>
      <c r="S102" s="89">
        <f t="shared" ca="1" si="19"/>
        <v>5694441</v>
      </c>
      <c r="AF102" s="88">
        <v>99</v>
      </c>
      <c r="AG102" s="90">
        <f t="shared" ca="1" si="20"/>
        <v>1785224.2839975436</v>
      </c>
      <c r="AH102" s="90">
        <f t="shared" ca="1" si="21"/>
        <v>605862.59088591021</v>
      </c>
      <c r="AI102" s="90">
        <f t="shared" ca="1" si="22"/>
        <v>242477761.13374573</v>
      </c>
      <c r="AJ102" s="90">
        <f t="shared" ca="1" si="23"/>
        <v>-19759201.156688791</v>
      </c>
    </row>
    <row r="103" spans="1:36" x14ac:dyDescent="0.2">
      <c r="E103" s="97"/>
      <c r="G103" s="88">
        <v>100</v>
      </c>
      <c r="H103" s="89">
        <f t="shared" ca="1" si="12"/>
        <v>245715800.45254171</v>
      </c>
      <c r="I103" s="89">
        <f t="shared" ca="1" si="13"/>
        <v>3639339.0585295875</v>
      </c>
      <c r="J103" s="89">
        <f t="shared" ca="1" si="14"/>
        <v>2055101.9414704125</v>
      </c>
      <c r="K103" s="89">
        <f t="shared" ca="1" si="15"/>
        <v>5694441</v>
      </c>
      <c r="O103" s="88">
        <v>100</v>
      </c>
      <c r="P103" s="89">
        <f t="shared" ca="1" si="16"/>
        <v>258903862.75114402</v>
      </c>
      <c r="Q103" s="89">
        <f t="shared" ca="1" si="17"/>
        <v>3333099.5392904817</v>
      </c>
      <c r="R103" s="89">
        <f t="shared" ca="1" si="18"/>
        <v>2361341.4607095183</v>
      </c>
      <c r="S103" s="89">
        <f t="shared" ca="1" si="19"/>
        <v>5694441</v>
      </c>
      <c r="AF103" s="88">
        <v>100</v>
      </c>
      <c r="AG103" s="90">
        <f t="shared" ca="1" si="20"/>
        <v>1756899.6189778179</v>
      </c>
      <c r="AH103" s="90">
        <f t="shared" ca="1" si="21"/>
        <v>604441.84173170035</v>
      </c>
      <c r="AI103" s="90">
        <f t="shared" ca="1" si="22"/>
        <v>238540219.75272354</v>
      </c>
      <c r="AJ103" s="90">
        <f t="shared" ca="1" si="23"/>
        <v>-20363642.998420492</v>
      </c>
    </row>
    <row r="104" spans="1:36" x14ac:dyDescent="0.2">
      <c r="C104" s="85"/>
      <c r="G104" s="88">
        <v>101</v>
      </c>
      <c r="H104" s="89">
        <f t="shared" ca="1" si="12"/>
        <v>242046467.17460474</v>
      </c>
      <c r="I104" s="89">
        <f t="shared" ca="1" si="13"/>
        <v>3669333.277936969</v>
      </c>
      <c r="J104" s="89">
        <f t="shared" ca="1" si="14"/>
        <v>2025107.7220630313</v>
      </c>
      <c r="K104" s="89">
        <f t="shared" ca="1" si="15"/>
        <v>5694441</v>
      </c>
      <c r="O104" s="88">
        <v>101</v>
      </c>
      <c r="P104" s="89">
        <f t="shared" ca="1" si="16"/>
        <v>255540749.95183843</v>
      </c>
      <c r="Q104" s="89">
        <f t="shared" ca="1" si="17"/>
        <v>3363112.7993056029</v>
      </c>
      <c r="R104" s="89">
        <f t="shared" ca="1" si="18"/>
        <v>2331328.2006943971</v>
      </c>
      <c r="S104" s="89">
        <f t="shared" ca="1" si="19"/>
        <v>5694441</v>
      </c>
      <c r="AF104" s="88">
        <v>101</v>
      </c>
      <c r="AG104" s="90">
        <f t="shared" ca="1" si="20"/>
        <v>1728369.7244436485</v>
      </c>
      <c r="AH104" s="90">
        <f t="shared" ca="1" si="21"/>
        <v>602958.47625074862</v>
      </c>
      <c r="AI104" s="90">
        <f t="shared" ca="1" si="22"/>
        <v>234574148.47716722</v>
      </c>
      <c r="AJ104" s="90">
        <f t="shared" ca="1" si="23"/>
        <v>-20966601.474671241</v>
      </c>
    </row>
    <row r="105" spans="1:36" x14ac:dyDescent="0.2">
      <c r="C105" s="85"/>
      <c r="D105" s="97"/>
      <c r="G105" s="88">
        <v>102</v>
      </c>
      <c r="H105" s="89">
        <f t="shared" ca="1" si="12"/>
        <v>238346892.47490212</v>
      </c>
      <c r="I105" s="89">
        <f t="shared" ca="1" si="13"/>
        <v>3699574.6997026326</v>
      </c>
      <c r="J105" s="89">
        <f t="shared" ca="1" si="14"/>
        <v>1994866.3002973674</v>
      </c>
      <c r="K105" s="89">
        <f t="shared" ca="1" si="15"/>
        <v>5694441</v>
      </c>
      <c r="O105" s="88">
        <v>102</v>
      </c>
      <c r="P105" s="89">
        <f t="shared" ca="1" si="16"/>
        <v>252147353.63482928</v>
      </c>
      <c r="Q105" s="89">
        <f t="shared" ca="1" si="17"/>
        <v>3393396.3170091361</v>
      </c>
      <c r="R105" s="89">
        <f t="shared" ca="1" si="18"/>
        <v>2301044.6829908639</v>
      </c>
      <c r="S105" s="89">
        <f t="shared" ca="1" si="19"/>
        <v>5694441</v>
      </c>
      <c r="AF105" s="88">
        <v>102</v>
      </c>
      <c r="AG105" s="90">
        <f t="shared" ca="1" si="20"/>
        <v>1699633.113381736</v>
      </c>
      <c r="AH105" s="90">
        <f t="shared" ca="1" si="21"/>
        <v>601411.56960912794</v>
      </c>
      <c r="AI105" s="90">
        <f t="shared" ca="1" si="22"/>
        <v>230579340.59054896</v>
      </c>
      <c r="AJ105" s="90">
        <f t="shared" ca="1" si="23"/>
        <v>-21568013.044280369</v>
      </c>
    </row>
    <row r="106" spans="1:36" x14ac:dyDescent="0.2">
      <c r="B106" s="119"/>
      <c r="C106" s="119"/>
      <c r="D106" s="119"/>
      <c r="E106" s="119"/>
      <c r="G106" s="88">
        <v>103</v>
      </c>
      <c r="H106" s="89">
        <f t="shared" ca="1" si="12"/>
        <v>234616827.1137161</v>
      </c>
      <c r="I106" s="89">
        <f t="shared" ca="1" si="13"/>
        <v>3730065.3611860154</v>
      </c>
      <c r="J106" s="89">
        <f t="shared" ca="1" si="14"/>
        <v>1964375.6388139848</v>
      </c>
      <c r="K106" s="89">
        <f t="shared" ca="1" si="15"/>
        <v>5694441</v>
      </c>
      <c r="O106" s="88">
        <v>103</v>
      </c>
      <c r="P106" s="89">
        <f t="shared" ca="1" si="16"/>
        <v>248723401.10886323</v>
      </c>
      <c r="Q106" s="89">
        <f t="shared" ca="1" si="17"/>
        <v>3423952.5259660496</v>
      </c>
      <c r="R106" s="89">
        <f t="shared" ca="1" si="18"/>
        <v>2270488.4740339504</v>
      </c>
      <c r="S106" s="89">
        <f t="shared" ca="1" si="19"/>
        <v>5694441</v>
      </c>
      <c r="AF106" s="88">
        <v>103</v>
      </c>
      <c r="AG106" s="90">
        <f t="shared" ca="1" si="20"/>
        <v>1670688.2880044596</v>
      </c>
      <c r="AH106" s="90">
        <f t="shared" ca="1" si="21"/>
        <v>599800.18602949078</v>
      </c>
      <c r="AI106" s="90">
        <f t="shared" ca="1" si="22"/>
        <v>226555587.87855342</v>
      </c>
      <c r="AJ106" s="90">
        <f t="shared" ca="1" si="23"/>
        <v>-22167813.230309859</v>
      </c>
    </row>
    <row r="107" spans="1:36" x14ac:dyDescent="0.2">
      <c r="B107" s="119"/>
      <c r="C107" s="119"/>
      <c r="D107" s="119"/>
      <c r="E107" s="119"/>
      <c r="G107" s="88">
        <v>104</v>
      </c>
      <c r="H107" s="89">
        <f t="shared" ca="1" si="12"/>
        <v>230856019.7971783</v>
      </c>
      <c r="I107" s="89">
        <f t="shared" ca="1" si="13"/>
        <v>3760807.31653779</v>
      </c>
      <c r="J107" s="89">
        <f t="shared" ca="1" si="14"/>
        <v>1933633.6834622102</v>
      </c>
      <c r="K107" s="89">
        <f t="shared" ca="1" si="15"/>
        <v>5694441</v>
      </c>
      <c r="O107" s="88">
        <v>104</v>
      </c>
      <c r="P107" s="89">
        <f t="shared" ca="1" si="16"/>
        <v>245268617.22720861</v>
      </c>
      <c r="Q107" s="89">
        <f t="shared" ca="1" si="17"/>
        <v>3454783.8816546123</v>
      </c>
      <c r="R107" s="89">
        <f t="shared" ca="1" si="18"/>
        <v>2239657.1183453877</v>
      </c>
      <c r="S107" s="89">
        <f t="shared" ca="1" si="19"/>
        <v>5694441</v>
      </c>
      <c r="AF107" s="88">
        <v>104</v>
      </c>
      <c r="AG107" s="90">
        <f t="shared" ca="1" si="20"/>
        <v>1641533.7396718122</v>
      </c>
      <c r="AH107" s="90">
        <f t="shared" ca="1" si="21"/>
        <v>598123.37867357559</v>
      </c>
      <c r="AI107" s="90">
        <f t="shared" ca="1" si="22"/>
        <v>222502680.61822522</v>
      </c>
      <c r="AJ107" s="90">
        <f t="shared" ca="1" si="23"/>
        <v>-22765936.608983435</v>
      </c>
    </row>
    <row r="108" spans="1:36" x14ac:dyDescent="0.2">
      <c r="D108" s="97"/>
      <c r="G108" s="88">
        <v>105</v>
      </c>
      <c r="H108" s="89">
        <f t="shared" ca="1" si="12"/>
        <v>227064217.16034004</v>
      </c>
      <c r="I108" s="89">
        <f t="shared" ca="1" si="13"/>
        <v>3791802.6368382555</v>
      </c>
      <c r="J108" s="89">
        <f t="shared" ca="1" si="14"/>
        <v>1902638.3631617445</v>
      </c>
      <c r="K108" s="89">
        <f t="shared" ca="1" si="15"/>
        <v>5694441</v>
      </c>
      <c r="O108" s="88">
        <v>105</v>
      </c>
      <c r="P108" s="89">
        <f t="shared" ca="1" si="16"/>
        <v>241782724.36554489</v>
      </c>
      <c r="Q108" s="89">
        <f t="shared" ca="1" si="17"/>
        <v>3485892.8616637192</v>
      </c>
      <c r="R108" s="89">
        <f t="shared" ca="1" si="18"/>
        <v>2208548.1383362808</v>
      </c>
      <c r="S108" s="89">
        <f t="shared" ca="1" si="19"/>
        <v>5694441</v>
      </c>
      <c r="AF108" s="88">
        <v>105</v>
      </c>
      <c r="AG108" s="90">
        <f t="shared" ca="1" si="20"/>
        <v>1612167.9488127672</v>
      </c>
      <c r="AH108" s="90">
        <f t="shared" ca="1" si="21"/>
        <v>596380.18952351366</v>
      </c>
      <c r="AI108" s="90">
        <f t="shared" ca="1" si="22"/>
        <v>218420407.56703797</v>
      </c>
      <c r="AJ108" s="90">
        <f t="shared" ca="1" si="23"/>
        <v>-23362316.798506949</v>
      </c>
    </row>
    <row r="109" spans="1:36" x14ac:dyDescent="0.2">
      <c r="D109" s="84"/>
      <c r="G109" s="88">
        <v>106</v>
      </c>
      <c r="H109" s="89">
        <f t="shared" ca="1" si="12"/>
        <v>223241163.75010318</v>
      </c>
      <c r="I109" s="89">
        <f t="shared" ca="1" si="13"/>
        <v>3823053.4102368644</v>
      </c>
      <c r="J109" s="89">
        <f t="shared" ca="1" si="14"/>
        <v>1871387.5897631359</v>
      </c>
      <c r="K109" s="89">
        <f t="shared" ca="1" si="15"/>
        <v>5694441</v>
      </c>
      <c r="O109" s="88">
        <v>106</v>
      </c>
      <c r="P109" s="89">
        <f t="shared" ca="1" si="16"/>
        <v>238265442.3996529</v>
      </c>
      <c r="Q109" s="89">
        <f t="shared" ca="1" si="17"/>
        <v>3517281.9658919838</v>
      </c>
      <c r="R109" s="89">
        <f t="shared" ca="1" si="18"/>
        <v>2177159.0341080162</v>
      </c>
      <c r="S109" s="89">
        <f t="shared" ca="1" si="19"/>
        <v>5694441</v>
      </c>
      <c r="AF109" s="88">
        <v>106</v>
      </c>
      <c r="AG109" s="90">
        <f t="shared" ca="1" si="20"/>
        <v>1582589.3848460771</v>
      </c>
      <c r="AH109" s="90">
        <f t="shared" ca="1" si="21"/>
        <v>594569.64926193911</v>
      </c>
      <c r="AI109" s="90">
        <f t="shared" ca="1" si="22"/>
        <v>214308555.95188403</v>
      </c>
      <c r="AJ109" s="90">
        <f t="shared" ca="1" si="23"/>
        <v>-23956886.447768889</v>
      </c>
    </row>
    <row r="110" spans="1:36" x14ac:dyDescent="0.2">
      <c r="D110" s="84"/>
      <c r="G110" s="88">
        <v>107</v>
      </c>
      <c r="H110" s="89">
        <f t="shared" ca="1" si="12"/>
        <v>219386602.00801027</v>
      </c>
      <c r="I110" s="89">
        <f t="shared" ca="1" si="13"/>
        <v>3854561.7420929</v>
      </c>
      <c r="J110" s="89">
        <f t="shared" ca="1" si="14"/>
        <v>1839879.2579071003</v>
      </c>
      <c r="K110" s="89">
        <f t="shared" ca="1" si="15"/>
        <v>5694441</v>
      </c>
      <c r="O110" s="88">
        <v>107</v>
      </c>
      <c r="P110" s="89">
        <f t="shared" ca="1" si="16"/>
        <v>234716488.68290427</v>
      </c>
      <c r="Q110" s="89">
        <f t="shared" ca="1" si="17"/>
        <v>3548953.7167486311</v>
      </c>
      <c r="R110" s="89">
        <f t="shared" ca="1" si="18"/>
        <v>2145487.2832513689</v>
      </c>
      <c r="S110" s="89">
        <f t="shared" ca="1" si="19"/>
        <v>5694441</v>
      </c>
      <c r="AF110" s="88">
        <v>107</v>
      </c>
      <c r="AG110" s="90">
        <f t="shared" ca="1" si="20"/>
        <v>1552796.5061004977</v>
      </c>
      <c r="AH110" s="90">
        <f t="shared" ca="1" si="21"/>
        <v>592690.77715087123</v>
      </c>
      <c r="AI110" s="90">
        <f t="shared" ca="1" si="22"/>
        <v>210166911.45798454</v>
      </c>
      <c r="AJ110" s="90">
        <f t="shared" ca="1" si="23"/>
        <v>-24549577.224919759</v>
      </c>
    </row>
    <row r="111" spans="1:36" x14ac:dyDescent="0.2">
      <c r="G111" s="88">
        <v>108</v>
      </c>
      <c r="H111" s="89">
        <f t="shared" ca="1" si="12"/>
        <v>215500272.25289294</v>
      </c>
      <c r="I111" s="89">
        <f t="shared" ca="1" si="13"/>
        <v>3886329.7551173158</v>
      </c>
      <c r="J111" s="89">
        <f t="shared" ca="1" si="14"/>
        <v>1808111.2448826844</v>
      </c>
      <c r="K111" s="89">
        <f t="shared" ca="1" si="15"/>
        <v>5694441</v>
      </c>
      <c r="O111" s="88">
        <v>108</v>
      </c>
      <c r="P111" s="89">
        <f t="shared" ca="1" si="16"/>
        <v>231135578.02354807</v>
      </c>
      <c r="Q111" s="89">
        <f t="shared" ca="1" si="17"/>
        <v>3580910.6593561964</v>
      </c>
      <c r="R111" s="89">
        <f t="shared" ca="1" si="18"/>
        <v>2113530.3406438036</v>
      </c>
      <c r="S111" s="89">
        <f t="shared" ca="1" si="19"/>
        <v>5694441</v>
      </c>
      <c r="AF111" s="88">
        <v>108</v>
      </c>
      <c r="AG111" s="90">
        <f t="shared" ca="1" si="20"/>
        <v>1522787.7597344338</v>
      </c>
      <c r="AH111" s="90">
        <f t="shared" ca="1" si="21"/>
        <v>590742.58090936975</v>
      </c>
      <c r="AI111" s="90">
        <f t="shared" ca="1" si="22"/>
        <v>205995258.21771896</v>
      </c>
      <c r="AJ111" s="90">
        <f t="shared" ca="1" si="23"/>
        <v>-25140319.80582913</v>
      </c>
    </row>
    <row r="112" spans="1:36" x14ac:dyDescent="0.2">
      <c r="G112" s="88">
        <v>109</v>
      </c>
      <c r="H112" s="89">
        <f t="shared" ca="1" si="12"/>
        <v>211581912.6633772</v>
      </c>
      <c r="I112" s="89">
        <f t="shared" ca="1" si="13"/>
        <v>3918359.589515741</v>
      </c>
      <c r="J112" s="89">
        <f t="shared" ca="1" si="14"/>
        <v>1776081.4104842592</v>
      </c>
      <c r="K112" s="89">
        <f t="shared" ca="1" si="15"/>
        <v>5694441</v>
      </c>
      <c r="O112" s="88">
        <v>109</v>
      </c>
      <c r="P112" s="89">
        <f t="shared" ca="1" si="16"/>
        <v>227522422.66179302</v>
      </c>
      <c r="Q112" s="89">
        <f t="shared" ca="1" si="17"/>
        <v>3613155.3617550498</v>
      </c>
      <c r="R112" s="89">
        <f t="shared" ca="1" si="18"/>
        <v>2081285.63824495</v>
      </c>
      <c r="S112" s="89">
        <f t="shared" ca="1" si="19"/>
        <v>5694441</v>
      </c>
      <c r="AF112" s="88">
        <v>109</v>
      </c>
      <c r="AG112" s="90">
        <f t="shared" ca="1" si="20"/>
        <v>1492561.5816550034</v>
      </c>
      <c r="AH112" s="90">
        <f t="shared" ca="1" si="21"/>
        <v>588724.05658994662</v>
      </c>
      <c r="AI112" s="90">
        <f t="shared" ca="1" si="22"/>
        <v>201793378.79937395</v>
      </c>
      <c r="AJ112" s="90">
        <f t="shared" ca="1" si="23"/>
        <v>-25729043.862419076</v>
      </c>
    </row>
    <row r="113" spans="7:36" x14ac:dyDescent="0.2">
      <c r="G113" s="88">
        <v>110</v>
      </c>
      <c r="H113" s="89">
        <f t="shared" ca="1" si="12"/>
        <v>207631259.26024452</v>
      </c>
      <c r="I113" s="89">
        <f t="shared" ca="1" si="13"/>
        <v>3950653.4031326659</v>
      </c>
      <c r="J113" s="89">
        <f t="shared" ca="1" si="14"/>
        <v>1743787.5968673339</v>
      </c>
      <c r="K113" s="89">
        <f t="shared" ca="1" si="15"/>
        <v>5694441</v>
      </c>
      <c r="O113" s="88">
        <v>110</v>
      </c>
      <c r="P113" s="89">
        <f t="shared" ca="1" si="16"/>
        <v>223876732.24668327</v>
      </c>
      <c r="Q113" s="89">
        <f t="shared" ca="1" si="17"/>
        <v>3645690.4151097629</v>
      </c>
      <c r="R113" s="89">
        <f t="shared" ca="1" si="18"/>
        <v>2048750.5848902373</v>
      </c>
      <c r="S113" s="89">
        <f t="shared" ca="1" si="19"/>
        <v>5694441</v>
      </c>
      <c r="AF113" s="88">
        <v>110</v>
      </c>
      <c r="AG113" s="90">
        <f t="shared" ca="1" si="20"/>
        <v>1462116.396436516</v>
      </c>
      <c r="AH113" s="90">
        <f t="shared" ca="1" si="21"/>
        <v>586634.18845372135</v>
      </c>
      <c r="AI113" s="90">
        <f t="shared" ca="1" si="22"/>
        <v>197561054.19581047</v>
      </c>
      <c r="AJ113" s="90">
        <f t="shared" ca="1" si="23"/>
        <v>-26315678.050872799</v>
      </c>
    </row>
    <row r="114" spans="7:36" x14ac:dyDescent="0.2">
      <c r="G114" s="88">
        <v>111</v>
      </c>
      <c r="H114" s="89">
        <f t="shared" ca="1" si="12"/>
        <v>203648045.88864771</v>
      </c>
      <c r="I114" s="89">
        <f t="shared" ca="1" si="13"/>
        <v>3983213.3715968179</v>
      </c>
      <c r="J114" s="89">
        <f t="shared" ca="1" si="14"/>
        <v>1711227.6284031819</v>
      </c>
      <c r="K114" s="89">
        <f t="shared" ca="1" si="15"/>
        <v>5694441</v>
      </c>
      <c r="O114" s="88">
        <v>111</v>
      </c>
      <c r="P114" s="89">
        <f t="shared" ca="1" si="16"/>
        <v>220198213.81276593</v>
      </c>
      <c r="Q114" s="89">
        <f t="shared" ca="1" si="17"/>
        <v>3678518.4339173306</v>
      </c>
      <c r="R114" s="89">
        <f t="shared" ca="1" si="18"/>
        <v>2015922.5660826692</v>
      </c>
      <c r="S114" s="89">
        <f t="shared" ca="1" si="19"/>
        <v>5694441</v>
      </c>
      <c r="AF114" s="88">
        <v>111</v>
      </c>
      <c r="AG114" s="90">
        <f t="shared" ca="1" si="20"/>
        <v>1431450.6172383579</v>
      </c>
      <c r="AH114" s="90">
        <f t="shared" ca="1" si="21"/>
        <v>584471.94884431129</v>
      </c>
      <c r="AI114" s="90">
        <f t="shared" ca="1" si="22"/>
        <v>193298063.81304881</v>
      </c>
      <c r="AJ114" s="90">
        <f t="shared" ca="1" si="23"/>
        <v>-26900149.999717109</v>
      </c>
    </row>
    <row r="115" spans="7:36" x14ac:dyDescent="0.2">
      <c r="G115" s="88">
        <v>112</v>
      </c>
      <c r="H115" s="89">
        <f t="shared" ca="1" si="12"/>
        <v>199632004.20017996</v>
      </c>
      <c r="I115" s="89">
        <f t="shared" ca="1" si="13"/>
        <v>4016041.6884677289</v>
      </c>
      <c r="J115" s="89">
        <f t="shared" ca="1" si="14"/>
        <v>1678399.3115322713</v>
      </c>
      <c r="K115" s="89">
        <f t="shared" ca="1" si="15"/>
        <v>5694441</v>
      </c>
      <c r="O115" s="88">
        <v>112</v>
      </c>
      <c r="P115" s="89">
        <f t="shared" ca="1" si="16"/>
        <v>216486571.75654864</v>
      </c>
      <c r="Q115" s="89">
        <f t="shared" ca="1" si="17"/>
        <v>3711642.0562172756</v>
      </c>
      <c r="R115" s="89">
        <f t="shared" ca="1" si="18"/>
        <v>1982798.9437827242</v>
      </c>
      <c r="S115" s="89">
        <f t="shared" ca="1" si="19"/>
        <v>5694441</v>
      </c>
      <c r="AF115" s="88">
        <v>112</v>
      </c>
      <c r="AG115" s="90">
        <f t="shared" ca="1" si="20"/>
        <v>1400562.6457222858</v>
      </c>
      <c r="AH115" s="90">
        <f t="shared" ca="1" si="21"/>
        <v>582236.29806043836</v>
      </c>
      <c r="AI115" s="90">
        <f t="shared" ca="1" si="22"/>
        <v>189004185.45877108</v>
      </c>
      <c r="AJ115" s="90">
        <f t="shared" ca="1" si="23"/>
        <v>-27482386.297777548</v>
      </c>
    </row>
    <row r="116" spans="7:36" x14ac:dyDescent="0.2">
      <c r="G116" s="88">
        <v>113</v>
      </c>
      <c r="H116" s="89">
        <f t="shared" ca="1" si="12"/>
        <v>195582863.63479644</v>
      </c>
      <c r="I116" s="89">
        <f t="shared" ca="1" si="13"/>
        <v>4049140.5653835172</v>
      </c>
      <c r="J116" s="89">
        <f t="shared" ca="1" si="14"/>
        <v>1645300.434616483</v>
      </c>
      <c r="K116" s="89">
        <f t="shared" ca="1" si="15"/>
        <v>5694441</v>
      </c>
      <c r="O116" s="88">
        <v>113</v>
      </c>
      <c r="P116" s="89">
        <f t="shared" ca="1" si="16"/>
        <v>212741507.812745</v>
      </c>
      <c r="Q116" s="89">
        <f t="shared" ca="1" si="17"/>
        <v>3745063.9438036345</v>
      </c>
      <c r="R116" s="89">
        <f t="shared" ca="1" si="18"/>
        <v>1949377.0561963655</v>
      </c>
      <c r="S116" s="89">
        <f t="shared" ca="1" si="19"/>
        <v>5694441</v>
      </c>
      <c r="AF116" s="88">
        <v>113</v>
      </c>
      <c r="AG116" s="90">
        <f t="shared" ca="1" si="20"/>
        <v>1369450.8719691185</v>
      </c>
      <c r="AH116" s="90">
        <f t="shared" ca="1" si="21"/>
        <v>579926.18422724702</v>
      </c>
      <c r="AI116" s="90">
        <f t="shared" ca="1" si="22"/>
        <v>184679195.33074018</v>
      </c>
      <c r="AJ116" s="90">
        <f t="shared" ca="1" si="23"/>
        <v>-28062312.482004795</v>
      </c>
    </row>
    <row r="117" spans="7:36" x14ac:dyDescent="0.2">
      <c r="G117" s="88">
        <v>114</v>
      </c>
      <c r="H117" s="89">
        <f t="shared" ca="1" si="12"/>
        <v>191500351.40258655</v>
      </c>
      <c r="I117" s="89">
        <f t="shared" ca="1" si="13"/>
        <v>4082512.2322098864</v>
      </c>
      <c r="J117" s="89">
        <f t="shared" ca="1" si="14"/>
        <v>1611928.7677901138</v>
      </c>
      <c r="K117" s="89">
        <f t="shared" ca="1" si="15"/>
        <v>5694441</v>
      </c>
      <c r="O117" s="88">
        <v>114</v>
      </c>
      <c r="P117" s="89">
        <f t="shared" ca="1" si="16"/>
        <v>208962721.03030616</v>
      </c>
      <c r="Q117" s="89">
        <f t="shared" ca="1" si="17"/>
        <v>3778786.7824388593</v>
      </c>
      <c r="R117" s="89">
        <f t="shared" ca="1" si="18"/>
        <v>1915654.2175611409</v>
      </c>
      <c r="S117" s="89">
        <f t="shared" ca="1" si="19"/>
        <v>5694441</v>
      </c>
      <c r="AF117" s="88">
        <v>114</v>
      </c>
      <c r="AG117" s="90">
        <f t="shared" ca="1" si="20"/>
        <v>1338113.6743948259</v>
      </c>
      <c r="AH117" s="90">
        <f t="shared" ca="1" si="21"/>
        <v>577540.54316631495</v>
      </c>
      <c r="AI117" s="90">
        <f t="shared" ca="1" si="22"/>
        <v>180322868.00513503</v>
      </c>
      <c r="AJ117" s="90">
        <f t="shared" ca="1" si="23"/>
        <v>-28639853.025171109</v>
      </c>
    </row>
    <row r="118" spans="7:36" x14ac:dyDescent="0.2">
      <c r="G118" s="88">
        <v>115</v>
      </c>
      <c r="H118" s="89">
        <f t="shared" ca="1" si="12"/>
        <v>187384192.4653962</v>
      </c>
      <c r="I118" s="89">
        <f t="shared" ca="1" si="13"/>
        <v>4116158.9371903492</v>
      </c>
      <c r="J118" s="89">
        <f t="shared" ca="1" si="14"/>
        <v>1578282.0628096508</v>
      </c>
      <c r="K118" s="89">
        <f t="shared" ca="1" si="15"/>
        <v>5694441</v>
      </c>
      <c r="O118" s="88">
        <v>115</v>
      </c>
      <c r="P118" s="89">
        <f t="shared" ca="1" si="16"/>
        <v>205149907.74823651</v>
      </c>
      <c r="Q118" s="89">
        <f t="shared" ca="1" si="17"/>
        <v>3812813.2820696449</v>
      </c>
      <c r="R118" s="89">
        <f t="shared" ca="1" si="18"/>
        <v>1881627.7179303549</v>
      </c>
      <c r="S118" s="89">
        <f t="shared" ca="1" si="19"/>
        <v>5694441</v>
      </c>
      <c r="AF118" s="88">
        <v>115</v>
      </c>
      <c r="AG118" s="90">
        <f t="shared" ca="1" si="20"/>
        <v>1306549.4196660109</v>
      </c>
      <c r="AH118" s="90">
        <f t="shared" ca="1" si="21"/>
        <v>575078.29826434399</v>
      </c>
      <c r="AI118" s="90">
        <f t="shared" ca="1" si="22"/>
        <v>175934976.42480102</v>
      </c>
      <c r="AJ118" s="90">
        <f t="shared" ca="1" si="23"/>
        <v>-29214931.323435452</v>
      </c>
    </row>
    <row r="119" spans="7:36" x14ac:dyDescent="0.2">
      <c r="G119" s="88">
        <v>116</v>
      </c>
      <c r="H119" s="89">
        <f t="shared" ca="1" si="12"/>
        <v>183234109.51829851</v>
      </c>
      <c r="I119" s="89">
        <f t="shared" ca="1" si="13"/>
        <v>4150082.9470976926</v>
      </c>
      <c r="J119" s="89">
        <f t="shared" ca="1" si="14"/>
        <v>1544358.0529023071</v>
      </c>
      <c r="K119" s="89">
        <f t="shared" ca="1" si="15"/>
        <v>5694441</v>
      </c>
      <c r="O119" s="88">
        <v>116</v>
      </c>
      <c r="P119" s="89">
        <f t="shared" ca="1" si="16"/>
        <v>201302761.57119182</v>
      </c>
      <c r="Q119" s="89">
        <f t="shared" ca="1" si="17"/>
        <v>3847146.1770447008</v>
      </c>
      <c r="R119" s="89">
        <f t="shared" ca="1" si="18"/>
        <v>1847294.8229552994</v>
      </c>
      <c r="S119" s="89">
        <f t="shared" ca="1" si="19"/>
        <v>5694441</v>
      </c>
      <c r="AF119" s="88">
        <v>116</v>
      </c>
      <c r="AG119" s="90">
        <f t="shared" ca="1" si="20"/>
        <v>1274756.4626147759</v>
      </c>
      <c r="AH119" s="90">
        <f t="shared" ca="1" si="21"/>
        <v>572538.36034052353</v>
      </c>
      <c r="AI119" s="90">
        <f t="shared" ca="1" si="22"/>
        <v>171515291.8874158</v>
      </c>
      <c r="AJ119" s="90">
        <f t="shared" ca="1" si="23"/>
        <v>-29787469.683775976</v>
      </c>
    </row>
    <row r="120" spans="7:36" x14ac:dyDescent="0.2">
      <c r="G120" s="88">
        <v>117</v>
      </c>
      <c r="H120" s="89">
        <f t="shared" ca="1" si="12"/>
        <v>179049822.97091183</v>
      </c>
      <c r="I120" s="89">
        <f t="shared" ca="1" si="13"/>
        <v>4184286.54738669</v>
      </c>
      <c r="J120" s="89">
        <f t="shared" ca="1" si="14"/>
        <v>1510154.4526133102</v>
      </c>
      <c r="K120" s="89">
        <f t="shared" ca="1" si="15"/>
        <v>5694441</v>
      </c>
      <c r="O120" s="88">
        <v>117</v>
      </c>
      <c r="P120" s="89">
        <f t="shared" ca="1" si="16"/>
        <v>197420973.34485734</v>
      </c>
      <c r="Q120" s="89">
        <f t="shared" ca="1" si="17"/>
        <v>3881788.226334474</v>
      </c>
      <c r="R120" s="89">
        <f t="shared" ca="1" si="18"/>
        <v>1812652.773665526</v>
      </c>
      <c r="S120" s="89">
        <f t="shared" ca="1" si="19"/>
        <v>5694441</v>
      </c>
      <c r="AF120" s="88">
        <v>117</v>
      </c>
      <c r="AG120" s="90">
        <f t="shared" ca="1" si="20"/>
        <v>1242733.1461529776</v>
      </c>
      <c r="AH120" s="90">
        <f t="shared" ca="1" si="21"/>
        <v>569919.62751254835</v>
      </c>
      <c r="AI120" s="90">
        <f t="shared" ca="1" si="22"/>
        <v>167063584.03356877</v>
      </c>
      <c r="AJ120" s="90">
        <f t="shared" ca="1" si="23"/>
        <v>-30357389.311288524</v>
      </c>
    </row>
    <row r="121" spans="7:36" x14ac:dyDescent="0.2">
      <c r="G121" s="88">
        <v>118</v>
      </c>
      <c r="H121" s="89">
        <f t="shared" ca="1" si="12"/>
        <v>174831050.92856377</v>
      </c>
      <c r="I121" s="89">
        <f t="shared" ca="1" si="13"/>
        <v>4218772.0423480682</v>
      </c>
      <c r="J121" s="89">
        <f t="shared" ca="1" si="14"/>
        <v>1475668.9576519318</v>
      </c>
      <c r="K121" s="89">
        <f t="shared" ca="1" si="15"/>
        <v>5694441</v>
      </c>
      <c r="O121" s="88">
        <v>118</v>
      </c>
      <c r="P121" s="89">
        <f t="shared" ca="1" si="16"/>
        <v>193504231.13110447</v>
      </c>
      <c r="Q121" s="89">
        <f t="shared" ca="1" si="17"/>
        <v>3916742.2137528677</v>
      </c>
      <c r="R121" s="89">
        <f t="shared" ca="1" si="18"/>
        <v>1777698.7862471321</v>
      </c>
      <c r="S121" s="89">
        <f t="shared" ca="1" si="19"/>
        <v>5694441</v>
      </c>
      <c r="AF121" s="88">
        <v>118</v>
      </c>
      <c r="AG121" s="90">
        <f t="shared" ca="1" si="20"/>
        <v>1210477.8011858554</v>
      </c>
      <c r="AH121" s="90">
        <f t="shared" ca="1" si="21"/>
        <v>567220.9850612767</v>
      </c>
      <c r="AI121" s="90">
        <f t="shared" ca="1" si="22"/>
        <v>162579620.83475462</v>
      </c>
      <c r="AJ121" s="90">
        <f t="shared" ca="1" si="23"/>
        <v>-30924610.296349801</v>
      </c>
    </row>
    <row r="122" spans="7:36" x14ac:dyDescent="0.2">
      <c r="G122" s="88">
        <v>119</v>
      </c>
      <c r="H122" s="89">
        <f t="shared" ca="1" si="12"/>
        <v>170577509.17330003</v>
      </c>
      <c r="I122" s="89">
        <f t="shared" ca="1" si="13"/>
        <v>4253541.7552637532</v>
      </c>
      <c r="J122" s="89">
        <f t="shared" ca="1" si="14"/>
        <v>1440899.2447362465</v>
      </c>
      <c r="K122" s="89">
        <f t="shared" ca="1" si="15"/>
        <v>5694441</v>
      </c>
      <c r="O122" s="88">
        <v>119</v>
      </c>
      <c r="P122" s="89">
        <f t="shared" ca="1" si="16"/>
        <v>189552220.18292353</v>
      </c>
      <c r="Q122" s="89">
        <f t="shared" ca="1" si="17"/>
        <v>3952010.9481809409</v>
      </c>
      <c r="R122" s="89">
        <f t="shared" ca="1" si="18"/>
        <v>1742430.0518190593</v>
      </c>
      <c r="S122" s="89">
        <f t="shared" ca="1" si="19"/>
        <v>5694441</v>
      </c>
      <c r="AF122" s="88">
        <v>119</v>
      </c>
      <c r="AG122" s="90">
        <f t="shared" ca="1" si="20"/>
        <v>1177988.7465250371</v>
      </c>
      <c r="AH122" s="90">
        <f t="shared" ca="1" si="21"/>
        <v>564441.3052940222</v>
      </c>
      <c r="AI122" s="90">
        <f t="shared" ca="1" si="22"/>
        <v>158063168.58127964</v>
      </c>
      <c r="AJ122" s="90">
        <f t="shared" ca="1" si="23"/>
        <v>-31489051.601643823</v>
      </c>
    </row>
    <row r="123" spans="7:36" x14ac:dyDescent="0.2">
      <c r="G123" s="88">
        <v>120</v>
      </c>
      <c r="H123" s="89">
        <f t="shared" ca="1" si="12"/>
        <v>166288911.14473665</v>
      </c>
      <c r="I123" s="89">
        <f t="shared" ca="1" si="13"/>
        <v>4288598.0285633858</v>
      </c>
      <c r="J123" s="89">
        <f t="shared" ca="1" si="14"/>
        <v>1405842.9714366144</v>
      </c>
      <c r="K123" s="89">
        <f t="shared" ca="1" si="15"/>
        <v>5694441</v>
      </c>
      <c r="O123" s="88">
        <v>120</v>
      </c>
      <c r="P123" s="89">
        <f t="shared" ca="1" si="16"/>
        <v>185564622.91913089</v>
      </c>
      <c r="Q123" s="89">
        <f t="shared" ca="1" si="17"/>
        <v>3987597.2637926284</v>
      </c>
      <c r="R123" s="89">
        <f t="shared" ca="1" si="18"/>
        <v>1706843.7362073718</v>
      </c>
      <c r="S123" s="89">
        <f t="shared" ca="1" si="19"/>
        <v>5694441</v>
      </c>
      <c r="AF123" s="88">
        <v>120</v>
      </c>
      <c r="AG123" s="90">
        <f t="shared" ca="1" si="20"/>
        <v>1145264.2888009122</v>
      </c>
      <c r="AH123" s="90">
        <f t="shared" ca="1" si="21"/>
        <v>561579.4474064596</v>
      </c>
      <c r="AI123" s="90">
        <f t="shared" ca="1" si="22"/>
        <v>153513991.87008053</v>
      </c>
      <c r="AJ123" s="90">
        <f t="shared" ca="1" si="23"/>
        <v>-32050631.049050283</v>
      </c>
    </row>
    <row r="124" spans="7:36" x14ac:dyDescent="0.2">
      <c r="G124" s="88">
        <v>121</v>
      </c>
      <c r="H124" s="89">
        <f t="shared" ca="1" si="12"/>
        <v>164312663.42412552</v>
      </c>
      <c r="I124" s="89">
        <f t="shared" ca="1" si="13"/>
        <v>1976247.7206111175</v>
      </c>
      <c r="J124" s="89">
        <f t="shared" ca="1" si="14"/>
        <v>1816706.3542562479</v>
      </c>
      <c r="K124" s="89">
        <f t="shared" ca="1" si="15"/>
        <v>3792954.0748673654</v>
      </c>
      <c r="O124" s="88">
        <v>121</v>
      </c>
      <c r="P124" s="89">
        <f t="shared" ca="1" si="16"/>
        <v>183288649.2464433</v>
      </c>
      <c r="Q124" s="89">
        <f t="shared" ca="1" si="17"/>
        <v>2275973.6726875929</v>
      </c>
      <c r="R124" s="89">
        <f t="shared" ca="1" si="18"/>
        <v>1845903.0449868396</v>
      </c>
      <c r="S124" s="89">
        <f t="shared" ca="1" si="19"/>
        <v>4121876.7176744328</v>
      </c>
      <c r="AF124" s="88">
        <v>121</v>
      </c>
      <c r="AG124" s="90">
        <f t="shared" ca="1" si="20"/>
        <v>1112302.7223743731</v>
      </c>
      <c r="AH124" s="90">
        <f t="shared" ca="1" si="21"/>
        <v>733600.32261246652</v>
      </c>
      <c r="AI124" s="90">
        <f t="shared" ca="1" si="22"/>
        <v>150504417.87478048</v>
      </c>
      <c r="AJ124" s="90">
        <f t="shared" ca="1" si="23"/>
        <v>-32784231.371662751</v>
      </c>
    </row>
    <row r="125" spans="7:36" x14ac:dyDescent="0.2">
      <c r="G125" s="88">
        <v>122</v>
      </c>
      <c r="H125" s="89">
        <f t="shared" ca="1" si="12"/>
        <v>162314825.19716674</v>
      </c>
      <c r="I125" s="89">
        <f t="shared" ca="1" si="13"/>
        <v>1997838.2269587941</v>
      </c>
      <c r="J125" s="89">
        <f t="shared" ca="1" si="14"/>
        <v>1795115.8479085714</v>
      </c>
      <c r="K125" s="89">
        <f t="shared" ca="1" si="15"/>
        <v>3792954.0748673654</v>
      </c>
      <c r="O125" s="88">
        <v>122</v>
      </c>
      <c r="P125" s="89">
        <f t="shared" ca="1" si="16"/>
        <v>180990035.33842081</v>
      </c>
      <c r="Q125" s="89">
        <f t="shared" ca="1" si="17"/>
        <v>2298613.908022508</v>
      </c>
      <c r="R125" s="89">
        <f t="shared" ca="1" si="18"/>
        <v>1823262.8096519245</v>
      </c>
      <c r="S125" s="89">
        <f t="shared" ca="1" si="19"/>
        <v>4121876.7176744328</v>
      </c>
      <c r="AF125" s="88">
        <v>122</v>
      </c>
      <c r="AG125" s="90">
        <f t="shared" ca="1" si="20"/>
        <v>1090496.5188656242</v>
      </c>
      <c r="AH125" s="90">
        <f t="shared" ca="1" si="21"/>
        <v>732766.29078630032</v>
      </c>
      <c r="AI125" s="90">
        <f t="shared" ca="1" si="22"/>
        <v>147473037.67597166</v>
      </c>
      <c r="AJ125" s="90">
        <f t="shared" ca="1" si="23"/>
        <v>-33516997.662449051</v>
      </c>
    </row>
    <row r="126" spans="7:36" x14ac:dyDescent="0.2">
      <c r="G126" s="88">
        <v>123</v>
      </c>
      <c r="H126" s="89">
        <f t="shared" ca="1" si="12"/>
        <v>160295160.58757842</v>
      </c>
      <c r="I126" s="89">
        <f t="shared" ca="1" si="13"/>
        <v>2019664.609588319</v>
      </c>
      <c r="J126" s="89">
        <f t="shared" ca="1" si="14"/>
        <v>1773289.4652790464</v>
      </c>
      <c r="K126" s="89">
        <f t="shared" ca="1" si="15"/>
        <v>3792954.0748673654</v>
      </c>
      <c r="O126" s="88">
        <v>123</v>
      </c>
      <c r="P126" s="89">
        <f t="shared" ca="1" si="16"/>
        <v>178668555.98144946</v>
      </c>
      <c r="Q126" s="89">
        <f t="shared" ca="1" si="17"/>
        <v>2321479.3569713463</v>
      </c>
      <c r="R126" s="89">
        <f t="shared" ca="1" si="18"/>
        <v>1800397.3607030865</v>
      </c>
      <c r="S126" s="89">
        <f t="shared" ca="1" si="19"/>
        <v>4121876.7176744328</v>
      </c>
      <c r="AF126" s="88">
        <v>123</v>
      </c>
      <c r="AG126" s="90">
        <f t="shared" ca="1" si="20"/>
        <v>1068532.3160811616</v>
      </c>
      <c r="AH126" s="90">
        <f t="shared" ca="1" si="21"/>
        <v>731865.04462192487</v>
      </c>
      <c r="AI126" s="90">
        <f t="shared" ca="1" si="22"/>
        <v>144419693.27437839</v>
      </c>
      <c r="AJ126" s="90">
        <f t="shared" ca="1" si="23"/>
        <v>-34248862.707070976</v>
      </c>
    </row>
    <row r="127" spans="7:36" x14ac:dyDescent="0.2">
      <c r="G127" s="88">
        <v>124</v>
      </c>
      <c r="H127" s="89">
        <f t="shared" ca="1" si="12"/>
        <v>158253431.14213035</v>
      </c>
      <c r="I127" s="89">
        <f t="shared" ca="1" si="13"/>
        <v>2041729.4454480712</v>
      </c>
      <c r="J127" s="89">
        <f t="shared" ca="1" si="14"/>
        <v>1751224.6294192942</v>
      </c>
      <c r="K127" s="89">
        <f t="shared" ca="1" si="15"/>
        <v>3792954.0748673654</v>
      </c>
      <c r="O127" s="88">
        <v>124</v>
      </c>
      <c r="P127" s="89">
        <f t="shared" ca="1" si="16"/>
        <v>176323983.7216042</v>
      </c>
      <c r="Q127" s="89">
        <f t="shared" ca="1" si="17"/>
        <v>2344572.2598452689</v>
      </c>
      <c r="R127" s="89">
        <f t="shared" ca="1" si="18"/>
        <v>1777304.4578291641</v>
      </c>
      <c r="S127" s="89">
        <f t="shared" ca="1" si="19"/>
        <v>4121876.7176744328</v>
      </c>
      <c r="AF127" s="88">
        <v>124</v>
      </c>
      <c r="AG127" s="90">
        <f t="shared" ca="1" si="20"/>
        <v>1046408.969219639</v>
      </c>
      <c r="AH127" s="90">
        <f t="shared" ca="1" si="21"/>
        <v>730895.48860952514</v>
      </c>
      <c r="AI127" s="90">
        <f t="shared" ca="1" si="22"/>
        <v>141344225.52592361</v>
      </c>
      <c r="AJ127" s="90">
        <f t="shared" ca="1" si="23"/>
        <v>-34979758.195680499</v>
      </c>
    </row>
    <row r="128" spans="7:36" x14ac:dyDescent="0.2">
      <c r="G128" s="88">
        <v>125</v>
      </c>
      <c r="H128" s="89">
        <f t="shared" ca="1" si="12"/>
        <v>156189395.80249074</v>
      </c>
      <c r="I128" s="89">
        <f t="shared" ca="1" si="13"/>
        <v>2064035.3396395915</v>
      </c>
      <c r="J128" s="89">
        <f t="shared" ca="1" si="14"/>
        <v>1728918.7352277739</v>
      </c>
      <c r="K128" s="89">
        <f t="shared" ca="1" si="15"/>
        <v>3792954.0748673654</v>
      </c>
      <c r="O128" s="88">
        <v>125</v>
      </c>
      <c r="P128" s="89">
        <f t="shared" ca="1" si="16"/>
        <v>173956088.84236327</v>
      </c>
      <c r="Q128" s="89">
        <f t="shared" ca="1" si="17"/>
        <v>2367894.879240918</v>
      </c>
      <c r="R128" s="89">
        <f t="shared" ca="1" si="18"/>
        <v>1753981.838433515</v>
      </c>
      <c r="S128" s="89">
        <f t="shared" ca="1" si="19"/>
        <v>4121876.7176744328</v>
      </c>
      <c r="AF128" s="88">
        <v>125</v>
      </c>
      <c r="AG128" s="90">
        <f t="shared" ca="1" si="20"/>
        <v>1024125.3251849251</v>
      </c>
      <c r="AH128" s="90">
        <f t="shared" ca="1" si="21"/>
        <v>729856.51324858994</v>
      </c>
      <c r="AI128" s="90">
        <f t="shared" ca="1" si="22"/>
        <v>138246474.13343409</v>
      </c>
      <c r="AJ128" s="90">
        <f t="shared" ca="1" si="23"/>
        <v>-35709614.708929092</v>
      </c>
    </row>
    <row r="129" spans="7:36" x14ac:dyDescent="0.2">
      <c r="G129" s="88">
        <v>126</v>
      </c>
      <c r="H129" s="89">
        <f t="shared" ca="1" si="12"/>
        <v>154102810.87676558</v>
      </c>
      <c r="I129" s="89">
        <f t="shared" ca="1" si="13"/>
        <v>2086584.9257251541</v>
      </c>
      <c r="J129" s="89">
        <f t="shared" ca="1" si="14"/>
        <v>1706369.1491422113</v>
      </c>
      <c r="K129" s="89">
        <f t="shared" ca="1" si="15"/>
        <v>3792954.0748673654</v>
      </c>
      <c r="O129" s="88">
        <v>126</v>
      </c>
      <c r="P129" s="89">
        <f t="shared" ca="1" si="16"/>
        <v>171564639.34210116</v>
      </c>
      <c r="Q129" s="89">
        <f t="shared" ca="1" si="17"/>
        <v>2391449.5002621049</v>
      </c>
      <c r="R129" s="89">
        <f t="shared" ca="1" si="18"/>
        <v>1730427.2174123281</v>
      </c>
      <c r="S129" s="89">
        <f t="shared" ca="1" si="19"/>
        <v>4121876.7176744328</v>
      </c>
      <c r="AF129" s="88">
        <v>126</v>
      </c>
      <c r="AG129" s="90">
        <f t="shared" ca="1" si="20"/>
        <v>1001680.2225260016</v>
      </c>
      <c r="AH129" s="90">
        <f t="shared" ca="1" si="21"/>
        <v>728746.99488632649</v>
      </c>
      <c r="AI129" s="90">
        <f t="shared" ca="1" si="22"/>
        <v>135126277.63828564</v>
      </c>
      <c r="AJ129" s="90">
        <f t="shared" ca="1" si="23"/>
        <v>-36438361.703815416</v>
      </c>
    </row>
    <row r="130" spans="7:36" x14ac:dyDescent="0.2">
      <c r="G130" s="88">
        <v>127</v>
      </c>
      <c r="H130" s="89">
        <f t="shared" ca="1" si="12"/>
        <v>151993430.01072687</v>
      </c>
      <c r="I130" s="89">
        <f t="shared" ca="1" si="13"/>
        <v>2109380.8660387015</v>
      </c>
      <c r="J130" s="89">
        <f t="shared" ca="1" si="14"/>
        <v>1683573.2088286637</v>
      </c>
      <c r="K130" s="89">
        <f t="shared" ca="1" si="15"/>
        <v>3792954.0748673654</v>
      </c>
      <c r="O130" s="88">
        <v>127</v>
      </c>
      <c r="P130" s="89">
        <f t="shared" ca="1" si="16"/>
        <v>169149400.91135746</v>
      </c>
      <c r="Q130" s="89">
        <f t="shared" ca="1" si="17"/>
        <v>2415238.4307436971</v>
      </c>
      <c r="R130" s="89">
        <f t="shared" ca="1" si="18"/>
        <v>1706638.2869307359</v>
      </c>
      <c r="S130" s="89">
        <f t="shared" ca="1" si="19"/>
        <v>4121876.7176744328</v>
      </c>
      <c r="AF130" s="88">
        <v>127</v>
      </c>
      <c r="AG130" s="90">
        <f t="shared" ca="1" si="20"/>
        <v>979072.49137642817</v>
      </c>
      <c r="AH130" s="90">
        <f t="shared" ca="1" si="21"/>
        <v>727565.79555430776</v>
      </c>
      <c r="AI130" s="90">
        <f t="shared" ca="1" si="22"/>
        <v>131983473.41198763</v>
      </c>
      <c r="AJ130" s="90">
        <f t="shared" ca="1" si="23"/>
        <v>-37165927.499369726</v>
      </c>
    </row>
    <row r="131" spans="7:36" x14ac:dyDescent="0.2">
      <c r="G131" s="88">
        <v>128</v>
      </c>
      <c r="H131" s="89">
        <f t="shared" ca="1" si="12"/>
        <v>149861004.15872669</v>
      </c>
      <c r="I131" s="89">
        <f t="shared" ca="1" si="13"/>
        <v>2132425.8520001746</v>
      </c>
      <c r="J131" s="89">
        <f t="shared" ca="1" si="14"/>
        <v>1660528.2228671908</v>
      </c>
      <c r="K131" s="89">
        <f t="shared" ca="1" si="15"/>
        <v>3792954.0748673654</v>
      </c>
      <c r="O131" s="88">
        <v>128</v>
      </c>
      <c r="P131" s="89">
        <f t="shared" ca="1" si="16"/>
        <v>166710136.90987971</v>
      </c>
      <c r="Q131" s="89">
        <f t="shared" ca="1" si="17"/>
        <v>2439264.001477737</v>
      </c>
      <c r="R131" s="89">
        <f t="shared" ca="1" si="18"/>
        <v>1682612.716196696</v>
      </c>
      <c r="S131" s="89">
        <f t="shared" ca="1" si="19"/>
        <v>4121876.7176744328</v>
      </c>
      <c r="AF131" s="88">
        <v>128</v>
      </c>
      <c r="AG131" s="90">
        <f t="shared" ca="1" si="20"/>
        <v>956300.95339336654</v>
      </c>
      <c r="AH131" s="90">
        <f t="shared" ca="1" si="21"/>
        <v>726311.7628033295</v>
      </c>
      <c r="AI131" s="90">
        <f t="shared" ca="1" si="22"/>
        <v>128817897.64770657</v>
      </c>
      <c r="AJ131" s="90">
        <f t="shared" ca="1" si="23"/>
        <v>-37892239.262173057</v>
      </c>
    </row>
    <row r="132" spans="7:36" x14ac:dyDescent="0.2">
      <c r="G132" s="88">
        <v>129</v>
      </c>
      <c r="H132" s="89">
        <f t="shared" ca="1" si="12"/>
        <v>147705281.55429342</v>
      </c>
      <c r="I132" s="89">
        <f t="shared" ca="1" si="13"/>
        <v>2155722.6044332762</v>
      </c>
      <c r="J132" s="89">
        <f t="shared" ca="1" si="14"/>
        <v>1637231.4704340892</v>
      </c>
      <c r="K132" s="89">
        <f t="shared" ca="1" si="15"/>
        <v>3792954.0748673654</v>
      </c>
      <c r="O132" s="88">
        <v>129</v>
      </c>
      <c r="P132" s="89">
        <f t="shared" ca="1" si="16"/>
        <v>164246608.34343791</v>
      </c>
      <c r="Q132" s="89">
        <f t="shared" ca="1" si="17"/>
        <v>2463528.5664418079</v>
      </c>
      <c r="R132" s="89">
        <f t="shared" ca="1" si="18"/>
        <v>1658348.1512326251</v>
      </c>
      <c r="S132" s="89">
        <f t="shared" ca="1" si="19"/>
        <v>4121876.7176744328</v>
      </c>
      <c r="AF132" s="88">
        <v>129</v>
      </c>
      <c r="AG132" s="90">
        <f t="shared" ca="1" si="20"/>
        <v>933364.42169616418</v>
      </c>
      <c r="AH132" s="90">
        <f t="shared" ca="1" si="21"/>
        <v>724983.72953646095</v>
      </c>
      <c r="AI132" s="90">
        <f t="shared" ca="1" si="22"/>
        <v>125629385.35172831</v>
      </c>
      <c r="AJ132" s="90">
        <f t="shared" ca="1" si="23"/>
        <v>-38617222.991709515</v>
      </c>
    </row>
    <row r="133" spans="7:36" x14ac:dyDescent="0.2">
      <c r="G133" s="88">
        <v>130</v>
      </c>
      <c r="H133" s="89">
        <f t="shared" ref="H133:H183" ca="1" si="24">H132-I133</f>
        <v>145526007.68040672</v>
      </c>
      <c r="I133" s="89">
        <f t="shared" ref="I133:I183" ca="1" si="25">K133-J133</f>
        <v>2179273.87388671</v>
      </c>
      <c r="J133" s="89">
        <f t="shared" ref="J133:J183" ca="1" si="26">IF(G133&lt;=$C$9,H132*$C$25/12,H132*$C$35/12)</f>
        <v>1613680.2009806556</v>
      </c>
      <c r="K133" s="89">
        <f t="shared" ref="K133:K183" ca="1" si="27">IFERROR(IF(G133&lt;=$C$8,IF(G133&lt;=$C$9,$C$6,$C$36),0),0)</f>
        <v>3792954.0748673654</v>
      </c>
      <c r="O133" s="88">
        <v>130</v>
      </c>
      <c r="P133" s="89">
        <f t="shared" ref="P133:P183" ca="1" si="28">P132-Q133</f>
        <v>161758573.84040824</v>
      </c>
      <c r="Q133" s="89">
        <f t="shared" ref="Q133:Q183" ca="1" si="29">S133-R133</f>
        <v>2488034.503029671</v>
      </c>
      <c r="R133" s="89">
        <f t="shared" ref="R133:R183" ca="1" si="30">IF(O133&lt;=$C$9,P132*$V$5/12,P132*$V$14/12)</f>
        <v>1633842.2146447618</v>
      </c>
      <c r="S133" s="89">
        <f t="shared" ref="S133:S183" ca="1" si="31">IFERROR(IF(O133&lt;=$C$8,IF(O133&lt;=$C$9,$C$6,$V$15),0),0)</f>
        <v>4121876.7176744328</v>
      </c>
      <c r="AF133" s="88">
        <v>130</v>
      </c>
      <c r="AG133" s="90">
        <f t="shared" ref="AG133:AG183" ca="1" si="32">$AH$1/12*AI132</f>
        <v>910261.70080449269</v>
      </c>
      <c r="AH133" s="90">
        <f t="shared" ref="AH133:AH183" ca="1" si="33">R133-AG133</f>
        <v>723580.51384026906</v>
      </c>
      <c r="AI133" s="90">
        <f t="shared" ref="AI133:AI183" ca="1" si="34">AI132-Q133-AH133</f>
        <v>122417770.33485836</v>
      </c>
      <c r="AJ133" s="90">
        <f t="shared" ref="AJ133:AJ183" ca="1" si="35">AJ132-AH133</f>
        <v>-39340803.505549781</v>
      </c>
    </row>
    <row r="134" spans="7:36" x14ac:dyDescent="0.2">
      <c r="G134" s="88">
        <v>131</v>
      </c>
      <c r="H134" s="89">
        <f t="shared" ca="1" si="24"/>
        <v>143322925.2394478</v>
      </c>
      <c r="I134" s="89">
        <f t="shared" ca="1" si="25"/>
        <v>2203082.4409589218</v>
      </c>
      <c r="J134" s="89">
        <f t="shared" ca="1" si="26"/>
        <v>1589871.6339084434</v>
      </c>
      <c r="K134" s="89">
        <f t="shared" ca="1" si="27"/>
        <v>3792954.0748673654</v>
      </c>
      <c r="O134" s="88">
        <v>131</v>
      </c>
      <c r="P134" s="89">
        <f t="shared" ca="1" si="28"/>
        <v>159245789.62812403</v>
      </c>
      <c r="Q134" s="89">
        <f t="shared" ca="1" si="29"/>
        <v>2512784.2122841999</v>
      </c>
      <c r="R134" s="89">
        <f t="shared" ca="1" si="30"/>
        <v>1609092.5053902327</v>
      </c>
      <c r="S134" s="89">
        <f t="shared" ca="1" si="31"/>
        <v>4121876.7176744328</v>
      </c>
      <c r="AF134" s="88">
        <v>131</v>
      </c>
      <c r="AG134" s="90">
        <f t="shared" ca="1" si="32"/>
        <v>886991.58657603792</v>
      </c>
      <c r="AH134" s="90">
        <f t="shared" ca="1" si="33"/>
        <v>722100.91881419474</v>
      </c>
      <c r="AI134" s="90">
        <f t="shared" ca="1" si="34"/>
        <v>119182885.20375995</v>
      </c>
      <c r="AJ134" s="90">
        <f t="shared" ca="1" si="35"/>
        <v>-40062904.424363978</v>
      </c>
    </row>
    <row r="135" spans="7:36" x14ac:dyDescent="0.2">
      <c r="G135" s="88">
        <v>132</v>
      </c>
      <c r="H135" s="89">
        <f t="shared" ca="1" si="24"/>
        <v>141095774.12282139</v>
      </c>
      <c r="I135" s="89">
        <f t="shared" ca="1" si="25"/>
        <v>2227151.1166263982</v>
      </c>
      <c r="J135" s="89">
        <f t="shared" ca="1" si="26"/>
        <v>1565802.9582409672</v>
      </c>
      <c r="K135" s="89">
        <f t="shared" ca="1" si="27"/>
        <v>3792954.0748673654</v>
      </c>
      <c r="O135" s="88">
        <v>132</v>
      </c>
      <c r="P135" s="89">
        <f t="shared" ca="1" si="28"/>
        <v>156708009.50899139</v>
      </c>
      <c r="Q135" s="89">
        <f t="shared" ca="1" si="29"/>
        <v>2537780.1191326282</v>
      </c>
      <c r="R135" s="89">
        <f t="shared" ca="1" si="30"/>
        <v>1584096.5985418046</v>
      </c>
      <c r="S135" s="89">
        <f t="shared" ca="1" si="31"/>
        <v>4121876.7176744328</v>
      </c>
      <c r="AF135" s="88">
        <v>132</v>
      </c>
      <c r="AG135" s="90">
        <f t="shared" ca="1" si="32"/>
        <v>863552.86614373827</v>
      </c>
      <c r="AH135" s="90">
        <f t="shared" ca="1" si="33"/>
        <v>720543.73239806632</v>
      </c>
      <c r="AI135" s="90">
        <f t="shared" ca="1" si="34"/>
        <v>115924561.35222927</v>
      </c>
      <c r="AJ135" s="90">
        <f t="shared" ca="1" si="35"/>
        <v>-40783448.156762041</v>
      </c>
    </row>
    <row r="136" spans="7:36" x14ac:dyDescent="0.2">
      <c r="G136" s="88">
        <v>133</v>
      </c>
      <c r="H136" s="89">
        <f t="shared" ca="1" si="24"/>
        <v>138844291.38024583</v>
      </c>
      <c r="I136" s="89">
        <f t="shared" ca="1" si="25"/>
        <v>2251482.7425755421</v>
      </c>
      <c r="J136" s="89">
        <f t="shared" ca="1" si="26"/>
        <v>1541471.3322918236</v>
      </c>
      <c r="K136" s="89">
        <f t="shared" ca="1" si="27"/>
        <v>3792954.0748673654</v>
      </c>
      <c r="O136" s="88">
        <v>133</v>
      </c>
      <c r="P136" s="89">
        <f t="shared" ca="1" si="28"/>
        <v>154144984.83636725</v>
      </c>
      <c r="Q136" s="89">
        <f t="shared" ca="1" si="29"/>
        <v>2563024.6726241386</v>
      </c>
      <c r="R136" s="89">
        <f t="shared" ca="1" si="30"/>
        <v>1558852.0450502941</v>
      </c>
      <c r="S136" s="89">
        <f t="shared" ca="1" si="31"/>
        <v>4121876.7176744328</v>
      </c>
      <c r="AF136" s="88">
        <v>133</v>
      </c>
      <c r="AG136" s="90">
        <f t="shared" ca="1" si="32"/>
        <v>839944.31785256916</v>
      </c>
      <c r="AH136" s="90">
        <f t="shared" ca="1" si="33"/>
        <v>718907.72719772498</v>
      </c>
      <c r="AI136" s="90">
        <f t="shared" ca="1" si="34"/>
        <v>112642628.9524074</v>
      </c>
      <c r="AJ136" s="90">
        <f t="shared" ca="1" si="35"/>
        <v>-41502355.883959763</v>
      </c>
    </row>
    <row r="137" spans="7:36" x14ac:dyDescent="0.2">
      <c r="G137" s="88">
        <v>134</v>
      </c>
      <c r="H137" s="89">
        <f t="shared" ca="1" si="24"/>
        <v>136568211.18870765</v>
      </c>
      <c r="I137" s="89">
        <f t="shared" ca="1" si="25"/>
        <v>2276080.1915381798</v>
      </c>
      <c r="J137" s="89">
        <f t="shared" ca="1" si="26"/>
        <v>1516873.8833291857</v>
      </c>
      <c r="K137" s="89">
        <f t="shared" ca="1" si="27"/>
        <v>3792954.0748673654</v>
      </c>
      <c r="O137" s="88">
        <v>134</v>
      </c>
      <c r="P137" s="89">
        <f t="shared" ca="1" si="28"/>
        <v>151556464.49019742</v>
      </c>
      <c r="Q137" s="89">
        <f t="shared" ca="1" si="29"/>
        <v>2588520.3461698182</v>
      </c>
      <c r="R137" s="89">
        <f t="shared" ca="1" si="30"/>
        <v>1533356.3715046144</v>
      </c>
      <c r="S137" s="89">
        <f t="shared" ca="1" si="31"/>
        <v>4121876.7176744328</v>
      </c>
      <c r="AF137" s="88">
        <v>134</v>
      </c>
      <c r="AG137" s="90">
        <f t="shared" ca="1" si="32"/>
        <v>816164.71119586809</v>
      </c>
      <c r="AH137" s="90">
        <f t="shared" ca="1" si="33"/>
        <v>717191.66030874627</v>
      </c>
      <c r="AI137" s="90">
        <f t="shared" ca="1" si="34"/>
        <v>109336916.94592884</v>
      </c>
      <c r="AJ137" s="90">
        <f t="shared" ca="1" si="35"/>
        <v>-42219547.544268511</v>
      </c>
    </row>
    <row r="138" spans="7:36" x14ac:dyDescent="0.2">
      <c r="G138" s="88">
        <v>135</v>
      </c>
      <c r="H138" s="89">
        <f t="shared" ca="1" si="24"/>
        <v>134267264.82107693</v>
      </c>
      <c r="I138" s="89">
        <f t="shared" ca="1" si="25"/>
        <v>2300946.3676307341</v>
      </c>
      <c r="J138" s="89">
        <f t="shared" ca="1" si="26"/>
        <v>1492007.7072366311</v>
      </c>
      <c r="K138" s="89">
        <f t="shared" ca="1" si="27"/>
        <v>3792954.0748673654</v>
      </c>
      <c r="O138" s="88">
        <v>135</v>
      </c>
      <c r="P138" s="89">
        <f t="shared" ca="1" si="28"/>
        <v>148942194.85241243</v>
      </c>
      <c r="Q138" s="89">
        <f t="shared" ca="1" si="29"/>
        <v>2614269.6377849965</v>
      </c>
      <c r="R138" s="89">
        <f t="shared" ca="1" si="30"/>
        <v>1507607.0798894363</v>
      </c>
      <c r="S138" s="89">
        <f t="shared" ca="1" si="31"/>
        <v>4121876.7176744328</v>
      </c>
      <c r="AF138" s="88">
        <v>135</v>
      </c>
      <c r="AG138" s="90">
        <f t="shared" ca="1" si="32"/>
        <v>792212.80675119988</v>
      </c>
      <c r="AH138" s="90">
        <f t="shared" ca="1" si="33"/>
        <v>715394.27313823637</v>
      </c>
      <c r="AI138" s="90">
        <f t="shared" ca="1" si="34"/>
        <v>106007253.0350056</v>
      </c>
      <c r="AJ138" s="90">
        <f t="shared" ca="1" si="35"/>
        <v>-42934941.817406751</v>
      </c>
    </row>
    <row r="139" spans="7:36" x14ac:dyDescent="0.2">
      <c r="G139" s="88">
        <v>136</v>
      </c>
      <c r="H139" s="89">
        <f t="shared" ca="1" si="24"/>
        <v>131941180.61437982</v>
      </c>
      <c r="I139" s="89">
        <f t="shared" ca="1" si="25"/>
        <v>2326084.2066970998</v>
      </c>
      <c r="J139" s="89">
        <f t="shared" ca="1" si="26"/>
        <v>1466869.8681702653</v>
      </c>
      <c r="K139" s="89">
        <f t="shared" ca="1" si="27"/>
        <v>3792954.0748673654</v>
      </c>
      <c r="O139" s="88">
        <v>136</v>
      </c>
      <c r="P139" s="89">
        <f t="shared" ca="1" si="28"/>
        <v>146301919.78207844</v>
      </c>
      <c r="Q139" s="89">
        <f t="shared" ca="1" si="29"/>
        <v>2640275.0703339959</v>
      </c>
      <c r="R139" s="89">
        <f t="shared" ca="1" si="30"/>
        <v>1481601.6473404372</v>
      </c>
      <c r="S139" s="89">
        <f t="shared" ca="1" si="31"/>
        <v>4121876.7176744328</v>
      </c>
      <c r="AF139" s="88">
        <v>136</v>
      </c>
      <c r="AG139" s="90">
        <f t="shared" ca="1" si="32"/>
        <v>768087.35611575551</v>
      </c>
      <c r="AH139" s="90">
        <f t="shared" ca="1" si="33"/>
        <v>713514.29122468166</v>
      </c>
      <c r="AI139" s="90">
        <f t="shared" ca="1" si="34"/>
        <v>102653463.67344691</v>
      </c>
      <c r="AJ139" s="90">
        <f t="shared" ca="1" si="35"/>
        <v>-43648456.108631432</v>
      </c>
    </row>
    <row r="140" spans="7:36" x14ac:dyDescent="0.2">
      <c r="G140" s="88">
        <v>137</v>
      </c>
      <c r="H140" s="89">
        <f t="shared" ca="1" si="24"/>
        <v>129589683.93772456</v>
      </c>
      <c r="I140" s="89">
        <f t="shared" ca="1" si="25"/>
        <v>2351496.676655266</v>
      </c>
      <c r="J140" s="89">
        <f t="shared" ca="1" si="26"/>
        <v>1441457.3982120994</v>
      </c>
      <c r="K140" s="89">
        <f t="shared" ca="1" si="27"/>
        <v>3792954.0748673654</v>
      </c>
      <c r="O140" s="88">
        <v>137</v>
      </c>
      <c r="P140" s="89">
        <f t="shared" ca="1" si="28"/>
        <v>143635380.59030113</v>
      </c>
      <c r="Q140" s="89">
        <f t="shared" ca="1" si="29"/>
        <v>2666539.1917773178</v>
      </c>
      <c r="R140" s="89">
        <f t="shared" ca="1" si="30"/>
        <v>1455337.5258971148</v>
      </c>
      <c r="S140" s="89">
        <f t="shared" ca="1" si="31"/>
        <v>4121876.7176744328</v>
      </c>
      <c r="AF140" s="88">
        <v>137</v>
      </c>
      <c r="AG140" s="90">
        <f t="shared" ca="1" si="32"/>
        <v>743787.10184128513</v>
      </c>
      <c r="AH140" s="90">
        <f t="shared" ca="1" si="33"/>
        <v>711550.42405582964</v>
      </c>
      <c r="AI140" s="90">
        <f t="shared" ca="1" si="34"/>
        <v>99275374.05761376</v>
      </c>
      <c r="AJ140" s="90">
        <f t="shared" ca="1" si="35"/>
        <v>-44360006.532687262</v>
      </c>
    </row>
    <row r="141" spans="7:36" x14ac:dyDescent="0.2">
      <c r="G141" s="88">
        <v>138</v>
      </c>
      <c r="H141" s="89">
        <f t="shared" ca="1" si="24"/>
        <v>127212497.15987684</v>
      </c>
      <c r="I141" s="89">
        <f t="shared" ca="1" si="25"/>
        <v>2377186.7778477245</v>
      </c>
      <c r="J141" s="89">
        <f t="shared" ca="1" si="26"/>
        <v>1415767.2970196409</v>
      </c>
      <c r="K141" s="89">
        <f t="shared" ca="1" si="27"/>
        <v>3792954.0748673654</v>
      </c>
      <c r="O141" s="88">
        <v>138</v>
      </c>
      <c r="P141" s="89">
        <f t="shared" ca="1" si="28"/>
        <v>140942316.01487985</v>
      </c>
      <c r="Q141" s="89">
        <f t="shared" ca="1" si="29"/>
        <v>2693064.5754212877</v>
      </c>
      <c r="R141" s="89">
        <f t="shared" ca="1" si="30"/>
        <v>1428812.1422531453</v>
      </c>
      <c r="S141" s="89">
        <f t="shared" ca="1" si="31"/>
        <v>4121876.7176744328</v>
      </c>
      <c r="AF141" s="88">
        <v>138</v>
      </c>
      <c r="AG141" s="90">
        <f t="shared" ca="1" si="32"/>
        <v>719310.77736855717</v>
      </c>
      <c r="AH141" s="90">
        <f t="shared" ca="1" si="33"/>
        <v>709501.36488458817</v>
      </c>
      <c r="AI141" s="90">
        <f t="shared" ca="1" si="34"/>
        <v>95872808.117307886</v>
      </c>
      <c r="AJ141" s="90">
        <f t="shared" ca="1" si="35"/>
        <v>-45069507.897571847</v>
      </c>
    </row>
    <row r="142" spans="7:36" x14ac:dyDescent="0.2">
      <c r="G142" s="88">
        <v>139</v>
      </c>
      <c r="H142" s="89">
        <f t="shared" ca="1" si="24"/>
        <v>124809339.61648113</v>
      </c>
      <c r="I142" s="89">
        <f t="shared" ca="1" si="25"/>
        <v>2403157.5433957111</v>
      </c>
      <c r="J142" s="89">
        <f t="shared" ca="1" si="26"/>
        <v>1389796.5314716545</v>
      </c>
      <c r="K142" s="89">
        <f t="shared" ca="1" si="27"/>
        <v>3792954.0748673654</v>
      </c>
      <c r="O142" s="88">
        <v>139</v>
      </c>
      <c r="P142" s="89">
        <f t="shared" ca="1" si="28"/>
        <v>138222462.19470966</v>
      </c>
      <c r="Q142" s="89">
        <f t="shared" ca="1" si="29"/>
        <v>2719853.820170179</v>
      </c>
      <c r="R142" s="89">
        <f t="shared" ca="1" si="30"/>
        <v>1402022.897504254</v>
      </c>
      <c r="S142" s="89">
        <f t="shared" ca="1" si="31"/>
        <v>4121876.7176744328</v>
      </c>
      <c r="AF142" s="88">
        <v>139</v>
      </c>
      <c r="AG142" s="90">
        <f t="shared" ca="1" si="32"/>
        <v>694657.10696134414</v>
      </c>
      <c r="AH142" s="90">
        <f t="shared" ca="1" si="33"/>
        <v>707365.79054290988</v>
      </c>
      <c r="AI142" s="90">
        <f t="shared" ca="1" si="34"/>
        <v>92445588.506594792</v>
      </c>
      <c r="AJ142" s="90">
        <f t="shared" ca="1" si="35"/>
        <v>-45776873.688114755</v>
      </c>
    </row>
    <row r="143" spans="7:36" x14ac:dyDescent="0.2">
      <c r="G143" s="88">
        <v>140</v>
      </c>
      <c r="H143" s="89">
        <f t="shared" ca="1" si="24"/>
        <v>122379927.57692382</v>
      </c>
      <c r="I143" s="89">
        <f t="shared" ca="1" si="25"/>
        <v>2429412.0395573089</v>
      </c>
      <c r="J143" s="89">
        <f t="shared" ca="1" si="26"/>
        <v>1363542.0353100563</v>
      </c>
      <c r="K143" s="89">
        <f t="shared" ca="1" si="27"/>
        <v>3792954.0748673654</v>
      </c>
      <c r="O143" s="88">
        <v>140</v>
      </c>
      <c r="P143" s="89">
        <f t="shared" ca="1" si="28"/>
        <v>135475552.6439288</v>
      </c>
      <c r="Q143" s="89">
        <f t="shared" ca="1" si="29"/>
        <v>2746909.5507808523</v>
      </c>
      <c r="R143" s="89">
        <f t="shared" ca="1" si="30"/>
        <v>1374967.1668935802</v>
      </c>
      <c r="S143" s="89">
        <f t="shared" ca="1" si="31"/>
        <v>4121876.7176744328</v>
      </c>
      <c r="AF143" s="88">
        <v>140</v>
      </c>
      <c r="AG143" s="90">
        <f t="shared" ca="1" si="32"/>
        <v>669824.80563992972</v>
      </c>
      <c r="AH143" s="90">
        <f t="shared" ca="1" si="33"/>
        <v>705142.36125365051</v>
      </c>
      <c r="AI143" s="90">
        <f t="shared" ca="1" si="34"/>
        <v>88993536.594560295</v>
      </c>
      <c r="AJ143" s="90">
        <f t="shared" ca="1" si="35"/>
        <v>-46482016.049368404</v>
      </c>
    </row>
    <row r="144" spans="7:36" x14ac:dyDescent="0.2">
      <c r="G144" s="88">
        <v>141</v>
      </c>
      <c r="H144" s="89">
        <f t="shared" ca="1" si="24"/>
        <v>119923974.21083434</v>
      </c>
      <c r="I144" s="89">
        <f t="shared" ca="1" si="25"/>
        <v>2455953.3660894725</v>
      </c>
      <c r="J144" s="89">
        <f t="shared" ca="1" si="26"/>
        <v>1337000.7087778926</v>
      </c>
      <c r="K144" s="89">
        <f t="shared" ca="1" si="27"/>
        <v>3792954.0748673654</v>
      </c>
      <c r="O144" s="88">
        <v>141</v>
      </c>
      <c r="P144" s="89">
        <f t="shared" ca="1" si="28"/>
        <v>132701318.22580887</v>
      </c>
      <c r="Q144" s="89">
        <f t="shared" ca="1" si="29"/>
        <v>2774234.4181199227</v>
      </c>
      <c r="R144" s="89">
        <f t="shared" ca="1" si="30"/>
        <v>1347642.29955451</v>
      </c>
      <c r="S144" s="89">
        <f t="shared" ca="1" si="31"/>
        <v>4121876.7176744328</v>
      </c>
      <c r="AF144" s="88">
        <v>141</v>
      </c>
      <c r="AG144" s="90">
        <f t="shared" ca="1" si="32"/>
        <v>644812.57911413384</v>
      </c>
      <c r="AH144" s="90">
        <f t="shared" ca="1" si="33"/>
        <v>702829.7204403762</v>
      </c>
      <c r="AI144" s="90">
        <f t="shared" ca="1" si="34"/>
        <v>85516472.456</v>
      </c>
      <c r="AJ144" s="90">
        <f t="shared" ca="1" si="35"/>
        <v>-47184845.769808777</v>
      </c>
    </row>
    <row r="145" spans="7:36" x14ac:dyDescent="0.2">
      <c r="G145" s="88">
        <v>142</v>
      </c>
      <c r="H145" s="89">
        <f t="shared" ca="1" si="24"/>
        <v>117441189.55422033</v>
      </c>
      <c r="I145" s="89">
        <f t="shared" ca="1" si="25"/>
        <v>2482784.656614</v>
      </c>
      <c r="J145" s="89">
        <f t="shared" ca="1" si="26"/>
        <v>1310169.4182533652</v>
      </c>
      <c r="K145" s="89">
        <f t="shared" ca="1" si="27"/>
        <v>3792954.0748673654</v>
      </c>
      <c r="O145" s="88">
        <v>142</v>
      </c>
      <c r="P145" s="89">
        <f t="shared" ca="1" si="28"/>
        <v>129899487.12638539</v>
      </c>
      <c r="Q145" s="89">
        <f t="shared" ca="1" si="29"/>
        <v>2801831.0994234849</v>
      </c>
      <c r="R145" s="89">
        <f t="shared" ca="1" si="30"/>
        <v>1320045.6182509481</v>
      </c>
      <c r="S145" s="89">
        <f t="shared" ca="1" si="31"/>
        <v>4121876.7176744328</v>
      </c>
      <c r="AF145" s="88">
        <v>142</v>
      </c>
      <c r="AG145" s="90">
        <f t="shared" ca="1" si="32"/>
        <v>619619.12371585309</v>
      </c>
      <c r="AH145" s="90">
        <f t="shared" ca="1" si="33"/>
        <v>700426.49453509506</v>
      </c>
      <c r="AI145" s="90">
        <f t="shared" ca="1" si="34"/>
        <v>82014214.862041429</v>
      </c>
      <c r="AJ145" s="90">
        <f t="shared" ca="1" si="35"/>
        <v>-47885272.264343873</v>
      </c>
    </row>
    <row r="146" spans="7:36" x14ac:dyDescent="0.2">
      <c r="G146" s="88">
        <v>143</v>
      </c>
      <c r="H146" s="89">
        <f t="shared" ca="1" si="24"/>
        <v>114931280.47523282</v>
      </c>
      <c r="I146" s="89">
        <f t="shared" ca="1" si="25"/>
        <v>2509909.0789875081</v>
      </c>
      <c r="J146" s="89">
        <f t="shared" ca="1" si="26"/>
        <v>1283044.9958798571</v>
      </c>
      <c r="K146" s="89">
        <f t="shared" ca="1" si="27"/>
        <v>3792954.0748673654</v>
      </c>
      <c r="O146" s="88">
        <v>143</v>
      </c>
      <c r="P146" s="89">
        <f t="shared" ca="1" si="28"/>
        <v>127069784.82782596</v>
      </c>
      <c r="Q146" s="89">
        <f t="shared" ca="1" si="29"/>
        <v>2829702.298559424</v>
      </c>
      <c r="R146" s="89">
        <f t="shared" ca="1" si="30"/>
        <v>1292174.4191150088</v>
      </c>
      <c r="S146" s="89">
        <f t="shared" ca="1" si="31"/>
        <v>4121876.7176744328</v>
      </c>
      <c r="AF146" s="88">
        <v>143</v>
      </c>
      <c r="AG146" s="90">
        <f t="shared" ca="1" si="32"/>
        <v>594243.12633111118</v>
      </c>
      <c r="AH146" s="90">
        <f t="shared" ca="1" si="33"/>
        <v>697931.2927838976</v>
      </c>
      <c r="AI146" s="90">
        <f t="shared" ca="1" si="34"/>
        <v>78486581.2706981</v>
      </c>
      <c r="AJ146" s="90">
        <f t="shared" ca="1" si="35"/>
        <v>-48583203.557127774</v>
      </c>
    </row>
    <row r="147" spans="7:36" x14ac:dyDescent="0.2">
      <c r="G147" s="88">
        <v>144</v>
      </c>
      <c r="H147" s="89">
        <f t="shared" ca="1" si="24"/>
        <v>112393950.63955738</v>
      </c>
      <c r="I147" s="89">
        <f t="shared" ca="1" si="25"/>
        <v>2537329.8356754472</v>
      </c>
      <c r="J147" s="89">
        <f t="shared" ca="1" si="26"/>
        <v>1255624.2391919184</v>
      </c>
      <c r="K147" s="89">
        <f t="shared" ca="1" si="27"/>
        <v>3792954.0748673654</v>
      </c>
      <c r="O147" s="88">
        <v>144</v>
      </c>
      <c r="P147" s="89">
        <f t="shared" ca="1" si="28"/>
        <v>124211934.08153363</v>
      </c>
      <c r="Q147" s="89">
        <f t="shared" ca="1" si="29"/>
        <v>2857850.7462923387</v>
      </c>
      <c r="R147" s="89">
        <f t="shared" ca="1" si="30"/>
        <v>1264025.9713820943</v>
      </c>
      <c r="S147" s="89">
        <f t="shared" ca="1" si="31"/>
        <v>4121876.7176744328</v>
      </c>
      <c r="AF147" s="88">
        <v>144</v>
      </c>
      <c r="AG147" s="90">
        <f t="shared" ca="1" si="32"/>
        <v>568683.26433161867</v>
      </c>
      <c r="AH147" s="90">
        <f t="shared" ca="1" si="33"/>
        <v>695342.70705047564</v>
      </c>
      <c r="AI147" s="90">
        <f t="shared" ca="1" si="34"/>
        <v>74933387.81735529</v>
      </c>
      <c r="AJ147" s="90">
        <f t="shared" ca="1" si="35"/>
        <v>-49278546.264178246</v>
      </c>
    </row>
    <row r="148" spans="7:36" x14ac:dyDescent="0.2">
      <c r="G148" s="88">
        <v>145</v>
      </c>
      <c r="H148" s="89">
        <f t="shared" ca="1" si="24"/>
        <v>109828900.47542718</v>
      </c>
      <c r="I148" s="89">
        <f t="shared" ca="1" si="25"/>
        <v>2565050.1641302011</v>
      </c>
      <c r="J148" s="89">
        <f t="shared" ca="1" si="26"/>
        <v>1227903.9107371643</v>
      </c>
      <c r="K148" s="89">
        <f t="shared" ca="1" si="27"/>
        <v>3792954.0748673654</v>
      </c>
      <c r="O148" s="88">
        <v>145</v>
      </c>
      <c r="P148" s="89">
        <f t="shared" ca="1" si="28"/>
        <v>121325654.88098253</v>
      </c>
      <c r="Q148" s="89">
        <f t="shared" ca="1" si="29"/>
        <v>2886279.2005510898</v>
      </c>
      <c r="R148" s="89">
        <f t="shared" ca="1" si="30"/>
        <v>1235597.5171233432</v>
      </c>
      <c r="S148" s="89">
        <f t="shared" ca="1" si="31"/>
        <v>4121876.7176744328</v>
      </c>
      <c r="AF148" s="88">
        <v>145</v>
      </c>
      <c r="AG148" s="90">
        <f t="shared" ca="1" si="32"/>
        <v>542938.20550583571</v>
      </c>
      <c r="AH148" s="90">
        <f t="shared" ca="1" si="33"/>
        <v>692659.31161750748</v>
      </c>
      <c r="AI148" s="90">
        <f t="shared" ca="1" si="34"/>
        <v>71354449.305186689</v>
      </c>
      <c r="AJ148" s="90">
        <f t="shared" ca="1" si="35"/>
        <v>-49971205.575795755</v>
      </c>
    </row>
    <row r="149" spans="7:36" x14ac:dyDescent="0.2">
      <c r="G149" s="88">
        <v>146</v>
      </c>
      <c r="H149" s="89">
        <f t="shared" ca="1" si="24"/>
        <v>107235827.13825385</v>
      </c>
      <c r="I149" s="89">
        <f t="shared" ca="1" si="25"/>
        <v>2593073.3371733231</v>
      </c>
      <c r="J149" s="89">
        <f t="shared" ca="1" si="26"/>
        <v>1199880.737694042</v>
      </c>
      <c r="K149" s="89">
        <f t="shared" ca="1" si="27"/>
        <v>3792954.0748673654</v>
      </c>
      <c r="O149" s="88">
        <v>146</v>
      </c>
      <c r="P149" s="89">
        <f t="shared" ca="1" si="28"/>
        <v>118410664.43428351</v>
      </c>
      <c r="Q149" s="89">
        <f t="shared" ca="1" si="29"/>
        <v>2914990.4466990223</v>
      </c>
      <c r="R149" s="89">
        <f t="shared" ca="1" si="30"/>
        <v>1206886.2709754107</v>
      </c>
      <c r="S149" s="89">
        <f t="shared" ca="1" si="31"/>
        <v>4121876.7176744328</v>
      </c>
      <c r="AF149" s="88">
        <v>146</v>
      </c>
      <c r="AG149" s="90">
        <f t="shared" ca="1" si="32"/>
        <v>517006.60798953474</v>
      </c>
      <c r="AH149" s="90">
        <f t="shared" ca="1" si="33"/>
        <v>689879.66298587597</v>
      </c>
      <c r="AI149" s="90">
        <f t="shared" ca="1" si="34"/>
        <v>67749579.195501789</v>
      </c>
      <c r="AJ149" s="90">
        <f t="shared" ca="1" si="35"/>
        <v>-50661085.238781631</v>
      </c>
    </row>
    <row r="150" spans="7:36" x14ac:dyDescent="0.2">
      <c r="G150" s="88">
        <v>147</v>
      </c>
      <c r="H150" s="89">
        <f t="shared" ca="1" si="24"/>
        <v>104614424.4748719</v>
      </c>
      <c r="I150" s="89">
        <f t="shared" ca="1" si="25"/>
        <v>2621402.6633819421</v>
      </c>
      <c r="J150" s="89">
        <f t="shared" ca="1" si="26"/>
        <v>1171551.4114854233</v>
      </c>
      <c r="K150" s="89">
        <f t="shared" ca="1" si="27"/>
        <v>3792954.0748673654</v>
      </c>
      <c r="O150" s="88">
        <v>147</v>
      </c>
      <c r="P150" s="89">
        <f t="shared" ca="1" si="28"/>
        <v>115466677.13647664</v>
      </c>
      <c r="Q150" s="89">
        <f t="shared" ca="1" si="29"/>
        <v>2943987.2978068665</v>
      </c>
      <c r="R150" s="89">
        <f t="shared" ca="1" si="30"/>
        <v>1177889.4198675666</v>
      </c>
      <c r="S150" s="89">
        <f t="shared" ca="1" si="31"/>
        <v>4121876.7176744328</v>
      </c>
      <c r="AF150" s="88">
        <v>147</v>
      </c>
      <c r="AG150" s="90">
        <f t="shared" ca="1" si="32"/>
        <v>490887.12019586214</v>
      </c>
      <c r="AH150" s="90">
        <f t="shared" ca="1" si="33"/>
        <v>687002.29967170442</v>
      </c>
      <c r="AI150" s="90">
        <f t="shared" ca="1" si="34"/>
        <v>64118589.598023221</v>
      </c>
      <c r="AJ150" s="90">
        <f t="shared" ca="1" si="35"/>
        <v>-51348087.538453333</v>
      </c>
    </row>
    <row r="151" spans="7:36" x14ac:dyDescent="0.2">
      <c r="G151" s="88">
        <v>148</v>
      </c>
      <c r="H151" s="89">
        <f t="shared" ca="1" si="24"/>
        <v>101964382.98739251</v>
      </c>
      <c r="I151" s="89">
        <f t="shared" ca="1" si="25"/>
        <v>2650041.4874793896</v>
      </c>
      <c r="J151" s="89">
        <f t="shared" ca="1" si="26"/>
        <v>1142912.5873879755</v>
      </c>
      <c r="K151" s="89">
        <f t="shared" ca="1" si="27"/>
        <v>3792954.0748673654</v>
      </c>
      <c r="O151" s="88">
        <v>148</v>
      </c>
      <c r="P151" s="89">
        <f t="shared" ca="1" si="28"/>
        <v>112493404.54154828</v>
      </c>
      <c r="Q151" s="89">
        <f t="shared" ca="1" si="29"/>
        <v>2973272.5949283578</v>
      </c>
      <c r="R151" s="89">
        <f t="shared" ca="1" si="30"/>
        <v>1148604.122746075</v>
      </c>
      <c r="S151" s="89">
        <f t="shared" ca="1" si="31"/>
        <v>4121876.7176744328</v>
      </c>
      <c r="AF151" s="88">
        <v>148</v>
      </c>
      <c r="AG151" s="90">
        <f t="shared" ca="1" si="32"/>
        <v>464578.38074489107</v>
      </c>
      <c r="AH151" s="90">
        <f t="shared" ca="1" si="33"/>
        <v>684025.74200118403</v>
      </c>
      <c r="AI151" s="90">
        <f t="shared" ca="1" si="34"/>
        <v>60461291.261093684</v>
      </c>
      <c r="AJ151" s="90">
        <f t="shared" ca="1" si="35"/>
        <v>-52032113.280454516</v>
      </c>
    </row>
    <row r="152" spans="7:36" x14ac:dyDescent="0.2">
      <c r="G152" s="88">
        <v>149</v>
      </c>
      <c r="H152" s="89">
        <f t="shared" ca="1" si="24"/>
        <v>99285389.79666242</v>
      </c>
      <c r="I152" s="89">
        <f t="shared" ca="1" si="25"/>
        <v>2678993.1907301024</v>
      </c>
      <c r="J152" s="89">
        <f t="shared" ca="1" si="26"/>
        <v>1113960.8841372633</v>
      </c>
      <c r="K152" s="89">
        <f t="shared" ca="1" si="27"/>
        <v>3792954.0748673654</v>
      </c>
      <c r="O152" s="88">
        <v>149</v>
      </c>
      <c r="P152" s="89">
        <f t="shared" ca="1" si="28"/>
        <v>109490555.33416969</v>
      </c>
      <c r="Q152" s="89">
        <f t="shared" ca="1" si="29"/>
        <v>3002849.2073785984</v>
      </c>
      <c r="R152" s="89">
        <f t="shared" ca="1" si="30"/>
        <v>1119027.5102958344</v>
      </c>
      <c r="S152" s="89">
        <f t="shared" ca="1" si="31"/>
        <v>4121876.7176744328</v>
      </c>
      <c r="AF152" s="88">
        <v>149</v>
      </c>
      <c r="AG152" s="90">
        <f t="shared" ca="1" si="32"/>
        <v>438079.01839266473</v>
      </c>
      <c r="AH152" s="90">
        <f t="shared" ca="1" si="33"/>
        <v>680948.49190316966</v>
      </c>
      <c r="AI152" s="90">
        <f t="shared" ca="1" si="34"/>
        <v>56777493.561811917</v>
      </c>
      <c r="AJ152" s="90">
        <f t="shared" ca="1" si="35"/>
        <v>-52713061.772357687</v>
      </c>
    </row>
    <row r="153" spans="7:36" x14ac:dyDescent="0.2">
      <c r="G153" s="88">
        <v>150</v>
      </c>
      <c r="H153" s="89">
        <f t="shared" ca="1" si="24"/>
        <v>96577128.605323598</v>
      </c>
      <c r="I153" s="89">
        <f t="shared" ca="1" si="25"/>
        <v>2708261.1913388288</v>
      </c>
      <c r="J153" s="89">
        <f t="shared" ca="1" si="26"/>
        <v>1084692.8835285369</v>
      </c>
      <c r="K153" s="89">
        <f t="shared" ca="1" si="27"/>
        <v>3792954.0748673654</v>
      </c>
      <c r="O153" s="88">
        <v>150</v>
      </c>
      <c r="P153" s="89">
        <f t="shared" ca="1" si="28"/>
        <v>106457835.30115449</v>
      </c>
      <c r="Q153" s="89">
        <f t="shared" ca="1" si="29"/>
        <v>3032720.033015186</v>
      </c>
      <c r="R153" s="89">
        <f t="shared" ca="1" si="30"/>
        <v>1089156.6846592468</v>
      </c>
      <c r="S153" s="89">
        <f t="shared" ca="1" si="31"/>
        <v>4121876.7176744328</v>
      </c>
      <c r="AF153" s="88">
        <v>150</v>
      </c>
      <c r="AG153" s="90">
        <f t="shared" ca="1" si="32"/>
        <v>411387.6519597256</v>
      </c>
      <c r="AH153" s="90">
        <f t="shared" ca="1" si="33"/>
        <v>677769.03269952117</v>
      </c>
      <c r="AI153" s="90">
        <f t="shared" ca="1" si="34"/>
        <v>53067004.496097215</v>
      </c>
      <c r="AJ153" s="90">
        <f t="shared" ca="1" si="35"/>
        <v>-53390830.805057205</v>
      </c>
    </row>
    <row r="154" spans="7:36" x14ac:dyDescent="0.2">
      <c r="G154" s="88">
        <v>151</v>
      </c>
      <c r="H154" s="89">
        <f t="shared" ca="1" si="24"/>
        <v>93839279.660469398</v>
      </c>
      <c r="I154" s="89">
        <f t="shared" ca="1" si="25"/>
        <v>2737848.9448542055</v>
      </c>
      <c r="J154" s="89">
        <f t="shared" ca="1" si="26"/>
        <v>1055105.1300131602</v>
      </c>
      <c r="K154" s="89">
        <f t="shared" ca="1" si="27"/>
        <v>3792954.0748673654</v>
      </c>
      <c r="O154" s="88">
        <v>151</v>
      </c>
      <c r="P154" s="89">
        <f t="shared" ca="1" si="28"/>
        <v>103394947.30263236</v>
      </c>
      <c r="Q154" s="89">
        <f t="shared" ca="1" si="29"/>
        <v>3062887.9985221401</v>
      </c>
      <c r="R154" s="89">
        <f t="shared" ca="1" si="30"/>
        <v>1058988.7191522925</v>
      </c>
      <c r="S154" s="89">
        <f t="shared" ca="1" si="31"/>
        <v>4121876.7176744328</v>
      </c>
      <c r="AF154" s="88">
        <v>151</v>
      </c>
      <c r="AG154" s="90">
        <f t="shared" ca="1" si="32"/>
        <v>384502.89025912661</v>
      </c>
      <c r="AH154" s="90">
        <f t="shared" ca="1" si="33"/>
        <v>674485.8288931658</v>
      </c>
      <c r="AI154" s="90">
        <f t="shared" ca="1" si="34"/>
        <v>49329630.668681912</v>
      </c>
      <c r="AJ154" s="90">
        <f t="shared" ca="1" si="35"/>
        <v>-54065316.633950368</v>
      </c>
    </row>
    <row r="155" spans="7:36" x14ac:dyDescent="0.2">
      <c r="G155" s="88">
        <v>152</v>
      </c>
      <c r="H155" s="89">
        <f t="shared" ca="1" si="24"/>
        <v>91071519.715892658</v>
      </c>
      <c r="I155" s="89">
        <f t="shared" ca="1" si="25"/>
        <v>2767759.9445767375</v>
      </c>
      <c r="J155" s="89">
        <f t="shared" ca="1" si="26"/>
        <v>1025194.1302906281</v>
      </c>
      <c r="K155" s="89">
        <f t="shared" ca="1" si="27"/>
        <v>3792954.0748673654</v>
      </c>
      <c r="O155" s="88">
        <v>152</v>
      </c>
      <c r="P155" s="89">
        <f t="shared" ca="1" si="28"/>
        <v>100301591.2429357</v>
      </c>
      <c r="Q155" s="89">
        <f t="shared" ca="1" si="29"/>
        <v>3093356.0596966539</v>
      </c>
      <c r="R155" s="89">
        <f t="shared" ca="1" si="30"/>
        <v>1028520.6579777788</v>
      </c>
      <c r="S155" s="89">
        <f t="shared" ca="1" si="31"/>
        <v>4121876.7176744328</v>
      </c>
      <c r="AF155" s="88">
        <v>152</v>
      </c>
      <c r="AG155" s="90">
        <f t="shared" ca="1" si="32"/>
        <v>357423.33202392067</v>
      </c>
      <c r="AH155" s="90">
        <f t="shared" ca="1" si="33"/>
        <v>671097.32595385821</v>
      </c>
      <c r="AI155" s="90">
        <f t="shared" ca="1" si="34"/>
        <v>45565177.283031404</v>
      </c>
      <c r="AJ155" s="90">
        <f t="shared" ca="1" si="35"/>
        <v>-54736413.959904224</v>
      </c>
    </row>
    <row r="156" spans="7:36" x14ac:dyDescent="0.2">
      <c r="G156" s="88">
        <v>153</v>
      </c>
      <c r="H156" s="89">
        <f t="shared" ca="1" si="24"/>
        <v>88273521.993921414</v>
      </c>
      <c r="I156" s="89">
        <f t="shared" ca="1" si="25"/>
        <v>2797997.721971238</v>
      </c>
      <c r="J156" s="89">
        <f t="shared" ca="1" si="26"/>
        <v>994956.35289612727</v>
      </c>
      <c r="K156" s="89">
        <f t="shared" ca="1" si="27"/>
        <v>3792954.0748673654</v>
      </c>
      <c r="O156" s="88">
        <v>153</v>
      </c>
      <c r="P156" s="89">
        <f t="shared" ca="1" si="28"/>
        <v>97177464.041197002</v>
      </c>
      <c r="Q156" s="89">
        <f t="shared" ca="1" si="29"/>
        <v>3124127.2017386961</v>
      </c>
      <c r="R156" s="89">
        <f t="shared" ca="1" si="30"/>
        <v>997749.51593573671</v>
      </c>
      <c r="S156" s="89">
        <f t="shared" ca="1" si="31"/>
        <v>4121876.7176744328</v>
      </c>
      <c r="AF156" s="88">
        <v>153</v>
      </c>
      <c r="AG156" s="90">
        <f t="shared" ca="1" si="32"/>
        <v>330147.56583412515</v>
      </c>
      <c r="AH156" s="90">
        <f t="shared" ca="1" si="33"/>
        <v>667601.95010161155</v>
      </c>
      <c r="AI156" s="90">
        <f t="shared" ca="1" si="34"/>
        <v>41773448.131191097</v>
      </c>
      <c r="AJ156" s="90">
        <f t="shared" ca="1" si="35"/>
        <v>-55404015.910005838</v>
      </c>
    </row>
    <row r="157" spans="7:36" x14ac:dyDescent="0.2">
      <c r="G157" s="88">
        <v>154</v>
      </c>
      <c r="H157" s="89">
        <f t="shared" ca="1" si="24"/>
        <v>85444956.146837637</v>
      </c>
      <c r="I157" s="89">
        <f t="shared" ca="1" si="25"/>
        <v>2828565.8470837739</v>
      </c>
      <c r="J157" s="89">
        <f t="shared" ca="1" si="26"/>
        <v>964388.22778359137</v>
      </c>
      <c r="K157" s="89">
        <f t="shared" ca="1" si="27"/>
        <v>3792954.0748673654</v>
      </c>
      <c r="O157" s="88">
        <v>154</v>
      </c>
      <c r="P157" s="89">
        <f t="shared" ca="1" si="28"/>
        <v>94022259.601653501</v>
      </c>
      <c r="Q157" s="89">
        <f t="shared" ca="1" si="29"/>
        <v>3155204.439543495</v>
      </c>
      <c r="R157" s="89">
        <f t="shared" ca="1" si="30"/>
        <v>966672.27813093772</v>
      </c>
      <c r="S157" s="89">
        <f t="shared" ca="1" si="31"/>
        <v>4121876.7176744328</v>
      </c>
      <c r="AF157" s="88">
        <v>154</v>
      </c>
      <c r="AG157" s="90">
        <f t="shared" ca="1" si="32"/>
        <v>302674.17004315666</v>
      </c>
      <c r="AH157" s="90">
        <f t="shared" ca="1" si="33"/>
        <v>663998.10808778112</v>
      </c>
      <c r="AI157" s="90">
        <f t="shared" ca="1" si="34"/>
        <v>37954245.583559826</v>
      </c>
      <c r="AJ157" s="90">
        <f t="shared" ca="1" si="35"/>
        <v>-56068014.018093616</v>
      </c>
    </row>
    <row r="158" spans="7:36" x14ac:dyDescent="0.2">
      <c r="G158" s="88">
        <v>155</v>
      </c>
      <c r="H158" s="89">
        <f t="shared" ca="1" si="24"/>
        <v>82585488.217874467</v>
      </c>
      <c r="I158" s="89">
        <f t="shared" ca="1" si="25"/>
        <v>2859467.9289631643</v>
      </c>
      <c r="J158" s="89">
        <f t="shared" ca="1" si="26"/>
        <v>933486.14590420108</v>
      </c>
      <c r="K158" s="89">
        <f t="shared" ca="1" si="27"/>
        <v>3792954.0748673654</v>
      </c>
      <c r="O158" s="88">
        <v>155</v>
      </c>
      <c r="P158" s="89">
        <f t="shared" ca="1" si="28"/>
        <v>90835668.783656567</v>
      </c>
      <c r="Q158" s="89">
        <f t="shared" ca="1" si="29"/>
        <v>3186590.8179969331</v>
      </c>
      <c r="R158" s="89">
        <f t="shared" ca="1" si="30"/>
        <v>935285.89967749978</v>
      </c>
      <c r="S158" s="89">
        <f t="shared" ca="1" si="31"/>
        <v>4121876.7176744328</v>
      </c>
      <c r="AF158" s="88">
        <v>155</v>
      </c>
      <c r="AG158" s="90">
        <f t="shared" ca="1" si="32"/>
        <v>275001.71270373318</v>
      </c>
      <c r="AH158" s="90">
        <f t="shared" ca="1" si="33"/>
        <v>660284.18697376666</v>
      </c>
      <c r="AI158" s="90">
        <f t="shared" ca="1" si="34"/>
        <v>34107370.578589126</v>
      </c>
      <c r="AJ158" s="90">
        <f t="shared" ca="1" si="35"/>
        <v>-56728298.205067381</v>
      </c>
    </row>
    <row r="159" spans="7:36" x14ac:dyDescent="0.2">
      <c r="G159" s="88">
        <v>156</v>
      </c>
      <c r="H159" s="89">
        <f t="shared" ca="1" si="24"/>
        <v>79694780.601787373</v>
      </c>
      <c r="I159" s="89">
        <f t="shared" ca="1" si="25"/>
        <v>2890707.616087087</v>
      </c>
      <c r="J159" s="89">
        <f t="shared" ca="1" si="26"/>
        <v>902246.45878027845</v>
      </c>
      <c r="K159" s="89">
        <f t="shared" ca="1" si="27"/>
        <v>3792954.0748673654</v>
      </c>
      <c r="O159" s="88">
        <v>156</v>
      </c>
      <c r="P159" s="89">
        <f t="shared" ca="1" si="28"/>
        <v>87617379.371382684</v>
      </c>
      <c r="Q159" s="89">
        <f t="shared" ca="1" si="29"/>
        <v>3218289.4122738768</v>
      </c>
      <c r="R159" s="89">
        <f t="shared" ca="1" si="30"/>
        <v>903587.30540055584</v>
      </c>
      <c r="S159" s="89">
        <f t="shared" ca="1" si="31"/>
        <v>4121876.7176744328</v>
      </c>
      <c r="AF159" s="88">
        <v>156</v>
      </c>
      <c r="AG159" s="90">
        <f t="shared" ca="1" si="32"/>
        <v>247128.75149323922</v>
      </c>
      <c r="AH159" s="90">
        <f t="shared" ca="1" si="33"/>
        <v>656458.55390731664</v>
      </c>
      <c r="AI159" s="90">
        <f t="shared" ca="1" si="34"/>
        <v>30232622.612407934</v>
      </c>
      <c r="AJ159" s="90">
        <f t="shared" ca="1" si="35"/>
        <v>-57384756.758974701</v>
      </c>
    </row>
    <row r="160" spans="7:36" x14ac:dyDescent="0.2">
      <c r="G160" s="88">
        <v>157</v>
      </c>
      <c r="H160" s="89">
        <f t="shared" ca="1" si="24"/>
        <v>76772492.004994541</v>
      </c>
      <c r="I160" s="89">
        <f t="shared" ca="1" si="25"/>
        <v>2922288.5967928385</v>
      </c>
      <c r="J160" s="89">
        <f t="shared" ca="1" si="26"/>
        <v>870665.478074527</v>
      </c>
      <c r="K160" s="89">
        <f t="shared" ca="1" si="27"/>
        <v>3792954.0748673654</v>
      </c>
      <c r="O160" s="88">
        <v>157</v>
      </c>
      <c r="P160" s="89">
        <f t="shared" ca="1" si="28"/>
        <v>84367076.0432432</v>
      </c>
      <c r="Q160" s="89">
        <f t="shared" ca="1" si="29"/>
        <v>3250303.3281394793</v>
      </c>
      <c r="R160" s="89">
        <f t="shared" ca="1" si="30"/>
        <v>871573.38953495352</v>
      </c>
      <c r="S160" s="89">
        <f t="shared" ca="1" si="31"/>
        <v>4121876.7176744328</v>
      </c>
      <c r="AF160" s="88">
        <v>157</v>
      </c>
      <c r="AG160" s="90">
        <f t="shared" ca="1" si="32"/>
        <v>219053.83363855025</v>
      </c>
      <c r="AH160" s="90">
        <f t="shared" ca="1" si="33"/>
        <v>652519.55589640327</v>
      </c>
      <c r="AI160" s="90">
        <f t="shared" ca="1" si="34"/>
        <v>26329799.728372052</v>
      </c>
      <c r="AJ160" s="90">
        <f t="shared" ca="1" si="35"/>
        <v>-58037276.314871103</v>
      </c>
    </row>
    <row r="161" spans="7:36" x14ac:dyDescent="0.2">
      <c r="G161" s="88">
        <v>158</v>
      </c>
      <c r="H161" s="89">
        <f t="shared" ca="1" si="24"/>
        <v>73818277.405281737</v>
      </c>
      <c r="I161" s="89">
        <f t="shared" ca="1" si="25"/>
        <v>2954214.5997128002</v>
      </c>
      <c r="J161" s="89">
        <f t="shared" ca="1" si="26"/>
        <v>838739.4751545653</v>
      </c>
      <c r="K161" s="89">
        <f t="shared" ca="1" si="27"/>
        <v>3792954.0748673654</v>
      </c>
      <c r="O161" s="88">
        <v>158</v>
      </c>
      <c r="P161" s="89">
        <f t="shared" ca="1" si="28"/>
        <v>81084440.340989724</v>
      </c>
      <c r="Q161" s="89">
        <f t="shared" ca="1" si="29"/>
        <v>3282635.702253473</v>
      </c>
      <c r="R161" s="89">
        <f t="shared" ca="1" si="30"/>
        <v>839241.01542095968</v>
      </c>
      <c r="S161" s="89">
        <f t="shared" ca="1" si="31"/>
        <v>4121876.7176744328</v>
      </c>
      <c r="AF161" s="88">
        <v>158</v>
      </c>
      <c r="AG161" s="90">
        <f t="shared" ca="1" si="32"/>
        <v>190775.49584031216</v>
      </c>
      <c r="AH161" s="90">
        <f t="shared" ca="1" si="33"/>
        <v>648465.51958064758</v>
      </c>
      <c r="AI161" s="90">
        <f t="shared" ca="1" si="34"/>
        <v>22398698.506537933</v>
      </c>
      <c r="AJ161" s="90">
        <f t="shared" ca="1" si="35"/>
        <v>-58685741.83445175</v>
      </c>
    </row>
    <row r="162" spans="7:36" x14ac:dyDescent="0.2">
      <c r="G162" s="88">
        <v>159</v>
      </c>
      <c r="H162" s="89">
        <f t="shared" ca="1" si="24"/>
        <v>70831788.011067078</v>
      </c>
      <c r="I162" s="89">
        <f t="shared" ca="1" si="25"/>
        <v>2986489.3942146623</v>
      </c>
      <c r="J162" s="89">
        <f t="shared" ca="1" si="26"/>
        <v>806464.68065270304</v>
      </c>
      <c r="K162" s="89">
        <f t="shared" ca="1" si="27"/>
        <v>3792954.0748673654</v>
      </c>
      <c r="O162" s="88">
        <v>159</v>
      </c>
      <c r="P162" s="89">
        <f t="shared" ca="1" si="28"/>
        <v>77769150.638512224</v>
      </c>
      <c r="Q162" s="89">
        <f t="shared" ca="1" si="29"/>
        <v>3315289.702477497</v>
      </c>
      <c r="R162" s="89">
        <f t="shared" ca="1" si="30"/>
        <v>806587.01519693574</v>
      </c>
      <c r="S162" s="89">
        <f t="shared" ca="1" si="31"/>
        <v>4121876.7176744328</v>
      </c>
      <c r="AF162" s="88">
        <v>159</v>
      </c>
      <c r="AG162" s="90">
        <f t="shared" ca="1" si="32"/>
        <v>162292.26419667251</v>
      </c>
      <c r="AH162" s="90">
        <f t="shared" ca="1" si="33"/>
        <v>644294.75100026326</v>
      </c>
      <c r="AI162" s="90">
        <f t="shared" ca="1" si="34"/>
        <v>18439114.053060174</v>
      </c>
      <c r="AJ162" s="90">
        <f t="shared" ca="1" si="35"/>
        <v>-59330036.585452013</v>
      </c>
    </row>
    <row r="163" spans="7:36" x14ac:dyDescent="0.2">
      <c r="G163" s="88">
        <v>160</v>
      </c>
      <c r="H163" s="89">
        <f t="shared" ca="1" si="24"/>
        <v>67812671.220220625</v>
      </c>
      <c r="I163" s="89">
        <f t="shared" ca="1" si="25"/>
        <v>3019116.7908464577</v>
      </c>
      <c r="J163" s="89">
        <f t="shared" ca="1" si="26"/>
        <v>773837.28402090771</v>
      </c>
      <c r="K163" s="89">
        <f t="shared" ca="1" si="27"/>
        <v>3792954.0748673654</v>
      </c>
      <c r="O163" s="88">
        <v>160</v>
      </c>
      <c r="P163" s="89">
        <f t="shared" ca="1" si="28"/>
        <v>74420882.110326752</v>
      </c>
      <c r="Q163" s="89">
        <f t="shared" ca="1" si="29"/>
        <v>3348268.5281854752</v>
      </c>
      <c r="R163" s="89">
        <f t="shared" ca="1" si="30"/>
        <v>773608.18948895752</v>
      </c>
      <c r="S163" s="89">
        <f t="shared" ca="1" si="31"/>
        <v>4121876.7176744328</v>
      </c>
      <c r="AF163" s="88">
        <v>160</v>
      </c>
      <c r="AG163" s="90">
        <f t="shared" ca="1" si="32"/>
        <v>133602.65412645889</v>
      </c>
      <c r="AH163" s="90">
        <f t="shared" ca="1" si="33"/>
        <v>640005.5353624986</v>
      </c>
      <c r="AI163" s="90">
        <f t="shared" ca="1" si="34"/>
        <v>14450839.9895122</v>
      </c>
      <c r="AJ163" s="90">
        <f t="shared" ca="1" si="35"/>
        <v>-59970042.12081451</v>
      </c>
    </row>
    <row r="164" spans="7:36" x14ac:dyDescent="0.2">
      <c r="G164" s="88">
        <v>161</v>
      </c>
      <c r="H164" s="89">
        <f t="shared" ca="1" si="24"/>
        <v>64760570.578434169</v>
      </c>
      <c r="I164" s="89">
        <f t="shared" ca="1" si="25"/>
        <v>3052100.6417864552</v>
      </c>
      <c r="J164" s="89">
        <f t="shared" ca="1" si="26"/>
        <v>740853.43308091024</v>
      </c>
      <c r="K164" s="89">
        <f t="shared" ca="1" si="27"/>
        <v>3792954.0748673654</v>
      </c>
      <c r="O164" s="88">
        <v>161</v>
      </c>
      <c r="P164" s="89">
        <f t="shared" ca="1" si="28"/>
        <v>71039306.699749663</v>
      </c>
      <c r="Q164" s="89">
        <f t="shared" ca="1" si="29"/>
        <v>3381575.4105770863</v>
      </c>
      <c r="R164" s="89">
        <f t="shared" ca="1" si="30"/>
        <v>740301.30709734641</v>
      </c>
      <c r="S164" s="89">
        <f t="shared" ca="1" si="31"/>
        <v>4121876.7176744328</v>
      </c>
      <c r="AF164" s="88">
        <v>161</v>
      </c>
      <c r="AG164" s="90">
        <f t="shared" ca="1" si="32"/>
        <v>104705.1702918006</v>
      </c>
      <c r="AH164" s="90">
        <f t="shared" ca="1" si="33"/>
        <v>635596.13680554577</v>
      </c>
      <c r="AI164" s="90">
        <f t="shared" ca="1" si="34"/>
        <v>10433668.442129567</v>
      </c>
      <c r="AJ164" s="90">
        <f t="shared" ca="1" si="35"/>
        <v>-60605638.257620059</v>
      </c>
    </row>
    <row r="165" spans="7:36" x14ac:dyDescent="0.2">
      <c r="G165" s="88">
        <v>162</v>
      </c>
      <c r="H165" s="89">
        <f t="shared" ca="1" si="24"/>
        <v>61675125.7371362</v>
      </c>
      <c r="I165" s="89">
        <f t="shared" ca="1" si="25"/>
        <v>3085444.841297972</v>
      </c>
      <c r="J165" s="89">
        <f t="shared" ca="1" si="26"/>
        <v>707509.23356939328</v>
      </c>
      <c r="K165" s="89">
        <f t="shared" ca="1" si="27"/>
        <v>3792954.0748673654</v>
      </c>
      <c r="O165" s="88">
        <v>162</v>
      </c>
      <c r="P165" s="89">
        <f t="shared" ca="1" si="28"/>
        <v>67624093.08675532</v>
      </c>
      <c r="Q165" s="89">
        <f t="shared" ca="1" si="29"/>
        <v>3415213.61299435</v>
      </c>
      <c r="R165" s="89">
        <f t="shared" ca="1" si="30"/>
        <v>706663.10468008288</v>
      </c>
      <c r="S165" s="89">
        <f t="shared" ca="1" si="31"/>
        <v>4121876.7176744328</v>
      </c>
      <c r="AF165" s="88">
        <v>162</v>
      </c>
      <c r="AG165" s="90">
        <f t="shared" ca="1" si="32"/>
        <v>75598.306520189988</v>
      </c>
      <c r="AH165" s="90">
        <f t="shared" ca="1" si="33"/>
        <v>631064.7981598929</v>
      </c>
      <c r="AI165" s="90">
        <f t="shared" ca="1" si="34"/>
        <v>6387390.0309753241</v>
      </c>
      <c r="AJ165" s="90">
        <f t="shared" ca="1" si="35"/>
        <v>-61236703.055779949</v>
      </c>
    </row>
    <row r="166" spans="7:36" x14ac:dyDescent="0.2">
      <c r="G166" s="88">
        <v>163</v>
      </c>
      <c r="H166" s="89">
        <f t="shared" ca="1" si="24"/>
        <v>58555972.410947047</v>
      </c>
      <c r="I166" s="89">
        <f t="shared" ca="1" si="25"/>
        <v>3119153.3261891524</v>
      </c>
      <c r="J166" s="89">
        <f t="shared" ca="1" si="26"/>
        <v>673800.74867821299</v>
      </c>
      <c r="K166" s="89">
        <f t="shared" ca="1" si="27"/>
        <v>3792954.0748673654</v>
      </c>
      <c r="O166" s="88">
        <v>163</v>
      </c>
      <c r="P166" s="89">
        <f t="shared" ca="1" si="28"/>
        <v>64174906.655513957</v>
      </c>
      <c r="Q166" s="89">
        <f t="shared" ca="1" si="29"/>
        <v>3449186.431241361</v>
      </c>
      <c r="R166" s="89">
        <f t="shared" ca="1" si="30"/>
        <v>672690.28643307195</v>
      </c>
      <c r="S166" s="89">
        <f t="shared" ca="1" si="31"/>
        <v>4121876.7176744328</v>
      </c>
      <c r="AF166" s="88">
        <v>163</v>
      </c>
      <c r="AG166" s="90">
        <f t="shared" ca="1" si="32"/>
        <v>46280.545725978693</v>
      </c>
      <c r="AH166" s="90">
        <f t="shared" ca="1" si="33"/>
        <v>626409.74070709327</v>
      </c>
      <c r="AI166" s="90">
        <f t="shared" ca="1" si="34"/>
        <v>2311793.8590268698</v>
      </c>
      <c r="AJ166" s="90">
        <f t="shared" ca="1" si="35"/>
        <v>-61863112.796487041</v>
      </c>
    </row>
    <row r="167" spans="7:36" x14ac:dyDescent="0.2">
      <c r="G167" s="88">
        <v>164</v>
      </c>
      <c r="H167" s="89">
        <f t="shared" ca="1" si="24"/>
        <v>55402742.334669277</v>
      </c>
      <c r="I167" s="89">
        <f t="shared" ca="1" si="25"/>
        <v>3153230.0762777692</v>
      </c>
      <c r="J167" s="89">
        <f t="shared" ca="1" si="26"/>
        <v>639723.99858959648</v>
      </c>
      <c r="K167" s="89">
        <f t="shared" ca="1" si="27"/>
        <v>3792954.0748673654</v>
      </c>
      <c r="O167" s="88">
        <v>164</v>
      </c>
      <c r="P167" s="89">
        <f t="shared" ca="1" si="28"/>
        <v>60691409.461606748</v>
      </c>
      <c r="Q167" s="89">
        <f t="shared" ca="1" si="29"/>
        <v>3483497.1939072078</v>
      </c>
      <c r="R167" s="89">
        <f t="shared" ca="1" si="30"/>
        <v>638379.52376722486</v>
      </c>
      <c r="S167" s="89">
        <f t="shared" ca="1" si="31"/>
        <v>4121876.7176744328</v>
      </c>
      <c r="AF167" s="88">
        <v>164</v>
      </c>
      <c r="AG167" s="90">
        <f t="shared" ca="1" si="32"/>
        <v>16750.359831305428</v>
      </c>
      <c r="AH167" s="90">
        <f t="shared" ca="1" si="33"/>
        <v>621629.16393591941</v>
      </c>
      <c r="AI167" s="90">
        <f t="shared" ca="1" si="34"/>
        <v>-1793332.4988162573</v>
      </c>
      <c r="AJ167" s="90">
        <f t="shared" ca="1" si="35"/>
        <v>-62484741.960422963</v>
      </c>
    </row>
    <row r="168" spans="7:36" x14ac:dyDescent="0.2">
      <c r="G168" s="88">
        <v>165</v>
      </c>
      <c r="H168" s="89">
        <f t="shared" ca="1" si="24"/>
        <v>52215063.219808176</v>
      </c>
      <c r="I168" s="89">
        <f t="shared" ca="1" si="25"/>
        <v>3187679.1148611037</v>
      </c>
      <c r="J168" s="89">
        <f t="shared" ca="1" si="26"/>
        <v>605274.96000626183</v>
      </c>
      <c r="K168" s="89">
        <f t="shared" ca="1" si="27"/>
        <v>3792954.0748673654</v>
      </c>
      <c r="O168" s="88">
        <v>165</v>
      </c>
      <c r="P168" s="89">
        <f t="shared" ca="1" si="28"/>
        <v>57173260.198914647</v>
      </c>
      <c r="Q168" s="89">
        <f t="shared" ca="1" si="29"/>
        <v>3518149.2626921008</v>
      </c>
      <c r="R168" s="89">
        <f t="shared" ca="1" si="30"/>
        <v>603727.45498233195</v>
      </c>
      <c r="S168" s="89">
        <f t="shared" ca="1" si="31"/>
        <v>4121876.7176744328</v>
      </c>
      <c r="AF168" s="88">
        <v>165</v>
      </c>
      <c r="AG168" s="90">
        <f t="shared" ca="1" si="32"/>
        <v>-12993.790313549442</v>
      </c>
      <c r="AH168" s="90">
        <f t="shared" ca="1" si="33"/>
        <v>616721.24529588141</v>
      </c>
      <c r="AI168" s="90">
        <f t="shared" ca="1" si="34"/>
        <v>-5928203.0068042399</v>
      </c>
      <c r="AJ168" s="90">
        <f t="shared" ca="1" si="35"/>
        <v>-63101463.205718845</v>
      </c>
    </row>
    <row r="169" spans="7:36" x14ac:dyDescent="0.2">
      <c r="G169" s="88">
        <v>166</v>
      </c>
      <c r="H169" s="89">
        <f t="shared" ca="1" si="24"/>
        <v>48992558.710617214</v>
      </c>
      <c r="I169" s="89">
        <f t="shared" ca="1" si="25"/>
        <v>3222504.5091909613</v>
      </c>
      <c r="J169" s="89">
        <f t="shared" ca="1" si="26"/>
        <v>570449.56567640428</v>
      </c>
      <c r="K169" s="89">
        <f t="shared" ca="1" si="27"/>
        <v>3792954.0748673654</v>
      </c>
      <c r="O169" s="88">
        <v>166</v>
      </c>
      <c r="P169" s="89">
        <f t="shared" ca="1" si="28"/>
        <v>53620114.166177906</v>
      </c>
      <c r="Q169" s="89">
        <f t="shared" ca="1" si="29"/>
        <v>3553146.0327367429</v>
      </c>
      <c r="R169" s="89">
        <f t="shared" ca="1" si="30"/>
        <v>568730.6849376898</v>
      </c>
      <c r="S169" s="89">
        <f t="shared" ca="1" si="31"/>
        <v>4121876.7176744328</v>
      </c>
      <c r="AF169" s="88">
        <v>166</v>
      </c>
      <c r="AG169" s="90">
        <f t="shared" ca="1" si="32"/>
        <v>-42953.45501038622</v>
      </c>
      <c r="AH169" s="90">
        <f t="shared" ca="1" si="33"/>
        <v>611684.13994807599</v>
      </c>
      <c r="AI169" s="90">
        <f t="shared" ca="1" si="34"/>
        <v>-10093033.179489059</v>
      </c>
      <c r="AJ169" s="90">
        <f t="shared" ca="1" si="35"/>
        <v>-63713147.345666923</v>
      </c>
    </row>
    <row r="170" spans="7:36" x14ac:dyDescent="0.2">
      <c r="G170" s="88">
        <v>167</v>
      </c>
      <c r="H170" s="89">
        <f t="shared" ca="1" si="24"/>
        <v>45734848.339663342</v>
      </c>
      <c r="I170" s="89">
        <f t="shared" ca="1" si="25"/>
        <v>3257710.3709538723</v>
      </c>
      <c r="J170" s="89">
        <f t="shared" ca="1" si="26"/>
        <v>535243.70391349308</v>
      </c>
      <c r="K170" s="89">
        <f t="shared" ca="1" si="27"/>
        <v>3792954.0748673654</v>
      </c>
      <c r="O170" s="88">
        <v>167</v>
      </c>
      <c r="P170" s="89">
        <f t="shared" ca="1" si="28"/>
        <v>50031623.233222924</v>
      </c>
      <c r="Q170" s="89">
        <f t="shared" ca="1" si="29"/>
        <v>3588490.932954981</v>
      </c>
      <c r="R170" s="89">
        <f t="shared" ca="1" si="30"/>
        <v>533385.78471945168</v>
      </c>
      <c r="S170" s="89">
        <f t="shared" ca="1" si="31"/>
        <v>4121876.7176744328</v>
      </c>
      <c r="AF170" s="88">
        <v>167</v>
      </c>
      <c r="AG170" s="90">
        <f t="shared" ca="1" si="32"/>
        <v>-73130.195793889536</v>
      </c>
      <c r="AH170" s="90">
        <f t="shared" ca="1" si="33"/>
        <v>606515.98051334126</v>
      </c>
      <c r="AI170" s="90">
        <f t="shared" ca="1" si="34"/>
        <v>-14288040.092957381</v>
      </c>
      <c r="AJ170" s="90">
        <f t="shared" ca="1" si="35"/>
        <v>-64319663.326180264</v>
      </c>
    </row>
    <row r="171" spans="7:36" x14ac:dyDescent="0.2">
      <c r="G171" s="88">
        <v>168</v>
      </c>
      <c r="H171" s="89">
        <f t="shared" ca="1" si="24"/>
        <v>42441547.482906796</v>
      </c>
      <c r="I171" s="89">
        <f t="shared" ca="1" si="25"/>
        <v>3293300.8567565433</v>
      </c>
      <c r="J171" s="89">
        <f t="shared" ca="1" si="26"/>
        <v>499653.21811082197</v>
      </c>
      <c r="K171" s="89">
        <f t="shared" ca="1" si="27"/>
        <v>3792954.0748673654</v>
      </c>
      <c r="O171" s="88">
        <v>168</v>
      </c>
      <c r="P171" s="89">
        <f t="shared" ca="1" si="28"/>
        <v>46407435.80685316</v>
      </c>
      <c r="Q171" s="89">
        <f t="shared" ca="1" si="29"/>
        <v>3624187.426369763</v>
      </c>
      <c r="R171" s="89">
        <f t="shared" ca="1" si="30"/>
        <v>497689.29130466963</v>
      </c>
      <c r="S171" s="89">
        <f t="shared" ca="1" si="31"/>
        <v>4121876.7176744328</v>
      </c>
      <c r="AF171" s="88">
        <v>168</v>
      </c>
      <c r="AG171" s="90">
        <f t="shared" ca="1" si="32"/>
        <v>-103525.58551301743</v>
      </c>
      <c r="AH171" s="90">
        <f t="shared" ca="1" si="33"/>
        <v>601214.87681768707</v>
      </c>
      <c r="AI171" s="90">
        <f t="shared" ca="1" si="34"/>
        <v>-18513442.396144833</v>
      </c>
      <c r="AJ171" s="90">
        <f t="shared" ca="1" si="35"/>
        <v>-64920878.202997953</v>
      </c>
    </row>
    <row r="172" spans="7:36" x14ac:dyDescent="0.2">
      <c r="G172" s="88">
        <v>169</v>
      </c>
      <c r="H172" s="89">
        <f t="shared" ca="1" si="24"/>
        <v>39112267.314290188</v>
      </c>
      <c r="I172" s="89">
        <f t="shared" ca="1" si="25"/>
        <v>3329280.1686166087</v>
      </c>
      <c r="J172" s="89">
        <f t="shared" ca="1" si="26"/>
        <v>463673.9062507567</v>
      </c>
      <c r="K172" s="89">
        <f t="shared" ca="1" si="27"/>
        <v>3792954.0748673654</v>
      </c>
      <c r="O172" s="88">
        <v>169</v>
      </c>
      <c r="P172" s="89">
        <f t="shared" ca="1" si="28"/>
        <v>42747196.796400726</v>
      </c>
      <c r="Q172" s="89">
        <f t="shared" ca="1" si="29"/>
        <v>3660239.0104524381</v>
      </c>
      <c r="R172" s="89">
        <f t="shared" ca="1" si="30"/>
        <v>461637.70722199447</v>
      </c>
      <c r="S172" s="89">
        <f t="shared" ca="1" si="31"/>
        <v>4121876.7176744328</v>
      </c>
      <c r="AF172" s="88">
        <v>169</v>
      </c>
      <c r="AG172" s="90">
        <f t="shared" ca="1" si="32"/>
        <v>-134141.20841298028</v>
      </c>
      <c r="AH172" s="90">
        <f t="shared" ca="1" si="33"/>
        <v>595778.91563497472</v>
      </c>
      <c r="AI172" s="90">
        <f t="shared" ca="1" si="34"/>
        <v>-22769460.322232246</v>
      </c>
      <c r="AJ172" s="90">
        <f t="shared" ca="1" si="35"/>
        <v>-65516657.118632928</v>
      </c>
    </row>
    <row r="173" spans="7:36" x14ac:dyDescent="0.2">
      <c r="G173" s="88">
        <v>170</v>
      </c>
      <c r="H173" s="89">
        <f t="shared" ca="1" si="24"/>
        <v>35746614.759831443</v>
      </c>
      <c r="I173" s="89">
        <f t="shared" ca="1" si="25"/>
        <v>3365652.5544587453</v>
      </c>
      <c r="J173" s="89">
        <f t="shared" ca="1" si="26"/>
        <v>427301.5204086203</v>
      </c>
      <c r="K173" s="89">
        <f t="shared" ca="1" si="27"/>
        <v>3792954.0748673654</v>
      </c>
      <c r="O173" s="88">
        <v>170</v>
      </c>
      <c r="P173" s="89">
        <f t="shared" ca="1" si="28"/>
        <v>39050547.578935295</v>
      </c>
      <c r="Q173" s="89">
        <f t="shared" ca="1" si="29"/>
        <v>3696649.2174654324</v>
      </c>
      <c r="R173" s="89">
        <f t="shared" ca="1" si="30"/>
        <v>425227.50020900025</v>
      </c>
      <c r="S173" s="89">
        <f t="shared" ca="1" si="31"/>
        <v>4121876.7176744328</v>
      </c>
      <c r="AF173" s="88">
        <v>170</v>
      </c>
      <c r="AG173" s="90">
        <f t="shared" ca="1" si="32"/>
        <v>-164978.66021781348</v>
      </c>
      <c r="AH173" s="90">
        <f t="shared" ca="1" si="33"/>
        <v>590206.16042681376</v>
      </c>
      <c r="AI173" s="90">
        <f t="shared" ca="1" si="34"/>
        <v>-27056315.700124491</v>
      </c>
      <c r="AJ173" s="90">
        <f t="shared" ca="1" si="35"/>
        <v>-66106863.279059738</v>
      </c>
    </row>
    <row r="174" spans="7:36" x14ac:dyDescent="0.2">
      <c r="G174" s="88">
        <v>171</v>
      </c>
      <c r="H174" s="89">
        <f t="shared" ca="1" si="24"/>
        <v>32344192.451215237</v>
      </c>
      <c r="I174" s="89">
        <f t="shared" ca="1" si="25"/>
        <v>3402422.308616207</v>
      </c>
      <c r="J174" s="89">
        <f t="shared" ca="1" si="26"/>
        <v>390531.76625115849</v>
      </c>
      <c r="K174" s="89">
        <f t="shared" ca="1" si="27"/>
        <v>3792954.0748673654</v>
      </c>
      <c r="O174" s="88">
        <v>171</v>
      </c>
      <c r="P174" s="89">
        <f t="shared" ca="1" si="28"/>
        <v>35317125.964126959</v>
      </c>
      <c r="Q174" s="89">
        <f t="shared" ca="1" si="29"/>
        <v>3733421.6148083322</v>
      </c>
      <c r="R174" s="89">
        <f t="shared" ca="1" si="30"/>
        <v>388455.10286610044</v>
      </c>
      <c r="S174" s="89">
        <f t="shared" ca="1" si="31"/>
        <v>4121876.7176744328</v>
      </c>
      <c r="AF174" s="88">
        <v>171</v>
      </c>
      <c r="AG174" s="90">
        <f t="shared" ca="1" si="32"/>
        <v>-196039.54821354861</v>
      </c>
      <c r="AH174" s="90">
        <f t="shared" ca="1" si="33"/>
        <v>584494.65107964911</v>
      </c>
      <c r="AI174" s="90">
        <f t="shared" ca="1" si="34"/>
        <v>-31374231.96601247</v>
      </c>
      <c r="AJ174" s="90">
        <f t="shared" ca="1" si="35"/>
        <v>-66691357.930139385</v>
      </c>
    </row>
    <row r="175" spans="7:36" x14ac:dyDescent="0.2">
      <c r="G175" s="88">
        <v>172</v>
      </c>
      <c r="H175" s="89">
        <f t="shared" ca="1" si="24"/>
        <v>28904598.678877398</v>
      </c>
      <c r="I175" s="89">
        <f t="shared" ca="1" si="25"/>
        <v>3439593.772337839</v>
      </c>
      <c r="J175" s="89">
        <f t="shared" ca="1" si="26"/>
        <v>353360.30252952647</v>
      </c>
      <c r="K175" s="89">
        <f t="shared" ca="1" si="27"/>
        <v>3792954.0748673654</v>
      </c>
      <c r="O175" s="88">
        <v>172</v>
      </c>
      <c r="P175" s="89">
        <f t="shared" ca="1" si="28"/>
        <v>31546566.158759549</v>
      </c>
      <c r="Q175" s="89">
        <f t="shared" ca="1" si="29"/>
        <v>3770559.8053674116</v>
      </c>
      <c r="R175" s="89">
        <f t="shared" ca="1" si="30"/>
        <v>351316.91230702103</v>
      </c>
      <c r="S175" s="89">
        <f t="shared" ca="1" si="31"/>
        <v>4121876.7176744328</v>
      </c>
      <c r="AF175" s="88">
        <v>172</v>
      </c>
      <c r="AG175" s="90">
        <f t="shared" ca="1" si="32"/>
        <v>-227325.49133198723</v>
      </c>
      <c r="AH175" s="90">
        <f t="shared" ca="1" si="33"/>
        <v>578642.40363900829</v>
      </c>
      <c r="AI175" s="90">
        <f t="shared" ca="1" si="34"/>
        <v>-35723434.175018892</v>
      </c>
      <c r="AJ175" s="90">
        <f t="shared" ca="1" si="35"/>
        <v>-67270000.333778396</v>
      </c>
    </row>
    <row r="176" spans="7:36" x14ac:dyDescent="0.2">
      <c r="G176" s="88">
        <v>173</v>
      </c>
      <c r="H176" s="89">
        <f t="shared" ca="1" si="24"/>
        <v>25427427.344576769</v>
      </c>
      <c r="I176" s="89">
        <f t="shared" ca="1" si="25"/>
        <v>3477171.3343006298</v>
      </c>
      <c r="J176" s="89">
        <f t="shared" ca="1" si="26"/>
        <v>315782.74056673556</v>
      </c>
      <c r="K176" s="89">
        <f t="shared" ca="1" si="27"/>
        <v>3792954.0748673654</v>
      </c>
      <c r="O176" s="88">
        <v>173</v>
      </c>
      <c r="P176" s="89">
        <f t="shared" ca="1" si="28"/>
        <v>27738498.730890915</v>
      </c>
      <c r="Q176" s="89">
        <f t="shared" ca="1" si="29"/>
        <v>3808067.4278686354</v>
      </c>
      <c r="R176" s="89">
        <f t="shared" ca="1" si="30"/>
        <v>313809.28980579734</v>
      </c>
      <c r="S176" s="89">
        <f t="shared" ca="1" si="31"/>
        <v>4121876.7176744328</v>
      </c>
      <c r="AF176" s="88">
        <v>173</v>
      </c>
      <c r="AG176" s="90">
        <f t="shared" ca="1" si="32"/>
        <v>-258838.1202350815</v>
      </c>
      <c r="AH176" s="90">
        <f t="shared" ca="1" si="33"/>
        <v>572647.41004087881</v>
      </c>
      <c r="AI176" s="90">
        <f t="shared" ca="1" si="34"/>
        <v>-40104149.012928404</v>
      </c>
      <c r="AJ176" s="90">
        <f t="shared" ca="1" si="35"/>
        <v>-67842647.743819281</v>
      </c>
    </row>
    <row r="177" spans="7:36" x14ac:dyDescent="0.2">
      <c r="G177" s="88">
        <v>174</v>
      </c>
      <c r="H177" s="89">
        <f t="shared" ca="1" si="24"/>
        <v>21912267.913448904</v>
      </c>
      <c r="I177" s="89">
        <f t="shared" ca="1" si="25"/>
        <v>3515159.4311278644</v>
      </c>
      <c r="J177" s="89">
        <f t="shared" ca="1" si="26"/>
        <v>277794.64373950119</v>
      </c>
      <c r="K177" s="89">
        <f t="shared" ca="1" si="27"/>
        <v>3792954.0748673654</v>
      </c>
      <c r="O177" s="88">
        <v>174</v>
      </c>
      <c r="P177" s="89">
        <f t="shared" ca="1" si="28"/>
        <v>23892550.573656742</v>
      </c>
      <c r="Q177" s="89">
        <f t="shared" ca="1" si="29"/>
        <v>3845948.1572341747</v>
      </c>
      <c r="R177" s="89">
        <f t="shared" ca="1" si="30"/>
        <v>275928.56044025818</v>
      </c>
      <c r="S177" s="89">
        <f t="shared" ca="1" si="31"/>
        <v>4121876.7176744328</v>
      </c>
      <c r="AF177" s="88">
        <v>174</v>
      </c>
      <c r="AG177" s="90">
        <f t="shared" ca="1" si="32"/>
        <v>-290579.07739992632</v>
      </c>
      <c r="AH177" s="90">
        <f t="shared" ca="1" si="33"/>
        <v>566507.6378401845</v>
      </c>
      <c r="AI177" s="90">
        <f t="shared" ca="1" si="34"/>
        <v>-44516604.808002762</v>
      </c>
      <c r="AJ177" s="90">
        <f t="shared" ca="1" si="35"/>
        <v>-68409155.381659463</v>
      </c>
    </row>
    <row r="178" spans="7:36" x14ac:dyDescent="0.2">
      <c r="G178" s="88">
        <v>175</v>
      </c>
      <c r="H178" s="89">
        <f t="shared" ca="1" si="24"/>
        <v>18358705.365535967</v>
      </c>
      <c r="I178" s="89">
        <f t="shared" ca="1" si="25"/>
        <v>3553562.5479129362</v>
      </c>
      <c r="J178" s="89">
        <f t="shared" ca="1" si="26"/>
        <v>239391.52695442925</v>
      </c>
      <c r="K178" s="89">
        <f t="shared" ca="1" si="27"/>
        <v>3792954.0748673654</v>
      </c>
      <c r="O178" s="88">
        <v>175</v>
      </c>
      <c r="P178" s="89">
        <f t="shared" ca="1" si="28"/>
        <v>20008344.868714273</v>
      </c>
      <c r="Q178" s="89">
        <f t="shared" ca="1" si="29"/>
        <v>3884205.7049424676</v>
      </c>
      <c r="R178" s="89">
        <f t="shared" ca="1" si="30"/>
        <v>237671.01273196502</v>
      </c>
      <c r="S178" s="89">
        <f t="shared" ca="1" si="31"/>
        <v>4121876.7176744328</v>
      </c>
      <c r="AF178" s="88">
        <v>175</v>
      </c>
      <c r="AG178" s="90">
        <f t="shared" ca="1" si="32"/>
        <v>-322550.01720436726</v>
      </c>
      <c r="AH178" s="90">
        <f t="shared" ca="1" si="33"/>
        <v>560221.02993633226</v>
      </c>
      <c r="AI178" s="90">
        <f t="shared" ca="1" si="34"/>
        <v>-48961031.542881563</v>
      </c>
      <c r="AJ178" s="90">
        <f t="shared" ca="1" si="35"/>
        <v>-68969376.411595792</v>
      </c>
    </row>
    <row r="179" spans="7:36" x14ac:dyDescent="0.2">
      <c r="G179" s="88">
        <v>176</v>
      </c>
      <c r="H179" s="89">
        <f t="shared" ca="1" si="24"/>
        <v>14766320.146787081</v>
      </c>
      <c r="I179" s="89">
        <f t="shared" ca="1" si="25"/>
        <v>3592385.2187488852</v>
      </c>
      <c r="J179" s="89">
        <f t="shared" ca="1" si="26"/>
        <v>200568.85611848044</v>
      </c>
      <c r="K179" s="89">
        <f t="shared" ca="1" si="27"/>
        <v>3792954.0748673654</v>
      </c>
      <c r="O179" s="88">
        <v>176</v>
      </c>
      <c r="P179" s="89">
        <f t="shared" ca="1" si="28"/>
        <v>16085501.049322408</v>
      </c>
      <c r="Q179" s="89">
        <f t="shared" ca="1" si="29"/>
        <v>3922843.8193918648</v>
      </c>
      <c r="R179" s="89">
        <f t="shared" ca="1" si="30"/>
        <v>199032.89828256812</v>
      </c>
      <c r="S179" s="89">
        <f t="shared" ca="1" si="31"/>
        <v>4121876.7176744328</v>
      </c>
      <c r="AF179" s="88">
        <v>176</v>
      </c>
      <c r="AG179" s="90">
        <f t="shared" ca="1" si="32"/>
        <v>-354752.60601322894</v>
      </c>
      <c r="AH179" s="90">
        <f t="shared" ca="1" si="33"/>
        <v>553785.50429579709</v>
      </c>
      <c r="AI179" s="90">
        <f t="shared" ca="1" si="34"/>
        <v>-53437660.866569221</v>
      </c>
      <c r="AJ179" s="90">
        <f t="shared" ca="1" si="35"/>
        <v>-69523161.915891588</v>
      </c>
    </row>
    <row r="180" spans="7:36" x14ac:dyDescent="0.2">
      <c r="G180" s="88">
        <v>177</v>
      </c>
      <c r="H180" s="89">
        <f t="shared" ca="1" si="24"/>
        <v>11134688.119523365</v>
      </c>
      <c r="I180" s="89">
        <f t="shared" ca="1" si="25"/>
        <v>3631632.0272637168</v>
      </c>
      <c r="J180" s="89">
        <f t="shared" ca="1" si="26"/>
        <v>161322.04760364885</v>
      </c>
      <c r="K180" s="89">
        <f t="shared" ca="1" si="27"/>
        <v>3792954.0748673654</v>
      </c>
      <c r="O180" s="88">
        <v>177</v>
      </c>
      <c r="P180" s="89">
        <f t="shared" ca="1" si="28"/>
        <v>12123634.763054522</v>
      </c>
      <c r="Q180" s="89">
        <f t="shared" ca="1" si="29"/>
        <v>3961866.2862678864</v>
      </c>
      <c r="R180" s="89">
        <f t="shared" ca="1" si="30"/>
        <v>160010.43140654638</v>
      </c>
      <c r="S180" s="89">
        <f t="shared" ca="1" si="31"/>
        <v>4121876.7176744328</v>
      </c>
      <c r="AF180" s="88">
        <v>177</v>
      </c>
      <c r="AG180" s="90">
        <f t="shared" ca="1" si="32"/>
        <v>-387188.52226516767</v>
      </c>
      <c r="AH180" s="90">
        <f t="shared" ca="1" si="33"/>
        <v>547198.95367171406</v>
      </c>
      <c r="AI180" s="90">
        <f t="shared" ca="1" si="34"/>
        <v>-57946726.106508821</v>
      </c>
      <c r="AJ180" s="90">
        <f t="shared" ca="1" si="35"/>
        <v>-70070360.869563296</v>
      </c>
    </row>
    <row r="181" spans="7:36" x14ac:dyDescent="0.2">
      <c r="G181" s="88">
        <v>178</v>
      </c>
      <c r="H181" s="89">
        <f t="shared" ca="1" si="24"/>
        <v>7463380.5123617928</v>
      </c>
      <c r="I181" s="89">
        <f t="shared" ca="1" si="25"/>
        <v>3671307.6071615727</v>
      </c>
      <c r="J181" s="89">
        <f t="shared" ca="1" si="26"/>
        <v>121646.46770579276</v>
      </c>
      <c r="K181" s="89">
        <f t="shared" ca="1" si="27"/>
        <v>3792954.0748673654</v>
      </c>
      <c r="O181" s="88">
        <v>178</v>
      </c>
      <c r="P181" s="89">
        <f t="shared" ca="1" si="28"/>
        <v>8122357.8341403827</v>
      </c>
      <c r="Q181" s="89">
        <f t="shared" ca="1" si="29"/>
        <v>4001276.9289141395</v>
      </c>
      <c r="R181" s="89">
        <f t="shared" ca="1" si="30"/>
        <v>120599.7887602932</v>
      </c>
      <c r="S181" s="89">
        <f t="shared" ca="1" si="31"/>
        <v>4121876.7176744328</v>
      </c>
      <c r="AF181" s="88">
        <v>178</v>
      </c>
      <c r="AG181" s="90">
        <f t="shared" ca="1" si="32"/>
        <v>-419859.45656015404</v>
      </c>
      <c r="AH181" s="90">
        <f t="shared" ca="1" si="33"/>
        <v>540459.24532044725</v>
      </c>
      <c r="AI181" s="90">
        <f t="shared" ca="1" si="34"/>
        <v>-62488462.280743405</v>
      </c>
      <c r="AJ181" s="90">
        <f t="shared" ca="1" si="35"/>
        <v>-70610820.114883751</v>
      </c>
    </row>
    <row r="182" spans="7:36" x14ac:dyDescent="0.2">
      <c r="G182" s="88">
        <v>179</v>
      </c>
      <c r="H182" s="89">
        <f t="shared" ca="1" si="24"/>
        <v>3751963.8695919802</v>
      </c>
      <c r="I182" s="89">
        <f t="shared" ca="1" si="25"/>
        <v>3711416.6427698126</v>
      </c>
      <c r="J182" s="89">
        <f t="shared" ca="1" si="26"/>
        <v>81537.432097552592</v>
      </c>
      <c r="K182" s="89">
        <f t="shared" ca="1" si="27"/>
        <v>3792954.0748673654</v>
      </c>
      <c r="O182" s="88">
        <v>179</v>
      </c>
      <c r="P182" s="89">
        <f t="shared" ca="1" si="28"/>
        <v>4081278.2254334628</v>
      </c>
      <c r="Q182" s="89">
        <f t="shared" ca="1" si="29"/>
        <v>4041079.6087069199</v>
      </c>
      <c r="R182" s="89">
        <f t="shared" ca="1" si="30"/>
        <v>80797.108967512831</v>
      </c>
      <c r="S182" s="89">
        <f t="shared" ca="1" si="31"/>
        <v>4121876.7176744328</v>
      </c>
      <c r="AF182" s="88">
        <v>179</v>
      </c>
      <c r="AG182" s="90">
        <f t="shared" ca="1" si="32"/>
        <v>-452767.11174758896</v>
      </c>
      <c r="AH182" s="90">
        <f t="shared" ca="1" si="33"/>
        <v>533564.22071510181</v>
      </c>
      <c r="AI182" s="90">
        <f t="shared" ca="1" si="34"/>
        <v>-67063106.110165432</v>
      </c>
      <c r="AJ182" s="90">
        <f t="shared" ca="1" si="35"/>
        <v>-71144384.335598856</v>
      </c>
    </row>
    <row r="183" spans="7:36" x14ac:dyDescent="0.2">
      <c r="G183" s="88">
        <v>180</v>
      </c>
      <c r="H183" s="89">
        <f t="shared" ca="1" si="24"/>
        <v>-9.2666596174240112E-8</v>
      </c>
      <c r="I183" s="89">
        <f t="shared" ca="1" si="25"/>
        <v>3751963.8695920729</v>
      </c>
      <c r="J183" s="89">
        <f t="shared" ca="1" si="26"/>
        <v>40990.205275292385</v>
      </c>
      <c r="K183" s="89">
        <f t="shared" ca="1" si="27"/>
        <v>3792954.0748673654</v>
      </c>
      <c r="O183" s="88">
        <v>180</v>
      </c>
      <c r="P183" s="89">
        <f t="shared" ca="1" si="28"/>
        <v>-7.9628080129623413E-8</v>
      </c>
      <c r="Q183" s="89">
        <f t="shared" ca="1" si="29"/>
        <v>4081278.2254335424</v>
      </c>
      <c r="R183" s="89">
        <f t="shared" ca="1" si="30"/>
        <v>40598.492240890548</v>
      </c>
      <c r="S183" s="89">
        <f t="shared" ca="1" si="31"/>
        <v>4121876.7176744328</v>
      </c>
      <c r="AF183" s="88">
        <v>180</v>
      </c>
      <c r="AG183" s="90">
        <f t="shared" ca="1" si="32"/>
        <v>-485913.20301505836</v>
      </c>
      <c r="AH183" s="90">
        <f t="shared" ca="1" si="33"/>
        <v>526511.69525594893</v>
      </c>
      <c r="AI183" s="90">
        <f t="shared" ca="1" si="34"/>
        <v>-71670896.030854926</v>
      </c>
      <c r="AJ183" s="90">
        <f t="shared" ca="1" si="35"/>
        <v>-71670896.030854806</v>
      </c>
    </row>
    <row r="184" spans="7:36" x14ac:dyDescent="0.2">
      <c r="G184" s="88"/>
      <c r="H184" s="120"/>
      <c r="I184" s="120"/>
      <c r="J184" s="120"/>
      <c r="K184" s="121"/>
    </row>
    <row r="185" spans="7:36" x14ac:dyDescent="0.2">
      <c r="G185" s="88"/>
      <c r="H185" s="120"/>
      <c r="I185" s="120"/>
      <c r="J185" s="120"/>
      <c r="K185" s="121"/>
    </row>
    <row r="186" spans="7:36" x14ac:dyDescent="0.2">
      <c r="G186" s="88"/>
      <c r="H186" s="122"/>
      <c r="I186" s="120"/>
      <c r="J186" s="120"/>
      <c r="K186" s="121"/>
    </row>
  </sheetData>
  <sheetProtection algorithmName="SHA-512" hashValue="zwUQDoEcnXG/Yiof1eVZNpbOaMZWNmDWwrs+WvXYngobB+h3fVSEmJLU1078TqGWKResUetGV2I19IDW3xkesw==" saltValue="0DLlyKbnzB+nqNwRWkMxIg==" spinCount="100000" sheet="1" objects="1" scenarios="1"/>
  <mergeCells count="8">
    <mergeCell ref="D45:F45"/>
    <mergeCell ref="D62:F62"/>
    <mergeCell ref="C63:E64"/>
    <mergeCell ref="C37:E38"/>
    <mergeCell ref="A15:A16"/>
    <mergeCell ref="A39:A41"/>
    <mergeCell ref="B15:E16"/>
    <mergeCell ref="B39:E41"/>
  </mergeCells>
  <printOptions headings="1" gridLines="1"/>
  <pageMargins left="0.25" right="0.25" top="0.75" bottom="0.75" header="0.3" footer="0.3"/>
  <pageSetup paperSize="9" scale="7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2:P40"/>
  <sheetViews>
    <sheetView topLeftCell="H5" zoomScale="50" workbookViewId="0">
      <selection activeCell="J19" sqref="J19"/>
    </sheetView>
  </sheetViews>
  <sheetFormatPr defaultColWidth="9.98828125" defaultRowHeight="21" x14ac:dyDescent="0.3"/>
  <cols>
    <col min="1" max="1" width="3.05078125" customWidth="1"/>
    <col min="2" max="2" width="24.3203125" customWidth="1"/>
    <col min="3" max="3" width="1.5703125" customWidth="1"/>
    <col min="4" max="4" width="21.26953125" customWidth="1"/>
    <col min="5" max="5" width="3.7890625" customWidth="1"/>
    <col min="8" max="8" width="24.3203125" customWidth="1"/>
    <col min="9" max="9" width="1.5703125" customWidth="1"/>
    <col min="10" max="10" width="21.26953125" customWidth="1"/>
    <col min="11" max="11" width="3.7890625" customWidth="1"/>
    <col min="15" max="15" width="2.21875" customWidth="1"/>
    <col min="16" max="16" width="8.875" bestFit="1" customWidth="1"/>
  </cols>
  <sheetData>
    <row r="2" spans="2:12" x14ac:dyDescent="0.3">
      <c r="B2" s="123" t="s">
        <v>139</v>
      </c>
      <c r="C2" s="124"/>
      <c r="D2" s="125"/>
      <c r="H2" s="123" t="s">
        <v>139</v>
      </c>
      <c r="I2" s="124"/>
      <c r="J2" s="125"/>
    </row>
    <row r="3" spans="2:12" x14ac:dyDescent="0.3">
      <c r="B3" s="125"/>
      <c r="C3" s="124"/>
      <c r="D3" s="125"/>
      <c r="H3" s="125"/>
      <c r="I3" s="124"/>
      <c r="J3" s="125"/>
    </row>
    <row r="4" spans="2:12" ht="25.5" x14ac:dyDescent="0.3">
      <c r="B4" s="126" t="s">
        <v>312</v>
      </c>
      <c r="C4" s="127"/>
      <c r="D4" s="128"/>
      <c r="H4" s="129" t="s">
        <v>344</v>
      </c>
      <c r="I4" s="130"/>
      <c r="J4" s="131"/>
    </row>
    <row r="5" spans="2:12" x14ac:dyDescent="0.3">
      <c r="B5" s="132"/>
      <c r="C5" s="124"/>
      <c r="D5" s="133"/>
      <c r="H5" s="132"/>
      <c r="I5" s="124"/>
      <c r="J5" s="133"/>
    </row>
    <row r="6" spans="2:12" x14ac:dyDescent="0.3">
      <c r="B6" s="132" t="s">
        <v>313</v>
      </c>
      <c r="C6" s="124" t="s">
        <v>161</v>
      </c>
      <c r="D6" s="134" t="str">
        <f>Akseptasi!C2</f>
        <v>SITI HAFSAH</v>
      </c>
      <c r="H6" s="132" t="s">
        <v>313</v>
      </c>
      <c r="I6" s="124" t="s">
        <v>161</v>
      </c>
      <c r="J6" s="134" t="str">
        <f>Akseptasi!C2</f>
        <v>SITI HAFSAH</v>
      </c>
    </row>
    <row r="7" spans="2:12" ht="23.25" x14ac:dyDescent="0.3">
      <c r="B7" s="132" t="s">
        <v>314</v>
      </c>
      <c r="C7" s="124" t="s">
        <v>161</v>
      </c>
      <c r="D7" s="135">
        <f>Simulasi!B10</f>
        <v>480000000</v>
      </c>
      <c r="H7" s="132" t="s">
        <v>314</v>
      </c>
      <c r="I7" s="124" t="s">
        <v>161</v>
      </c>
      <c r="J7" s="135">
        <f>Simulasi!B10</f>
        <v>480000000</v>
      </c>
    </row>
    <row r="8" spans="2:12" x14ac:dyDescent="0.3">
      <c r="B8" s="132" t="s">
        <v>315</v>
      </c>
      <c r="C8" s="124" t="s">
        <v>161</v>
      </c>
      <c r="D8" s="136">
        <f>Simulasi!B11</f>
        <v>180</v>
      </c>
      <c r="H8" s="132" t="s">
        <v>315</v>
      </c>
      <c r="I8" s="124" t="s">
        <v>161</v>
      </c>
      <c r="J8" s="218">
        <f>Simulasi!B11</f>
        <v>180</v>
      </c>
    </row>
    <row r="9" spans="2:12" x14ac:dyDescent="0.3">
      <c r="B9" s="132"/>
      <c r="C9" s="124"/>
      <c r="D9" s="133"/>
      <c r="H9" s="132"/>
      <c r="I9" s="124"/>
      <c r="J9" s="133"/>
    </row>
    <row r="10" spans="2:12" x14ac:dyDescent="0.3">
      <c r="B10" s="132" t="s">
        <v>316</v>
      </c>
      <c r="C10" s="124" t="s">
        <v>161</v>
      </c>
      <c r="D10" s="137">
        <f>Simulasi!B32</f>
        <v>5694441</v>
      </c>
      <c r="E10" s="138">
        <f ca="1">'Jadwal Angsuran Dekade Berkah'!G3</f>
        <v>120</v>
      </c>
      <c r="F10" t="s">
        <v>317</v>
      </c>
      <c r="H10" s="132" t="s">
        <v>316</v>
      </c>
      <c r="I10" s="124" t="s">
        <v>161</v>
      </c>
      <c r="J10" s="137">
        <f>Simulasi!B32</f>
        <v>5694441</v>
      </c>
      <c r="K10" s="138">
        <f ca="1">'Jadwal Angsuran TriBerkah (Blok'!G3</f>
        <v>120</v>
      </c>
      <c r="L10" t="s">
        <v>317</v>
      </c>
    </row>
    <row r="11" spans="2:12" x14ac:dyDescent="0.3">
      <c r="B11" s="132" t="s">
        <v>318</v>
      </c>
      <c r="C11" s="124" t="s">
        <v>161</v>
      </c>
      <c r="D11" s="137">
        <f ca="1">Simulasi!B33</f>
        <v>4121876.7176744328</v>
      </c>
      <c r="E11" s="138">
        <f ca="1">'Jadwal Angsuran Dekade Berkah'!G4</f>
        <v>60</v>
      </c>
      <c r="F11" t="s">
        <v>317</v>
      </c>
      <c r="H11" s="132" t="s">
        <v>318</v>
      </c>
      <c r="I11" s="124" t="s">
        <v>161</v>
      </c>
      <c r="J11" s="137">
        <f ca="1">Simulasi!B33</f>
        <v>4121876.7176744328</v>
      </c>
      <c r="K11" s="138">
        <f ca="1">'Jadwal Angsuran TriBerkah (Blok'!G4</f>
        <v>60</v>
      </c>
      <c r="L11" t="s">
        <v>317</v>
      </c>
    </row>
    <row r="12" spans="2:12" x14ac:dyDescent="0.3">
      <c r="B12" s="132"/>
      <c r="C12" s="124"/>
      <c r="D12" s="137"/>
      <c r="H12" s="132"/>
      <c r="I12" s="124"/>
      <c r="J12" s="137"/>
    </row>
    <row r="13" spans="2:12" x14ac:dyDescent="0.3">
      <c r="B13" s="139" t="s">
        <v>319</v>
      </c>
      <c r="C13" s="124"/>
      <c r="D13" s="140"/>
      <c r="H13" s="139" t="s">
        <v>319</v>
      </c>
      <c r="I13" s="124"/>
      <c r="J13" s="140"/>
    </row>
    <row r="14" spans="2:12" x14ac:dyDescent="0.3">
      <c r="B14" s="132" t="s">
        <v>320</v>
      </c>
      <c r="C14" s="124" t="s">
        <v>161</v>
      </c>
      <c r="D14" s="137">
        <f>1%*D7</f>
        <v>4800000</v>
      </c>
      <c r="H14" s="132" t="s">
        <v>320</v>
      </c>
      <c r="I14" s="124" t="s">
        <v>161</v>
      </c>
      <c r="J14" s="137">
        <f>1%*J7</f>
        <v>4800000</v>
      </c>
    </row>
    <row r="15" spans="2:12" x14ac:dyDescent="0.3">
      <c r="B15" s="132" t="s">
        <v>321</v>
      </c>
      <c r="C15" s="124" t="s">
        <v>161</v>
      </c>
      <c r="D15" s="137">
        <v>0</v>
      </c>
      <c r="H15" s="132" t="s">
        <v>321</v>
      </c>
      <c r="I15" s="124" t="s">
        <v>161</v>
      </c>
      <c r="J15" s="137">
        <v>0</v>
      </c>
    </row>
    <row r="16" spans="2:12" x14ac:dyDescent="0.3">
      <c r="B16" s="132" t="s">
        <v>322</v>
      </c>
      <c r="C16" s="124" t="s">
        <v>161</v>
      </c>
      <c r="D16" s="137">
        <v>100000</v>
      </c>
      <c r="H16" s="132" t="s">
        <v>322</v>
      </c>
      <c r="I16" s="124" t="s">
        <v>161</v>
      </c>
      <c r="J16" s="137">
        <v>100000</v>
      </c>
    </row>
    <row r="17" spans="2:16" x14ac:dyDescent="0.3">
      <c r="B17" s="132"/>
      <c r="C17" s="124"/>
      <c r="D17" s="137"/>
      <c r="H17" s="132"/>
      <c r="I17" s="124"/>
      <c r="J17" s="137"/>
    </row>
    <row r="18" spans="2:16" x14ac:dyDescent="0.3">
      <c r="B18" s="139" t="s">
        <v>323</v>
      </c>
      <c r="C18" s="124"/>
      <c r="D18" s="137"/>
      <c r="H18" s="139" t="s">
        <v>323</v>
      </c>
      <c r="I18" s="124"/>
      <c r="J18" s="137"/>
    </row>
    <row r="19" spans="2:16" x14ac:dyDescent="0.3">
      <c r="B19" s="132" t="s">
        <v>324</v>
      </c>
      <c r="C19" s="124" t="s">
        <v>161</v>
      </c>
      <c r="D19" s="137">
        <f>D10</f>
        <v>5694441</v>
      </c>
      <c r="H19" s="141" t="s">
        <v>345</v>
      </c>
      <c r="I19" s="124" t="s">
        <v>161</v>
      </c>
      <c r="J19" s="137" t="str">
        <f>Simulasi!B37</f>
        <v>blokir sesuai MP</v>
      </c>
    </row>
    <row r="20" spans="2:16" x14ac:dyDescent="0.3">
      <c r="B20" s="132" t="s">
        <v>325</v>
      </c>
      <c r="C20" s="124" t="s">
        <v>161</v>
      </c>
      <c r="D20" s="137">
        <f ca="1">2*D11</f>
        <v>8243753.4353488656</v>
      </c>
      <c r="H20" s="132"/>
      <c r="I20" s="124"/>
      <c r="J20" s="137"/>
    </row>
    <row r="21" spans="2:16" ht="10.5" customHeight="1" x14ac:dyDescent="0.3">
      <c r="B21" s="132"/>
      <c r="C21" s="124"/>
      <c r="D21" s="142"/>
      <c r="H21" s="132"/>
      <c r="I21" s="124"/>
      <c r="J21" s="142"/>
    </row>
    <row r="22" spans="2:16" x14ac:dyDescent="0.3">
      <c r="B22" s="132" t="s">
        <v>279</v>
      </c>
      <c r="C22" s="124" t="s">
        <v>161</v>
      </c>
      <c r="D22" s="142">
        <f>[1]Akseptasi!C22</f>
        <v>0</v>
      </c>
      <c r="H22" s="132"/>
      <c r="I22" s="124"/>
      <c r="J22" s="142"/>
    </row>
    <row r="23" spans="2:16" ht="5.25" customHeight="1" x14ac:dyDescent="0.3">
      <c r="B23" s="132"/>
      <c r="C23" s="124"/>
      <c r="D23" s="142"/>
      <c r="H23" s="132"/>
      <c r="I23" s="124"/>
      <c r="J23" s="142"/>
    </row>
    <row r="24" spans="2:16" x14ac:dyDescent="0.3">
      <c r="B24" s="132" t="s">
        <v>280</v>
      </c>
      <c r="C24" s="124" t="s">
        <v>161</v>
      </c>
      <c r="D24" s="142">
        <f>[1]Akseptasi!C23</f>
        <v>0</v>
      </c>
      <c r="H24" s="132"/>
      <c r="I24" s="124"/>
      <c r="J24" s="142"/>
    </row>
    <row r="25" spans="2:16" ht="8.25" customHeight="1" x14ac:dyDescent="0.3">
      <c r="B25" s="132"/>
      <c r="C25" s="124"/>
      <c r="D25" s="142"/>
      <c r="H25" s="132"/>
      <c r="I25" s="124"/>
      <c r="J25" s="142"/>
    </row>
    <row r="26" spans="2:16" ht="23.25" x14ac:dyDescent="0.3">
      <c r="B26" s="143" t="s">
        <v>326</v>
      </c>
      <c r="C26" s="144" t="s">
        <v>161</v>
      </c>
      <c r="D26" s="145">
        <f ca="1">D7-D14-D16-D19-D20-D24+D22</f>
        <v>461161805.56465113</v>
      </c>
      <c r="H26" s="146" t="s">
        <v>326</v>
      </c>
      <c r="I26" s="147" t="s">
        <v>161</v>
      </c>
      <c r="J26" s="148" t="e">
        <f>J7-J14-J16-J19-J20-J24+J22</f>
        <v>#VALUE!</v>
      </c>
    </row>
    <row r="27" spans="2:16" x14ac:dyDescent="0.3">
      <c r="B27" s="149"/>
      <c r="C27" s="150"/>
      <c r="D27" s="151"/>
      <c r="H27" s="149"/>
      <c r="I27" s="150"/>
      <c r="J27" s="151"/>
    </row>
    <row r="28" spans="2:16" x14ac:dyDescent="0.3">
      <c r="B28" s="125"/>
      <c r="C28" s="124"/>
      <c r="D28" s="125"/>
      <c r="H28" s="125"/>
      <c r="I28" s="124"/>
      <c r="J28" s="125"/>
    </row>
    <row r="29" spans="2:16" x14ac:dyDescent="0.3">
      <c r="B29" s="125"/>
      <c r="C29" s="124"/>
      <c r="D29" s="125"/>
      <c r="H29" s="125"/>
      <c r="I29" s="124"/>
      <c r="J29" s="125"/>
    </row>
    <row r="30" spans="2:16" x14ac:dyDescent="0.3">
      <c r="B30" s="152" t="s">
        <v>327</v>
      </c>
      <c r="C30" s="124"/>
      <c r="D30" s="153"/>
      <c r="H30" s="152" t="s">
        <v>327</v>
      </c>
      <c r="I30" s="124"/>
      <c r="J30" s="153"/>
      <c r="O30" t="s">
        <v>161</v>
      </c>
      <c r="P30" t="s">
        <v>306</v>
      </c>
    </row>
    <row r="31" spans="2:16" x14ac:dyDescent="0.3">
      <c r="B31" s="125" t="s">
        <v>328</v>
      </c>
      <c r="C31" s="124"/>
      <c r="D31" s="154"/>
      <c r="H31" s="125" t="s">
        <v>328</v>
      </c>
      <c r="I31" s="124"/>
      <c r="J31" s="154"/>
      <c r="O31" t="s">
        <v>161</v>
      </c>
      <c r="P31">
        <v>27627574</v>
      </c>
    </row>
    <row r="32" spans="2:16" x14ac:dyDescent="0.3">
      <c r="B32" s="125" t="s">
        <v>329</v>
      </c>
      <c r="C32" s="124"/>
      <c r="D32" s="154"/>
      <c r="H32" s="125" t="s">
        <v>329</v>
      </c>
      <c r="I32" s="124"/>
      <c r="J32" s="154"/>
      <c r="O32" t="s">
        <v>161</v>
      </c>
      <c r="P32">
        <v>0</v>
      </c>
    </row>
    <row r="33" spans="2:16" x14ac:dyDescent="0.3">
      <c r="B33" s="125" t="s">
        <v>330</v>
      </c>
      <c r="C33" s="124"/>
      <c r="D33" s="154"/>
      <c r="H33" s="125" t="s">
        <v>330</v>
      </c>
      <c r="I33" s="124"/>
      <c r="J33" s="154"/>
      <c r="O33" t="s">
        <v>161</v>
      </c>
      <c r="P33">
        <v>0</v>
      </c>
    </row>
    <row r="34" spans="2:16" x14ac:dyDescent="0.3">
      <c r="B34" s="125" t="s">
        <v>331</v>
      </c>
      <c r="C34" s="124"/>
      <c r="D34" s="154"/>
      <c r="H34" s="125" t="s">
        <v>331</v>
      </c>
      <c r="I34" s="124"/>
      <c r="J34" s="154"/>
    </row>
    <row r="35" spans="2:16" x14ac:dyDescent="0.3">
      <c r="B35" s="155" t="s">
        <v>332</v>
      </c>
      <c r="C35" s="156"/>
      <c r="D35" s="154"/>
      <c r="H35" s="155" t="s">
        <v>332</v>
      </c>
      <c r="I35" s="156"/>
      <c r="J35" s="154"/>
    </row>
    <row r="36" spans="2:16" x14ac:dyDescent="0.3">
      <c r="B36" s="155" t="s">
        <v>333</v>
      </c>
      <c r="C36" s="156"/>
      <c r="D36" s="157"/>
      <c r="H36" s="155" t="s">
        <v>333</v>
      </c>
      <c r="I36" s="156"/>
      <c r="J36" s="157"/>
    </row>
    <row r="37" spans="2:16" x14ac:dyDescent="0.3">
      <c r="B37" s="125" t="s">
        <v>334</v>
      </c>
      <c r="C37" s="124"/>
      <c r="D37" s="125"/>
      <c r="H37" s="125" t="s">
        <v>334</v>
      </c>
      <c r="I37" s="124"/>
      <c r="J37" s="125"/>
    </row>
    <row r="38" spans="2:16" x14ac:dyDescent="0.3">
      <c r="B38" s="125" t="s">
        <v>335</v>
      </c>
      <c r="C38" s="124"/>
      <c r="D38" s="125"/>
      <c r="H38" s="125" t="s">
        <v>335</v>
      </c>
      <c r="I38" s="124"/>
      <c r="J38" s="125"/>
    </row>
    <row r="39" spans="2:16" x14ac:dyDescent="0.3">
      <c r="B39" s="125" t="s">
        <v>336</v>
      </c>
      <c r="C39" s="124"/>
      <c r="D39" s="158"/>
      <c r="H39" s="125" t="s">
        <v>336</v>
      </c>
      <c r="I39" s="124"/>
      <c r="J39" s="158"/>
    </row>
    <row r="40" spans="2:16" x14ac:dyDescent="0.3">
      <c r="B40" s="125" t="s">
        <v>337</v>
      </c>
      <c r="C40" s="159"/>
      <c r="D40" s="125"/>
      <c r="H40" s="125" t="s">
        <v>337</v>
      </c>
      <c r="I40" s="159"/>
      <c r="J40" s="1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5"/>
  <sheetViews>
    <sheetView zoomScale="96" workbookViewId="0">
      <selection activeCell="A195" sqref="A195"/>
    </sheetView>
  </sheetViews>
  <sheetFormatPr defaultColWidth="9.98828125" defaultRowHeight="21" x14ac:dyDescent="0.3"/>
  <cols>
    <col min="1" max="1" width="3.8828125" customWidth="1"/>
    <col min="2" max="2" width="17.015625" style="160" customWidth="1"/>
    <col min="3" max="3" width="9.4296875" style="160" customWidth="1"/>
    <col min="4" max="4" width="17.75390625" style="160" customWidth="1"/>
    <col min="5" max="5" width="10.7265625" customWidth="1"/>
    <col min="8" max="8" width="9.0625" customWidth="1"/>
    <col min="9" max="9" width="10.6328125" customWidth="1"/>
    <col min="11" max="11" width="10.6328125" customWidth="1"/>
    <col min="13" max="14" width="8.875" style="161"/>
    <col min="15" max="15" width="10.6328125" customWidth="1"/>
    <col min="16" max="16" width="10.44921875" customWidth="1"/>
    <col min="17" max="17" width="12.9453125" customWidth="1"/>
    <col min="18" max="19" width="12.11328125" customWidth="1"/>
    <col min="20" max="20" width="14.33203125" customWidth="1"/>
  </cols>
  <sheetData>
    <row r="1" spans="1:20" x14ac:dyDescent="0.3">
      <c r="B1" s="162" t="s">
        <v>159</v>
      </c>
      <c r="C1" s="163"/>
      <c r="D1" s="164"/>
    </row>
    <row r="2" spans="1:20" x14ac:dyDescent="0.3">
      <c r="B2" s="165" t="s">
        <v>160</v>
      </c>
      <c r="C2" s="166" t="s">
        <v>161</v>
      </c>
      <c r="D2" s="167" t="str">
        <f>Simulasi!B3</f>
        <v>Prapen 10 Tahun</v>
      </c>
      <c r="E2" s="165" t="s">
        <v>162</v>
      </c>
      <c r="F2" s="166" t="s">
        <v>161</v>
      </c>
      <c r="G2" s="167">
        <f>Simulasi!B11</f>
        <v>180</v>
      </c>
      <c r="H2" s="165" t="s">
        <v>163</v>
      </c>
      <c r="I2" s="166" t="s">
        <v>161</v>
      </c>
      <c r="J2" s="168">
        <f ca="1">Simulasi!B34</f>
        <v>0.10805531486111111</v>
      </c>
    </row>
    <row r="3" spans="1:20" x14ac:dyDescent="0.3">
      <c r="B3" s="160" t="s">
        <v>164</v>
      </c>
      <c r="C3" s="166" t="s">
        <v>161</v>
      </c>
      <c r="D3" s="169">
        <f>Simulasi!B32</f>
        <v>5694441</v>
      </c>
      <c r="E3" s="160" t="s">
        <v>165</v>
      </c>
      <c r="F3" s="166" t="s">
        <v>161</v>
      </c>
      <c r="G3" s="167">
        <f ca="1">'Rumus Plafond + Atrib PP10 (2)'!C9</f>
        <v>120</v>
      </c>
      <c r="H3" s="160" t="s">
        <v>166</v>
      </c>
      <c r="I3" s="166" t="s">
        <v>161</v>
      </c>
      <c r="J3" s="168">
        <f ca="1">Simulasi!B35</f>
        <v>0.11936993264872162</v>
      </c>
    </row>
    <row r="4" spans="1:20" x14ac:dyDescent="0.3">
      <c r="B4" s="160" t="s">
        <v>129</v>
      </c>
      <c r="C4" s="166" t="s">
        <v>161</v>
      </c>
      <c r="D4" s="169">
        <f ca="1">Simulasi!B33</f>
        <v>4121876.7176744328</v>
      </c>
      <c r="E4" s="160" t="s">
        <v>167</v>
      </c>
      <c r="F4" s="166" t="s">
        <v>161</v>
      </c>
      <c r="G4" s="167">
        <f ca="1">'Rumus Plafond + Atrib PP10 (2)'!C10</f>
        <v>60</v>
      </c>
      <c r="H4" s="160"/>
      <c r="I4" s="166"/>
      <c r="J4" s="167"/>
    </row>
    <row r="5" spans="1:20" x14ac:dyDescent="0.3">
      <c r="B5" s="170"/>
      <c r="C5" s="160" t="s">
        <v>168</v>
      </c>
      <c r="D5" s="160" t="s">
        <v>169</v>
      </c>
    </row>
    <row r="6" spans="1:20" x14ac:dyDescent="0.3">
      <c r="A6" s="244" t="s">
        <v>170</v>
      </c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O6" s="245" t="s">
        <v>171</v>
      </c>
      <c r="P6" s="245"/>
      <c r="Q6" s="245"/>
    </row>
    <row r="7" spans="1:20" x14ac:dyDescent="0.3">
      <c r="B7" s="162" t="s">
        <v>172</v>
      </c>
      <c r="C7" s="163" t="s">
        <v>161</v>
      </c>
      <c r="D7" s="171">
        <v>350000000</v>
      </c>
      <c r="E7" s="172">
        <v>1</v>
      </c>
    </row>
    <row r="8" spans="1:20" x14ac:dyDescent="0.3">
      <c r="B8" s="162" t="s">
        <v>173</v>
      </c>
      <c r="C8" s="163" t="s">
        <v>161</v>
      </c>
      <c r="D8" s="173">
        <f ca="1">'Rumus Plafond + Atrib PP10 (2)'!P3</f>
        <v>480000000</v>
      </c>
      <c r="E8" s="172">
        <f ca="1">D8/D7</f>
        <v>1.3714285714285714</v>
      </c>
    </row>
    <row r="9" spans="1:20" x14ac:dyDescent="0.3">
      <c r="B9" s="162" t="s">
        <v>174</v>
      </c>
      <c r="C9" s="163" t="s">
        <v>161</v>
      </c>
      <c r="D9" s="173">
        <f ca="1">D7-D8</f>
        <v>-130000000</v>
      </c>
      <c r="E9" s="172">
        <f ca="1">D9/D7</f>
        <v>-0.37142857142857144</v>
      </c>
    </row>
    <row r="10" spans="1:20" x14ac:dyDescent="0.3">
      <c r="B10" s="162" t="s">
        <v>175</v>
      </c>
      <c r="C10" s="163" t="s">
        <v>161</v>
      </c>
      <c r="D10" s="172">
        <f ca="1">AVERAGE(E16:E195)</f>
        <v>0.46263774410639819</v>
      </c>
    </row>
    <row r="11" spans="1:20" x14ac:dyDescent="0.3">
      <c r="B11" s="162" t="s">
        <v>176</v>
      </c>
      <c r="C11" s="163" t="s">
        <v>161</v>
      </c>
      <c r="D11" s="172">
        <f ca="1">AVERAGE(F16:F195)</f>
        <v>0.53736225589360143</v>
      </c>
    </row>
    <row r="12" spans="1:20" x14ac:dyDescent="0.3">
      <c r="B12" s="162" t="s">
        <v>177</v>
      </c>
      <c r="C12" s="163" t="s">
        <v>161</v>
      </c>
      <c r="D12" s="164" t="str">
        <f>Simulasi!B11&amp;" bulan"</f>
        <v>180 bulan</v>
      </c>
    </row>
    <row r="14" spans="1:20" x14ac:dyDescent="0.3">
      <c r="O14" s="174"/>
      <c r="P14" s="174"/>
      <c r="Q14" s="174"/>
      <c r="R14" s="246" t="s">
        <v>178</v>
      </c>
      <c r="S14" s="246"/>
      <c r="T14" s="246"/>
    </row>
    <row r="15" spans="1:20" ht="26.25" x14ac:dyDescent="0.3">
      <c r="A15" s="175" t="s">
        <v>179</v>
      </c>
      <c r="B15" s="175" t="s">
        <v>180</v>
      </c>
      <c r="C15" s="175" t="s">
        <v>181</v>
      </c>
      <c r="D15" s="175" t="s">
        <v>182</v>
      </c>
      <c r="E15" s="175" t="s">
        <v>183</v>
      </c>
      <c r="F15" s="175" t="s">
        <v>184</v>
      </c>
      <c r="G15" s="175" t="s">
        <v>185</v>
      </c>
      <c r="H15" s="175" t="s">
        <v>186</v>
      </c>
      <c r="I15" s="175" t="s">
        <v>187</v>
      </c>
      <c r="J15" s="176" t="s">
        <v>188</v>
      </c>
      <c r="K15" s="175" t="s">
        <v>189</v>
      </c>
      <c r="O15" s="177" t="s">
        <v>190</v>
      </c>
      <c r="P15" s="177" t="s">
        <v>180</v>
      </c>
      <c r="Q15" s="177" t="s">
        <v>191</v>
      </c>
      <c r="R15" s="178" t="s">
        <v>69</v>
      </c>
      <c r="S15" s="178" t="s">
        <v>192</v>
      </c>
      <c r="T15" s="178" t="s">
        <v>193</v>
      </c>
    </row>
    <row r="16" spans="1:20" x14ac:dyDescent="0.3">
      <c r="A16" s="175">
        <f>'Rumus Plafond + Atrib PP10 (2)'!O4</f>
        <v>1</v>
      </c>
      <c r="B16" s="179">
        <f ca="1">DATE(YEAR(Simulasi!B5),MONTH(Simulasi!B5)+1,1)</f>
        <v>46327</v>
      </c>
      <c r="C16" s="180">
        <f ca="1">IFERROR('Rumus Plafond + Atrib PP10 (2)'!P4,"")</f>
        <v>478627771.59444445</v>
      </c>
      <c r="D16" s="180">
        <f ca="1">IFERROR('Rumus Plafond + Atrib PP10 (2)'!R4,"")</f>
        <v>4322212.5944444444</v>
      </c>
      <c r="E16" s="181">
        <f ca="1">IFERROR(G16/K16,"")</f>
        <v>0.75902315862864234</v>
      </c>
      <c r="F16" s="181">
        <f ca="1">IFERROR(H16/K16,"")</f>
        <v>0.24097684137135772</v>
      </c>
      <c r="G16" s="180">
        <f ca="1">IFERROR('Rumus Plafond + Atrib PP10 (2)'!R4,"")</f>
        <v>4322212.5944444444</v>
      </c>
      <c r="H16" s="180">
        <f ca="1">IFERROR('Rumus Plafond + Atrib PP10 (2)'!Q4,"")</f>
        <v>1372228.4055555556</v>
      </c>
      <c r="I16" s="181">
        <f ca="1">IFERROR(C16/$D$7,"")</f>
        <v>1.3675079188412698</v>
      </c>
      <c r="J16" s="181">
        <f ca="1">IFERROR(($D$7-C16)/$D$7,"")</f>
        <v>-0.36750791884126988</v>
      </c>
      <c r="K16" s="180">
        <f ca="1">IFERROR('Rumus Plafond + Atrib PP10 (2)'!S4,"")</f>
        <v>5694441</v>
      </c>
      <c r="O16" s="182">
        <f>A16</f>
        <v>1</v>
      </c>
      <c r="P16" s="183">
        <f ca="1">B16</f>
        <v>46327</v>
      </c>
      <c r="Q16" s="184">
        <f ca="1">K16</f>
        <v>5694441</v>
      </c>
      <c r="R16" s="185">
        <f ca="1">G16</f>
        <v>4322212.5944444444</v>
      </c>
      <c r="S16" s="185">
        <f ca="1">H16</f>
        <v>1372228.4055555556</v>
      </c>
      <c r="T16" s="185">
        <f ca="1">C16</f>
        <v>478627771.59444445</v>
      </c>
    </row>
    <row r="17" spans="1:20" x14ac:dyDescent="0.3">
      <c r="A17" s="175">
        <f>'Rumus Plafond + Atrib PP10 (2)'!O5</f>
        <v>2</v>
      </c>
      <c r="B17" s="179">
        <f ca="1">IF(A17&lt;=Simulasi!$B$11,DATE(YEAR(B16),MONTH(B16)+1,1),"")</f>
        <v>46357</v>
      </c>
      <c r="C17" s="180">
        <f ca="1">IF(A17&lt;=Simulasi!$B$11,'Rumus Plafond + Atrib PP10 (2)'!P5,"")</f>
        <v>477243186.80785358</v>
      </c>
      <c r="D17" s="180">
        <f ca="1">IFERROR('Rumus Plafond + Atrib PP10 (2)'!R5,"")</f>
        <v>4309856.2134091388</v>
      </c>
      <c r="E17" s="181">
        <f t="shared" ref="E17:E80" ca="1" si="0">IFERROR(G17/K17,"")</f>
        <v>0.75685325625625743</v>
      </c>
      <c r="F17" s="181">
        <f t="shared" ref="F17:F80" ca="1" si="1">IFERROR(H17/K17,"")</f>
        <v>0.24314674374374257</v>
      </c>
      <c r="G17" s="180">
        <f ca="1">IFERROR('Rumus Plafond + Atrib PP10 (2)'!R5,"")</f>
        <v>4309856.2134091388</v>
      </c>
      <c r="H17" s="180">
        <f ca="1">IFERROR('Rumus Plafond + Atrib PP10 (2)'!Q5,"")</f>
        <v>1384584.7865908612</v>
      </c>
      <c r="I17" s="181">
        <f t="shared" ref="I17:I80" ca="1" si="2">IFERROR(C17/$D$7,"")</f>
        <v>1.3635519623081531</v>
      </c>
      <c r="J17" s="181">
        <f t="shared" ref="J17:J80" ca="1" si="3">IFERROR(($D$7-C17)/$D$7,"")</f>
        <v>-0.36355196230815306</v>
      </c>
      <c r="K17" s="180">
        <f ca="1">IFERROR('Rumus Plafond + Atrib PP10 (2)'!S5,"")</f>
        <v>5694441</v>
      </c>
      <c r="O17" s="182">
        <f t="shared" ref="O17:P80" si="4">A17</f>
        <v>2</v>
      </c>
      <c r="P17" s="183">
        <f t="shared" ca="1" si="4"/>
        <v>46357</v>
      </c>
      <c r="Q17" s="184">
        <f t="shared" ref="Q17:Q80" ca="1" si="5">K17</f>
        <v>5694441</v>
      </c>
      <c r="R17" s="185">
        <f t="shared" ref="R17:S80" ca="1" si="6">G17</f>
        <v>4309856.2134091388</v>
      </c>
      <c r="S17" s="185">
        <f t="shared" ca="1" si="6"/>
        <v>1384584.7865908612</v>
      </c>
      <c r="T17" s="185">
        <f t="shared" ref="T17:T80" ca="1" si="7">C17</f>
        <v>477243186.80785358</v>
      </c>
    </row>
    <row r="18" spans="1:20" x14ac:dyDescent="0.3">
      <c r="A18" s="175">
        <f>'Rumus Plafond + Atrib PP10 (2)'!O6</f>
        <v>3</v>
      </c>
      <c r="B18" s="179">
        <f ca="1">IF(A18&lt;=Simulasi!$B$11,DATE(YEAR(B17),MONTH(B17)+1,1),"")</f>
        <v>46388</v>
      </c>
      <c r="C18" s="180">
        <f ca="1">IF(A18&lt;=Simulasi!$B$11,'Rumus Plafond + Atrib PP10 (2)'!P6,"")</f>
        <v>475846134.37584049</v>
      </c>
      <c r="D18" s="180">
        <f ca="1">IFERROR('Rumus Plafond + Atrib PP10 (2)'!R6,"")</f>
        <v>4297388.5679868907</v>
      </c>
      <c r="E18" s="181">
        <f t="shared" ca="1" si="0"/>
        <v>0.7546638147602005</v>
      </c>
      <c r="F18" s="181">
        <f t="shared" ca="1" si="1"/>
        <v>0.24533618523979953</v>
      </c>
      <c r="G18" s="180">
        <f ca="1">IFERROR('Rumus Plafond + Atrib PP10 (2)'!R6,"")</f>
        <v>4297388.5679868907</v>
      </c>
      <c r="H18" s="180">
        <f ca="1">IFERROR('Rumus Plafond + Atrib PP10 (2)'!Q6,"")</f>
        <v>1397052.4320131093</v>
      </c>
      <c r="I18" s="181">
        <f t="shared" ca="1" si="2"/>
        <v>1.3595603839309729</v>
      </c>
      <c r="J18" s="181">
        <f t="shared" ca="1" si="3"/>
        <v>-0.35956038393097284</v>
      </c>
      <c r="K18" s="180">
        <f ca="1">IFERROR('Rumus Plafond + Atrib PP10 (2)'!S6,"")</f>
        <v>5694441</v>
      </c>
      <c r="O18" s="182">
        <f t="shared" si="4"/>
        <v>3</v>
      </c>
      <c r="P18" s="183">
        <f t="shared" ca="1" si="4"/>
        <v>46388</v>
      </c>
      <c r="Q18" s="184">
        <f t="shared" ca="1" si="5"/>
        <v>5694441</v>
      </c>
      <c r="R18" s="185">
        <f t="shared" ca="1" si="6"/>
        <v>4297388.5679868907</v>
      </c>
      <c r="S18" s="185">
        <f t="shared" ca="1" si="6"/>
        <v>1397052.4320131093</v>
      </c>
      <c r="T18" s="185">
        <f t="shared" ca="1" si="7"/>
        <v>475846134.37584049</v>
      </c>
    </row>
    <row r="19" spans="1:20" x14ac:dyDescent="0.3">
      <c r="A19" s="175">
        <f>'Rumus Plafond + Atrib PP10 (2)'!O7</f>
        <v>4</v>
      </c>
      <c r="B19" s="179">
        <f ca="1">IF(A19&lt;=Simulasi!$B$11,DATE(YEAR(B18),MONTH(B18)+1,1),"")</f>
        <v>46419</v>
      </c>
      <c r="C19" s="180">
        <f ca="1">IF(A19&lt;=Simulasi!$B$11,'Rumus Plafond + Atrib PP10 (2)'!P7,"")</f>
        <v>474436502.03212583</v>
      </c>
      <c r="D19" s="180">
        <f ca="1">IFERROR('Rumus Plafond + Atrib PP10 (2)'!R7,"")</f>
        <v>4284808.6562853362</v>
      </c>
      <c r="E19" s="181">
        <f t="shared" ca="1" si="0"/>
        <v>0.75245465819829127</v>
      </c>
      <c r="F19" s="181">
        <f t="shared" ca="1" si="1"/>
        <v>0.24754534180170867</v>
      </c>
      <c r="G19" s="180">
        <f ca="1">IFERROR('Rumus Plafond + Atrib PP10 (2)'!R7,"")</f>
        <v>4284808.6562853362</v>
      </c>
      <c r="H19" s="180">
        <f ca="1">IFERROR('Rumus Plafond + Atrib PP10 (2)'!Q7,"")</f>
        <v>1409632.3437146638</v>
      </c>
      <c r="I19" s="181">
        <f t="shared" ca="1" si="2"/>
        <v>1.3555328629489309</v>
      </c>
      <c r="J19" s="181">
        <f t="shared" ca="1" si="3"/>
        <v>-0.35553286294893094</v>
      </c>
      <c r="K19" s="180">
        <f ca="1">IFERROR('Rumus Plafond + Atrib PP10 (2)'!S7,"")</f>
        <v>5694441</v>
      </c>
      <c r="O19" s="182">
        <f t="shared" si="4"/>
        <v>4</v>
      </c>
      <c r="P19" s="183">
        <f t="shared" ca="1" si="4"/>
        <v>46419</v>
      </c>
      <c r="Q19" s="184">
        <f t="shared" ca="1" si="5"/>
        <v>5694441</v>
      </c>
      <c r="R19" s="185">
        <f t="shared" ca="1" si="6"/>
        <v>4284808.6562853362</v>
      </c>
      <c r="S19" s="185">
        <f t="shared" ca="1" si="6"/>
        <v>1409632.3437146638</v>
      </c>
      <c r="T19" s="185">
        <f t="shared" ca="1" si="7"/>
        <v>474436502.03212583</v>
      </c>
    </row>
    <row r="20" spans="1:20" x14ac:dyDescent="0.3">
      <c r="A20" s="175">
        <f>'Rumus Plafond + Atrib PP10 (2)'!O8</f>
        <v>5</v>
      </c>
      <c r="B20" s="179">
        <f ca="1">IF(A20&lt;=Simulasi!$B$11,DATE(YEAR(B19),MONTH(B19)+1,1),"")</f>
        <v>46447</v>
      </c>
      <c r="C20" s="180">
        <f ca="1">IF(A20&lt;=Simulasi!$B$11,'Rumus Plafond + Atrib PP10 (2)'!P8,"")</f>
        <v>473014176.49951631</v>
      </c>
      <c r="D20" s="180">
        <f ca="1">IFERROR('Rumus Plafond + Atrib PP10 (2)'!R8,"")</f>
        <v>4272115.4673904618</v>
      </c>
      <c r="E20" s="181">
        <f t="shared" ca="1" si="0"/>
        <v>0.75022560904405922</v>
      </c>
      <c r="F20" s="181">
        <f t="shared" ca="1" si="1"/>
        <v>0.24977439095594076</v>
      </c>
      <c r="G20" s="180">
        <f ca="1">IFERROR('Rumus Plafond + Atrib PP10 (2)'!R8,"")</f>
        <v>4272115.4673904618</v>
      </c>
      <c r="H20" s="180">
        <f ca="1">IFERROR('Rumus Plafond + Atrib PP10 (2)'!Q8,"")</f>
        <v>1422325.5326095382</v>
      </c>
      <c r="I20" s="181">
        <f t="shared" ca="1" si="2"/>
        <v>1.3514690757129038</v>
      </c>
      <c r="J20" s="181">
        <f t="shared" ca="1" si="3"/>
        <v>-0.35146907571290376</v>
      </c>
      <c r="K20" s="180">
        <f ca="1">IFERROR('Rumus Plafond + Atrib PP10 (2)'!S8,"")</f>
        <v>5694441</v>
      </c>
      <c r="O20" s="182">
        <f t="shared" si="4"/>
        <v>5</v>
      </c>
      <c r="P20" s="183">
        <f t="shared" ca="1" si="4"/>
        <v>46447</v>
      </c>
      <c r="Q20" s="184">
        <f t="shared" ca="1" si="5"/>
        <v>5694441</v>
      </c>
      <c r="R20" s="185">
        <f t="shared" ca="1" si="6"/>
        <v>4272115.4673904618</v>
      </c>
      <c r="S20" s="185">
        <f t="shared" ca="1" si="6"/>
        <v>1422325.5326095382</v>
      </c>
      <c r="T20" s="185">
        <f t="shared" ca="1" si="7"/>
        <v>473014176.49951631</v>
      </c>
    </row>
    <row r="21" spans="1:20" x14ac:dyDescent="0.3">
      <c r="A21" s="175">
        <f>'Rumus Plafond + Atrib PP10 (2)'!O9</f>
        <v>6</v>
      </c>
      <c r="B21" s="179">
        <f ca="1">IF(A21&lt;=Simulasi!$B$11,DATE(YEAR(B20),MONTH(B20)+1,1),"")</f>
        <v>46478</v>
      </c>
      <c r="C21" s="180">
        <f ca="1">IF(A21&lt;=Simulasi!$B$11,'Rumus Plafond + Atrib PP10 (2)'!P9,"")</f>
        <v>471579043.4808017</v>
      </c>
      <c r="D21" s="180">
        <f ca="1">IFERROR('Rumus Plafond + Atrib PP10 (2)'!R9,"")</f>
        <v>4259307.9812853681</v>
      </c>
      <c r="E21" s="181">
        <f t="shared" ca="1" si="0"/>
        <v>0.74797648817247697</v>
      </c>
      <c r="F21" s="181">
        <f t="shared" ca="1" si="1"/>
        <v>0.25202351182752303</v>
      </c>
      <c r="G21" s="180">
        <f ca="1">IFERROR('Rumus Plafond + Atrib PP10 (2)'!R9,"")</f>
        <v>4259307.9812853681</v>
      </c>
      <c r="H21" s="180">
        <f ca="1">IFERROR('Rumus Plafond + Atrib PP10 (2)'!Q9,"")</f>
        <v>1435133.0187146319</v>
      </c>
      <c r="I21" s="181">
        <f t="shared" ca="1" si="2"/>
        <v>1.3473686956594335</v>
      </c>
      <c r="J21" s="181">
        <f t="shared" ca="1" si="3"/>
        <v>-0.34736869565943346</v>
      </c>
      <c r="K21" s="180">
        <f ca="1">IFERROR('Rumus Plafond + Atrib PP10 (2)'!S9,"")</f>
        <v>5694441</v>
      </c>
      <c r="O21" s="182">
        <f t="shared" si="4"/>
        <v>6</v>
      </c>
      <c r="P21" s="183">
        <f t="shared" ca="1" si="4"/>
        <v>46478</v>
      </c>
      <c r="Q21" s="184">
        <f t="shared" ca="1" si="5"/>
        <v>5694441</v>
      </c>
      <c r="R21" s="185">
        <f t="shared" ca="1" si="6"/>
        <v>4259307.9812853681</v>
      </c>
      <c r="S21" s="185">
        <f t="shared" ca="1" si="6"/>
        <v>1435133.0187146319</v>
      </c>
      <c r="T21" s="185">
        <f t="shared" ca="1" si="7"/>
        <v>471579043.4808017</v>
      </c>
    </row>
    <row r="22" spans="1:20" x14ac:dyDescent="0.3">
      <c r="A22" s="175">
        <f>'Rumus Plafond + Atrib PP10 (2)'!O10</f>
        <v>7</v>
      </c>
      <c r="B22" s="179">
        <f ca="1">IF(A22&lt;=Simulasi!$B$11,DATE(YEAR(B21),MONTH(B21)+1,1),"")</f>
        <v>46508</v>
      </c>
      <c r="C22" s="180">
        <f ca="1">IF(A22&lt;=Simulasi!$B$11,'Rumus Plafond + Atrib PP10 (2)'!P10,"")</f>
        <v>470130987.64956999</v>
      </c>
      <c r="D22" s="180">
        <f ca="1">IFERROR('Rumus Plafond + Atrib PP10 (2)'!R10,"")</f>
        <v>4246385.1687683025</v>
      </c>
      <c r="E22" s="181">
        <f t="shared" ca="1" si="0"/>
        <v>0.74570711484556651</v>
      </c>
      <c r="F22" s="181">
        <f t="shared" ca="1" si="1"/>
        <v>0.25429288515443349</v>
      </c>
      <c r="G22" s="180">
        <f ca="1">IFERROR('Rumus Plafond + Atrib PP10 (2)'!R10,"")</f>
        <v>4246385.1687683025</v>
      </c>
      <c r="H22" s="180">
        <f ca="1">IFERROR('Rumus Plafond + Atrib PP10 (2)'!Q10,"")</f>
        <v>1448055.8312316975</v>
      </c>
      <c r="I22" s="181">
        <f t="shared" ca="1" si="2"/>
        <v>1.3432313932844857</v>
      </c>
      <c r="J22" s="181">
        <f t="shared" ca="1" si="3"/>
        <v>-0.34323139328448565</v>
      </c>
      <c r="K22" s="180">
        <f ca="1">IFERROR('Rumus Plafond + Atrib PP10 (2)'!S10,"")</f>
        <v>5694441</v>
      </c>
      <c r="O22" s="182">
        <f t="shared" si="4"/>
        <v>7</v>
      </c>
      <c r="P22" s="183">
        <f t="shared" ca="1" si="4"/>
        <v>46508</v>
      </c>
      <c r="Q22" s="184">
        <f t="shared" ca="1" si="5"/>
        <v>5694441</v>
      </c>
      <c r="R22" s="185">
        <f t="shared" ca="1" si="6"/>
        <v>4246385.1687683025</v>
      </c>
      <c r="S22" s="185">
        <f t="shared" ca="1" si="6"/>
        <v>1448055.8312316975</v>
      </c>
      <c r="T22" s="185">
        <f t="shared" ca="1" si="7"/>
        <v>470130987.64956999</v>
      </c>
    </row>
    <row r="23" spans="1:20" x14ac:dyDescent="0.3">
      <c r="A23" s="175">
        <f>'Rumus Plafond + Atrib PP10 (2)'!O11</f>
        <v>8</v>
      </c>
      <c r="B23" s="179">
        <f ca="1">IF(A23&lt;=Simulasi!$B$11,DATE(YEAR(B22),MONTH(B22)+1,1),"")</f>
        <v>46539</v>
      </c>
      <c r="C23" s="180">
        <f ca="1">IF(A23&lt;=Simulasi!$B$11,'Rumus Plafond + Atrib PP10 (2)'!P11,"")</f>
        <v>468669892.64093995</v>
      </c>
      <c r="D23" s="180">
        <f ca="1">IFERROR('Rumus Plafond + Atrib PP10 (2)'!R11,"")</f>
        <v>4233345.9913699524</v>
      </c>
      <c r="E23" s="181">
        <f t="shared" ca="1" si="0"/>
        <v>0.74341730669787476</v>
      </c>
      <c r="F23" s="181">
        <f t="shared" ca="1" si="1"/>
        <v>0.2565826933021253</v>
      </c>
      <c r="G23" s="180">
        <f ca="1">IFERROR('Rumus Plafond + Atrib PP10 (2)'!R11,"")</f>
        <v>4233345.9913699524</v>
      </c>
      <c r="H23" s="180">
        <f ca="1">IFERROR('Rumus Plafond + Atrib PP10 (2)'!Q11,"")</f>
        <v>1461095.0086300476</v>
      </c>
      <c r="I23" s="181">
        <f t="shared" ca="1" si="2"/>
        <v>1.3390568361169712</v>
      </c>
      <c r="J23" s="181">
        <f t="shared" ca="1" si="3"/>
        <v>-0.33905683611697129</v>
      </c>
      <c r="K23" s="180">
        <f ca="1">IFERROR('Rumus Plafond + Atrib PP10 (2)'!S11,"")</f>
        <v>5694441</v>
      </c>
      <c r="O23" s="182">
        <f t="shared" si="4"/>
        <v>8</v>
      </c>
      <c r="P23" s="183">
        <f t="shared" ca="1" si="4"/>
        <v>46539</v>
      </c>
      <c r="Q23" s="184">
        <f t="shared" ca="1" si="5"/>
        <v>5694441</v>
      </c>
      <c r="R23" s="185">
        <f t="shared" ca="1" si="6"/>
        <v>4233345.9913699524</v>
      </c>
      <c r="S23" s="185">
        <f t="shared" ca="1" si="6"/>
        <v>1461095.0086300476</v>
      </c>
      <c r="T23" s="185">
        <f t="shared" ca="1" si="7"/>
        <v>468669892.64093995</v>
      </c>
    </row>
    <row r="24" spans="1:20" x14ac:dyDescent="0.3">
      <c r="A24" s="175">
        <f>'Rumus Plafond + Atrib PP10 (2)'!O12</f>
        <v>9</v>
      </c>
      <c r="B24" s="179">
        <f ca="1">IF(A24&lt;=Simulasi!$B$11,DATE(YEAR(B23),MONTH(B23)+1,1),"")</f>
        <v>46569</v>
      </c>
      <c r="C24" s="180">
        <f ca="1">IF(A24&lt;=Simulasi!$B$11,'Rumus Plafond + Atrib PP10 (2)'!P12,"")</f>
        <v>467195641.04220992</v>
      </c>
      <c r="D24" s="180">
        <f ca="1">IFERROR('Rumus Plafond + Atrib PP10 (2)'!R12,"")</f>
        <v>4220189.4012699919</v>
      </c>
      <c r="E24" s="181">
        <f t="shared" ca="1" si="0"/>
        <v>0.74110687972181855</v>
      </c>
      <c r="F24" s="181">
        <f t="shared" ca="1" si="1"/>
        <v>0.25889312027818151</v>
      </c>
      <c r="G24" s="180">
        <f ca="1">IFERROR('Rumus Plafond + Atrib PP10 (2)'!R12,"")</f>
        <v>4220189.4012699919</v>
      </c>
      <c r="H24" s="180">
        <f ca="1">IFERROR('Rumus Plafond + Atrib PP10 (2)'!Q12,"")</f>
        <v>1474251.5987300081</v>
      </c>
      <c r="I24" s="181">
        <f t="shared" ca="1" si="2"/>
        <v>1.3348446886920284</v>
      </c>
      <c r="J24" s="181">
        <f t="shared" ca="1" si="3"/>
        <v>-0.33484468869202832</v>
      </c>
      <c r="K24" s="180">
        <f ca="1">IFERROR('Rumus Plafond + Atrib PP10 (2)'!S12,"")</f>
        <v>5694441</v>
      </c>
      <c r="O24" s="182">
        <f t="shared" si="4"/>
        <v>9</v>
      </c>
      <c r="P24" s="183">
        <f t="shared" ca="1" si="4"/>
        <v>46569</v>
      </c>
      <c r="Q24" s="184">
        <f t="shared" ca="1" si="5"/>
        <v>5694441</v>
      </c>
      <c r="R24" s="185">
        <f t="shared" ca="1" si="6"/>
        <v>4220189.4012699919</v>
      </c>
      <c r="S24" s="185">
        <f t="shared" ca="1" si="6"/>
        <v>1474251.5987300081</v>
      </c>
      <c r="T24" s="185">
        <f t="shared" ca="1" si="7"/>
        <v>467195641.04220992</v>
      </c>
    </row>
    <row r="25" spans="1:20" x14ac:dyDescent="0.3">
      <c r="A25" s="175">
        <f>'Rumus Plafond + Atrib PP10 (2)'!O13</f>
        <v>10</v>
      </c>
      <c r="B25" s="179">
        <f ca="1">IF(A25&lt;=Simulasi!$B$11,DATE(YEAR(B24),MONTH(B24)+1,1),"")</f>
        <v>46600</v>
      </c>
      <c r="C25" s="180">
        <f ca="1">IF(A25&lt;=Simulasi!$B$11,'Rumus Plafond + Atrib PP10 (2)'!P13,"")</f>
        <v>465708114.38342279</v>
      </c>
      <c r="D25" s="180">
        <f ca="1">IFERROR('Rumus Plafond + Atrib PP10 (2)'!R13,"")</f>
        <v>4206914.3412128864</v>
      </c>
      <c r="E25" s="181">
        <f t="shared" ca="1" si="0"/>
        <v>0.73877564825289899</v>
      </c>
      <c r="F25" s="181">
        <f t="shared" ca="1" si="1"/>
        <v>0.26122435174710101</v>
      </c>
      <c r="G25" s="180">
        <f ca="1">IFERROR('Rumus Plafond + Atrib PP10 (2)'!R13,"")</f>
        <v>4206914.3412128864</v>
      </c>
      <c r="H25" s="180">
        <f ca="1">IFERROR('Rumus Plafond + Atrib PP10 (2)'!Q13,"")</f>
        <v>1487526.6587871136</v>
      </c>
      <c r="I25" s="181">
        <f t="shared" ca="1" si="2"/>
        <v>1.3305946125240651</v>
      </c>
      <c r="J25" s="181">
        <f t="shared" ca="1" si="3"/>
        <v>-0.33059461252406513</v>
      </c>
      <c r="K25" s="180">
        <f ca="1">IFERROR('Rumus Plafond + Atrib PP10 (2)'!S13,"")</f>
        <v>5694441</v>
      </c>
      <c r="O25" s="182">
        <f t="shared" si="4"/>
        <v>10</v>
      </c>
      <c r="P25" s="183">
        <f t="shared" ca="1" si="4"/>
        <v>46600</v>
      </c>
      <c r="Q25" s="184">
        <f t="shared" ca="1" si="5"/>
        <v>5694441</v>
      </c>
      <c r="R25" s="185">
        <f t="shared" ca="1" si="6"/>
        <v>4206914.3412128864</v>
      </c>
      <c r="S25" s="185">
        <f t="shared" ca="1" si="6"/>
        <v>1487526.6587871136</v>
      </c>
      <c r="T25" s="185">
        <f t="shared" ca="1" si="7"/>
        <v>465708114.38342279</v>
      </c>
    </row>
    <row r="26" spans="1:20" x14ac:dyDescent="0.3">
      <c r="A26" s="175">
        <f>'Rumus Plafond + Atrib PP10 (2)'!O14</f>
        <v>11</v>
      </c>
      <c r="B26" s="179">
        <f ca="1">IF(A26&lt;=Simulasi!$B$11,DATE(YEAR(B25),MONTH(B25)+1,1),"")</f>
        <v>46631</v>
      </c>
      <c r="C26" s="180">
        <f ca="1">IF(A26&lt;=Simulasi!$B$11,'Rumus Plafond + Atrib PP10 (2)'!P14,"")</f>
        <v>464207193.1278457</v>
      </c>
      <c r="D26" s="180">
        <f ca="1">IFERROR('Rumus Plafond + Atrib PP10 (2)'!R14,"")</f>
        <v>4193519.7444229252</v>
      </c>
      <c r="E26" s="181">
        <f t="shared" ca="1" si="0"/>
        <v>0.73642342495478053</v>
      </c>
      <c r="F26" s="181">
        <f t="shared" ca="1" si="1"/>
        <v>0.26357657504521953</v>
      </c>
      <c r="G26" s="180">
        <f ca="1">IFERROR('Rumus Plafond + Atrib PP10 (2)'!R14,"")</f>
        <v>4193519.7444229252</v>
      </c>
      <c r="H26" s="180">
        <f ca="1">IFERROR('Rumus Plafond + Atrib PP10 (2)'!Q14,"")</f>
        <v>1500921.2555770748</v>
      </c>
      <c r="I26" s="181">
        <f t="shared" ca="1" si="2"/>
        <v>1.3263062660795593</v>
      </c>
      <c r="J26" s="181">
        <f t="shared" ca="1" si="3"/>
        <v>-0.32630626607955915</v>
      </c>
      <c r="K26" s="180">
        <f ca="1">IFERROR('Rumus Plafond + Atrib PP10 (2)'!S14,"")</f>
        <v>5694441</v>
      </c>
      <c r="O26" s="182">
        <f t="shared" si="4"/>
        <v>11</v>
      </c>
      <c r="P26" s="183">
        <f t="shared" ca="1" si="4"/>
        <v>46631</v>
      </c>
      <c r="Q26" s="184">
        <f t="shared" ca="1" si="5"/>
        <v>5694441</v>
      </c>
      <c r="R26" s="185">
        <f t="shared" ca="1" si="6"/>
        <v>4193519.7444229252</v>
      </c>
      <c r="S26" s="185">
        <f t="shared" ca="1" si="6"/>
        <v>1500921.2555770748</v>
      </c>
      <c r="T26" s="185">
        <f t="shared" ca="1" si="7"/>
        <v>464207193.1278457</v>
      </c>
    </row>
    <row r="27" spans="1:20" x14ac:dyDescent="0.3">
      <c r="A27" s="175">
        <f>'Rumus Plafond + Atrib PP10 (2)'!O15</f>
        <v>12</v>
      </c>
      <c r="B27" s="179">
        <f ca="1">IF(A27&lt;=Simulasi!$B$11,DATE(YEAR(B26),MONTH(B26)+1,1),"")</f>
        <v>46661</v>
      </c>
      <c r="C27" s="180">
        <f ca="1">IF(A27&lt;=Simulasi!$B$11,'Rumus Plafond + Atrib PP10 (2)'!P15,"")</f>
        <v>462692756.66236418</v>
      </c>
      <c r="D27" s="180">
        <f ca="1">IFERROR('Rumus Plafond + Atrib PP10 (2)'!R15,"")</f>
        <v>4180004.5345184985</v>
      </c>
      <c r="E27" s="181">
        <f t="shared" ca="1" si="0"/>
        <v>0.73405002080423676</v>
      </c>
      <c r="F27" s="181">
        <f t="shared" ca="1" si="1"/>
        <v>0.2659499791957633</v>
      </c>
      <c r="G27" s="180">
        <f ca="1">IFERROR('Rumus Plafond + Atrib PP10 (2)'!R15,"")</f>
        <v>4180004.5345184985</v>
      </c>
      <c r="H27" s="180">
        <f ca="1">IFERROR('Rumus Plafond + Atrib PP10 (2)'!Q15,"")</f>
        <v>1514436.4654815015</v>
      </c>
      <c r="I27" s="181">
        <f t="shared" ca="1" si="2"/>
        <v>1.321979304749612</v>
      </c>
      <c r="J27" s="181">
        <f t="shared" ca="1" si="3"/>
        <v>-0.32197930474961195</v>
      </c>
      <c r="K27" s="180">
        <f ca="1">IFERROR('Rumus Plafond + Atrib PP10 (2)'!S15,"")</f>
        <v>5694441</v>
      </c>
      <c r="O27" s="182">
        <f t="shared" si="4"/>
        <v>12</v>
      </c>
      <c r="P27" s="183">
        <f t="shared" ca="1" si="4"/>
        <v>46661</v>
      </c>
      <c r="Q27" s="184">
        <f t="shared" ca="1" si="5"/>
        <v>5694441</v>
      </c>
      <c r="R27" s="185">
        <f t="shared" ca="1" si="6"/>
        <v>4180004.5345184985</v>
      </c>
      <c r="S27" s="185">
        <f t="shared" ca="1" si="6"/>
        <v>1514436.4654815015</v>
      </c>
      <c r="T27" s="185">
        <f t="shared" ca="1" si="7"/>
        <v>462692756.66236418</v>
      </c>
    </row>
    <row r="28" spans="1:20" x14ac:dyDescent="0.3">
      <c r="A28" s="175">
        <f>'Rumus Plafond + Atrib PP10 (2)'!O16</f>
        <v>13</v>
      </c>
      <c r="B28" s="179">
        <f ca="1">IF(A28&lt;=Simulasi!$B$11,DATE(YEAR(B27),MONTH(B27)+1,1),"")</f>
        <v>46692</v>
      </c>
      <c r="C28" s="180">
        <f ca="1">IF(A28&lt;=Simulasi!$B$11,'Rumus Plafond + Atrib PP10 (2)'!P16,"")</f>
        <v>461164683.28778976</v>
      </c>
      <c r="D28" s="180">
        <f ca="1">IFERROR('Rumus Plafond + Atrib PP10 (2)'!R16,"")</f>
        <v>4166367.6254256028</v>
      </c>
      <c r="E28" s="181">
        <f t="shared" ca="1" si="0"/>
        <v>0.73165524507596136</v>
      </c>
      <c r="F28" s="181">
        <f t="shared" ca="1" si="1"/>
        <v>0.26834475492403859</v>
      </c>
      <c r="G28" s="180">
        <f ca="1">IFERROR('Rumus Plafond + Atrib PP10 (2)'!R16,"")</f>
        <v>4166367.6254256028</v>
      </c>
      <c r="H28" s="180">
        <f ca="1">IFERROR('Rumus Plafond + Atrib PP10 (2)'!Q16,"")</f>
        <v>1528073.3745743972</v>
      </c>
      <c r="I28" s="181">
        <f t="shared" ca="1" si="2"/>
        <v>1.3176133808222565</v>
      </c>
      <c r="J28" s="181">
        <f t="shared" ca="1" si="3"/>
        <v>-0.31761338082225649</v>
      </c>
      <c r="K28" s="180">
        <f ca="1">IFERROR('Rumus Plafond + Atrib PP10 (2)'!S16,"")</f>
        <v>5694441</v>
      </c>
      <c r="O28" s="182">
        <f t="shared" si="4"/>
        <v>13</v>
      </c>
      <c r="P28" s="183">
        <f t="shared" ca="1" si="4"/>
        <v>46692</v>
      </c>
      <c r="Q28" s="184">
        <f t="shared" ca="1" si="5"/>
        <v>5694441</v>
      </c>
      <c r="R28" s="185">
        <f t="shared" ca="1" si="6"/>
        <v>4166367.6254256028</v>
      </c>
      <c r="S28" s="185">
        <f t="shared" ca="1" si="6"/>
        <v>1528073.3745743972</v>
      </c>
      <c r="T28" s="185">
        <f t="shared" ca="1" si="7"/>
        <v>461164683.28778976</v>
      </c>
    </row>
    <row r="29" spans="1:20" x14ac:dyDescent="0.3">
      <c r="A29" s="175">
        <f>'Rumus Plafond + Atrib PP10 (2)'!O17</f>
        <v>14</v>
      </c>
      <c r="B29" s="179">
        <f ca="1">IF(A29&lt;=Simulasi!$B$11,DATE(YEAR(B28),MONTH(B28)+1,1),"")</f>
        <v>46722</v>
      </c>
      <c r="C29" s="180">
        <f ca="1">IF(A29&lt;=Simulasi!$B$11,'Rumus Plafond + Atrib PP10 (2)'!P17,"")</f>
        <v>459622850.20908034</v>
      </c>
      <c r="D29" s="180">
        <f ca="1">IFERROR('Rumus Plafond + Atrib PP10 (2)'!R17,"")</f>
        <v>4152607.9212905592</v>
      </c>
      <c r="E29" s="181">
        <f t="shared" ca="1" si="0"/>
        <v>0.72923890532724089</v>
      </c>
      <c r="F29" s="181">
        <f t="shared" ca="1" si="1"/>
        <v>0.27076109467275905</v>
      </c>
      <c r="G29" s="180">
        <f ca="1">IFERROR('Rumus Plafond + Atrib PP10 (2)'!R17,"")</f>
        <v>4152607.9212905592</v>
      </c>
      <c r="H29" s="180">
        <f ca="1">IFERROR('Rumus Plafond + Atrib PP10 (2)'!Q17,"")</f>
        <v>1541833.0787094408</v>
      </c>
      <c r="I29" s="181">
        <f t="shared" ca="1" si="2"/>
        <v>1.3132081434545153</v>
      </c>
      <c r="J29" s="181">
        <f t="shared" ca="1" si="3"/>
        <v>-0.31320814345451525</v>
      </c>
      <c r="K29" s="180">
        <f ca="1">IFERROR('Rumus Plafond + Atrib PP10 (2)'!S17,"")</f>
        <v>5694441</v>
      </c>
      <c r="O29" s="182">
        <f t="shared" si="4"/>
        <v>14</v>
      </c>
      <c r="P29" s="183">
        <f t="shared" ca="1" si="4"/>
        <v>46722</v>
      </c>
      <c r="Q29" s="184">
        <f t="shared" ca="1" si="5"/>
        <v>5694441</v>
      </c>
      <c r="R29" s="185">
        <f t="shared" ca="1" si="6"/>
        <v>4152607.9212905592</v>
      </c>
      <c r="S29" s="185">
        <f t="shared" ca="1" si="6"/>
        <v>1541833.0787094408</v>
      </c>
      <c r="T29" s="185">
        <f t="shared" ca="1" si="7"/>
        <v>459622850.20908034</v>
      </c>
    </row>
    <row r="30" spans="1:20" x14ac:dyDescent="0.3">
      <c r="A30" s="175">
        <f>'Rumus Plafond + Atrib PP10 (2)'!O18</f>
        <v>15</v>
      </c>
      <c r="B30" s="179">
        <f ca="1">IF(A30&lt;=Simulasi!$B$11,DATE(YEAR(B29),MONTH(B29)+1,1),"")</f>
        <v>46753</v>
      </c>
      <c r="C30" s="180">
        <f ca="1">IF(A30&lt;=Simulasi!$B$11,'Rumus Plafond + Atrib PP10 (2)'!P18,"")</f>
        <v>458067133.52547228</v>
      </c>
      <c r="D30" s="180">
        <f ca="1">IFERROR('Rumus Plafond + Atrib PP10 (2)'!R18,"")</f>
        <v>4138724.3163919575</v>
      </c>
      <c r="E30" s="181">
        <f t="shared" ca="1" si="0"/>
        <v>0.72680080738249064</v>
      </c>
      <c r="F30" s="181">
        <f t="shared" ca="1" si="1"/>
        <v>0.27319919261750936</v>
      </c>
      <c r="G30" s="180">
        <f ca="1">IFERROR('Rumus Plafond + Atrib PP10 (2)'!R18,"")</f>
        <v>4138724.3163919575</v>
      </c>
      <c r="H30" s="180">
        <f ca="1">IFERROR('Rumus Plafond + Atrib PP10 (2)'!Q18,"")</f>
        <v>1555716.6836080425</v>
      </c>
      <c r="I30" s="181">
        <f t="shared" ca="1" si="2"/>
        <v>1.3087632386442065</v>
      </c>
      <c r="J30" s="181">
        <f t="shared" ca="1" si="3"/>
        <v>-0.30876323864420652</v>
      </c>
      <c r="K30" s="180">
        <f ca="1">IFERROR('Rumus Plafond + Atrib PP10 (2)'!S18,"")</f>
        <v>5694441</v>
      </c>
      <c r="O30" s="182">
        <f t="shared" si="4"/>
        <v>15</v>
      </c>
      <c r="P30" s="183">
        <f t="shared" ca="1" si="4"/>
        <v>46753</v>
      </c>
      <c r="Q30" s="184">
        <f t="shared" ca="1" si="5"/>
        <v>5694441</v>
      </c>
      <c r="R30" s="185">
        <f t="shared" ca="1" si="6"/>
        <v>4138724.3163919575</v>
      </c>
      <c r="S30" s="185">
        <f t="shared" ca="1" si="6"/>
        <v>1555716.6836080425</v>
      </c>
      <c r="T30" s="185">
        <f t="shared" ca="1" si="7"/>
        <v>458067133.52547228</v>
      </c>
    </row>
    <row r="31" spans="1:20" x14ac:dyDescent="0.3">
      <c r="A31" s="175">
        <f>'Rumus Plafond + Atrib PP10 (2)'!O19</f>
        <v>16</v>
      </c>
      <c r="B31" s="179">
        <f ca="1">IF(A31&lt;=Simulasi!$B$11,DATE(YEAR(B30),MONTH(B30)+1,1),"")</f>
        <v>46784</v>
      </c>
      <c r="C31" s="180">
        <f ca="1">IF(A31&lt;=Simulasi!$B$11,'Rumus Plafond + Atrib PP10 (2)'!P19,"")</f>
        <v>456497408.22052407</v>
      </c>
      <c r="D31" s="180">
        <f ca="1">IFERROR('Rumus Plafond + Atrib PP10 (2)'!R19,"")</f>
        <v>4124715.6950517944</v>
      </c>
      <c r="E31" s="181">
        <f t="shared" ca="1" si="0"/>
        <v>0.72434075531765008</v>
      </c>
      <c r="F31" s="181">
        <f t="shared" ca="1" si="1"/>
        <v>0.27565924468234998</v>
      </c>
      <c r="G31" s="180">
        <f ca="1">IFERROR('Rumus Plafond + Atrib PP10 (2)'!R19,"")</f>
        <v>4124715.6950517944</v>
      </c>
      <c r="H31" s="180">
        <f ca="1">IFERROR('Rumus Plafond + Atrib PP10 (2)'!Q19,"")</f>
        <v>1569725.3049482056</v>
      </c>
      <c r="I31" s="181">
        <f t="shared" ca="1" si="2"/>
        <v>1.3042783092014973</v>
      </c>
      <c r="J31" s="181">
        <f t="shared" ca="1" si="3"/>
        <v>-0.30427830920149734</v>
      </c>
      <c r="K31" s="180">
        <f ca="1">IFERROR('Rumus Plafond + Atrib PP10 (2)'!S19,"")</f>
        <v>5694441</v>
      </c>
      <c r="O31" s="182">
        <f t="shared" si="4"/>
        <v>16</v>
      </c>
      <c r="P31" s="183">
        <f t="shared" ca="1" si="4"/>
        <v>46784</v>
      </c>
      <c r="Q31" s="184">
        <f t="shared" ca="1" si="5"/>
        <v>5694441</v>
      </c>
      <c r="R31" s="185">
        <f t="shared" ca="1" si="6"/>
        <v>4124715.6950517944</v>
      </c>
      <c r="S31" s="185">
        <f t="shared" ca="1" si="6"/>
        <v>1569725.3049482056</v>
      </c>
      <c r="T31" s="185">
        <f t="shared" ca="1" si="7"/>
        <v>456497408.22052407</v>
      </c>
    </row>
    <row r="32" spans="1:20" x14ac:dyDescent="0.3">
      <c r="A32" s="175">
        <f>'Rumus Plafond + Atrib PP10 (2)'!O20</f>
        <v>17</v>
      </c>
      <c r="B32" s="179">
        <f ca="1">IF(A32&lt;=Simulasi!$B$11,DATE(YEAR(B31),MONTH(B31)+1,1),"")</f>
        <v>46813</v>
      </c>
      <c r="C32" s="180">
        <f ca="1">IF(A32&lt;=Simulasi!$B$11,'Rumus Plafond + Atrib PP10 (2)'!P20,"")</f>
        <v>454913548.15206993</v>
      </c>
      <c r="D32" s="180">
        <f ca="1">IFERROR('Rumus Plafond + Atrib PP10 (2)'!R20,"")</f>
        <v>4110580.9315458252</v>
      </c>
      <c r="E32" s="181">
        <f t="shared" ca="1" si="0"/>
        <v>0.72185855144443944</v>
      </c>
      <c r="F32" s="181">
        <f t="shared" ca="1" si="1"/>
        <v>0.27814144855556056</v>
      </c>
      <c r="G32" s="180">
        <f ca="1">IFERROR('Rumus Plafond + Atrib PP10 (2)'!R20,"")</f>
        <v>4110580.9315458252</v>
      </c>
      <c r="H32" s="180">
        <f ca="1">IFERROR('Rumus Plafond + Atrib PP10 (2)'!Q20,"")</f>
        <v>1583860.0684541748</v>
      </c>
      <c r="I32" s="181">
        <f t="shared" ca="1" si="2"/>
        <v>1.2997529947201998</v>
      </c>
      <c r="J32" s="181">
        <f t="shared" ca="1" si="3"/>
        <v>-0.29975299472019978</v>
      </c>
      <c r="K32" s="180">
        <f ca="1">IFERROR('Rumus Plafond + Atrib PP10 (2)'!S20,"")</f>
        <v>5694441</v>
      </c>
      <c r="O32" s="182">
        <f t="shared" si="4"/>
        <v>17</v>
      </c>
      <c r="P32" s="183">
        <f t="shared" ca="1" si="4"/>
        <v>46813</v>
      </c>
      <c r="Q32" s="184">
        <f t="shared" ca="1" si="5"/>
        <v>5694441</v>
      </c>
      <c r="R32" s="185">
        <f t="shared" ca="1" si="6"/>
        <v>4110580.9315458252</v>
      </c>
      <c r="S32" s="185">
        <f t="shared" ca="1" si="6"/>
        <v>1583860.0684541748</v>
      </c>
      <c r="T32" s="185">
        <f t="shared" ca="1" si="7"/>
        <v>454913548.15206993</v>
      </c>
    </row>
    <row r="33" spans="1:20" x14ac:dyDescent="0.3">
      <c r="A33" s="175">
        <f>'Rumus Plafond + Atrib PP10 (2)'!O21</f>
        <v>18</v>
      </c>
      <c r="B33" s="179">
        <f ca="1">IF(A33&lt;=Simulasi!$B$11,DATE(YEAR(B32),MONTH(B32)+1,1),"")</f>
        <v>46844</v>
      </c>
      <c r="C33" s="180">
        <f ca="1">IF(A33&lt;=Simulasi!$B$11,'Rumus Plafond + Atrib PP10 (2)'!P21,"")</f>
        <v>453315426.04208302</v>
      </c>
      <c r="D33" s="180">
        <f ca="1">IFERROR('Rumus Plafond + Atrib PP10 (2)'!R21,"")</f>
        <v>4096318.8900130955</v>
      </c>
      <c r="E33" s="181">
        <f t="shared" ca="1" si="0"/>
        <v>0.71935399629447305</v>
      </c>
      <c r="F33" s="181">
        <f t="shared" ca="1" si="1"/>
        <v>0.28064600370552695</v>
      </c>
      <c r="G33" s="180">
        <f ca="1">IFERROR('Rumus Plafond + Atrib PP10 (2)'!R21,"")</f>
        <v>4096318.8900130955</v>
      </c>
      <c r="H33" s="180">
        <f ca="1">IFERROR('Rumus Plafond + Atrib PP10 (2)'!Q21,"")</f>
        <v>1598122.1099869045</v>
      </c>
      <c r="I33" s="181">
        <f t="shared" ca="1" si="2"/>
        <v>1.2951869315488087</v>
      </c>
      <c r="J33" s="181">
        <f t="shared" ca="1" si="3"/>
        <v>-0.29518693154880865</v>
      </c>
      <c r="K33" s="180">
        <f ca="1">IFERROR('Rumus Plafond + Atrib PP10 (2)'!S21,"")</f>
        <v>5694441</v>
      </c>
      <c r="O33" s="182">
        <f t="shared" si="4"/>
        <v>18</v>
      </c>
      <c r="P33" s="183">
        <f t="shared" ca="1" si="4"/>
        <v>46844</v>
      </c>
      <c r="Q33" s="184">
        <f t="shared" ca="1" si="5"/>
        <v>5694441</v>
      </c>
      <c r="R33" s="185">
        <f t="shared" ca="1" si="6"/>
        <v>4096318.8900130955</v>
      </c>
      <c r="S33" s="185">
        <f t="shared" ca="1" si="6"/>
        <v>1598122.1099869045</v>
      </c>
      <c r="T33" s="185">
        <f t="shared" ca="1" si="7"/>
        <v>453315426.04208302</v>
      </c>
    </row>
    <row r="34" spans="1:20" x14ac:dyDescent="0.3">
      <c r="A34" s="175">
        <f>'Rumus Plafond + Atrib PP10 (2)'!O22</f>
        <v>19</v>
      </c>
      <c r="B34" s="179">
        <f ca="1">IF(A34&lt;=Simulasi!$B$11,DATE(YEAR(B33),MONTH(B33)+1,1),"")</f>
        <v>46874</v>
      </c>
      <c r="C34" s="180">
        <f ca="1">IF(A34&lt;=Simulasi!$B$11,'Rumus Plafond + Atrib PP10 (2)'!P22,"")</f>
        <v>451702913.46644771</v>
      </c>
      <c r="D34" s="180">
        <f ca="1">IFERROR('Rumus Plafond + Atrib PP10 (2)'!R22,"")</f>
        <v>4081928.4243646674</v>
      </c>
      <c r="E34" s="181">
        <f t="shared" ca="1" si="0"/>
        <v>0.71682688860323029</v>
      </c>
      <c r="F34" s="181">
        <f t="shared" ca="1" si="1"/>
        <v>0.28317311139676971</v>
      </c>
      <c r="G34" s="180">
        <f ca="1">IFERROR('Rumus Plafond + Atrib PP10 (2)'!R22,"")</f>
        <v>4081928.4243646674</v>
      </c>
      <c r="H34" s="180">
        <f ca="1">IFERROR('Rumus Plafond + Atrib PP10 (2)'!Q22,"")</f>
        <v>1612512.5756353326</v>
      </c>
      <c r="I34" s="181">
        <f t="shared" ca="1" si="2"/>
        <v>1.2905797527612792</v>
      </c>
      <c r="J34" s="181">
        <f t="shared" ca="1" si="3"/>
        <v>-0.29057975276127918</v>
      </c>
      <c r="K34" s="180">
        <f ca="1">IFERROR('Rumus Plafond + Atrib PP10 (2)'!S22,"")</f>
        <v>5694441</v>
      </c>
      <c r="O34" s="182">
        <f t="shared" si="4"/>
        <v>19</v>
      </c>
      <c r="P34" s="183">
        <f t="shared" ca="1" si="4"/>
        <v>46874</v>
      </c>
      <c r="Q34" s="184">
        <f t="shared" ca="1" si="5"/>
        <v>5694441</v>
      </c>
      <c r="R34" s="185">
        <f t="shared" ca="1" si="6"/>
        <v>4081928.4243646674</v>
      </c>
      <c r="S34" s="185">
        <f t="shared" ca="1" si="6"/>
        <v>1612512.5756353326</v>
      </c>
      <c r="T34" s="185">
        <f t="shared" ca="1" si="7"/>
        <v>451702913.46644771</v>
      </c>
    </row>
    <row r="35" spans="1:20" x14ac:dyDescent="0.3">
      <c r="A35" s="175">
        <f>'Rumus Plafond + Atrib PP10 (2)'!O23</f>
        <v>20</v>
      </c>
      <c r="B35" s="179">
        <f ca="1">IF(A35&lt;=Simulasi!$B$11,DATE(YEAR(B34),MONTH(B34)+1,1),"")</f>
        <v>46905</v>
      </c>
      <c r="C35" s="180">
        <f ca="1">IF(A35&lt;=Simulasi!$B$11,'Rumus Plafond + Atrib PP10 (2)'!P23,"")</f>
        <v>450075880.84463924</v>
      </c>
      <c r="D35" s="180">
        <f ca="1">IFERROR('Rumus Plafond + Atrib PP10 (2)'!R23,"")</f>
        <v>4067408.3781915195</v>
      </c>
      <c r="E35" s="181">
        <f t="shared" ca="1" si="0"/>
        <v>0.71427702529388215</v>
      </c>
      <c r="F35" s="181">
        <f t="shared" ca="1" si="1"/>
        <v>0.28572297470611785</v>
      </c>
      <c r="G35" s="180">
        <f ca="1">IFERROR('Rumus Plafond + Atrib PP10 (2)'!R23,"")</f>
        <v>4067408.3781915195</v>
      </c>
      <c r="H35" s="180">
        <f ca="1">IFERROR('Rumus Plafond + Atrib PP10 (2)'!Q23,"")</f>
        <v>1627032.6218084805</v>
      </c>
      <c r="I35" s="181">
        <f t="shared" ca="1" si="2"/>
        <v>1.2859310881275408</v>
      </c>
      <c r="J35" s="181">
        <f t="shared" ca="1" si="3"/>
        <v>-0.2859310881275407</v>
      </c>
      <c r="K35" s="180">
        <f ca="1">IFERROR('Rumus Plafond + Atrib PP10 (2)'!S23,"")</f>
        <v>5694441</v>
      </c>
      <c r="O35" s="182">
        <f t="shared" si="4"/>
        <v>20</v>
      </c>
      <c r="P35" s="183">
        <f t="shared" ca="1" si="4"/>
        <v>46905</v>
      </c>
      <c r="Q35" s="184">
        <f t="shared" ca="1" si="5"/>
        <v>5694441</v>
      </c>
      <c r="R35" s="185">
        <f t="shared" ca="1" si="6"/>
        <v>4067408.3781915195</v>
      </c>
      <c r="S35" s="185">
        <f t="shared" ca="1" si="6"/>
        <v>1627032.6218084805</v>
      </c>
      <c r="T35" s="185">
        <f t="shared" ca="1" si="7"/>
        <v>450075880.84463924</v>
      </c>
    </row>
    <row r="36" spans="1:20" x14ac:dyDescent="0.3">
      <c r="A36" s="175">
        <f>'Rumus Plafond + Atrib PP10 (2)'!O24</f>
        <v>21</v>
      </c>
      <c r="B36" s="179">
        <f ca="1">IF(A36&lt;=Simulasi!$B$11,DATE(YEAR(B35),MONTH(B35)+1,1),"")</f>
        <v>46935</v>
      </c>
      <c r="C36" s="180">
        <f ca="1">IF(A36&lt;=Simulasi!$B$11,'Rumus Plafond + Atrib PP10 (2)'!P24,"")</f>
        <v>448434197.42931086</v>
      </c>
      <c r="D36" s="180">
        <f ca="1">IFERROR('Rumus Plafond + Atrib PP10 (2)'!R24,"")</f>
        <v>4052757.5846716184</v>
      </c>
      <c r="E36" s="181">
        <f t="shared" ca="1" si="0"/>
        <v>0.71170420146097191</v>
      </c>
      <c r="F36" s="181">
        <f t="shared" ca="1" si="1"/>
        <v>0.28829579853902809</v>
      </c>
      <c r="G36" s="180">
        <f ca="1">IFERROR('Rumus Plafond + Atrib PP10 (2)'!R24,"")</f>
        <v>4052757.5846716184</v>
      </c>
      <c r="H36" s="180">
        <f ca="1">IFERROR('Rumus Plafond + Atrib PP10 (2)'!Q24,"")</f>
        <v>1641683.4153283816</v>
      </c>
      <c r="I36" s="181">
        <f t="shared" ca="1" si="2"/>
        <v>1.2812405640837452</v>
      </c>
      <c r="J36" s="181">
        <f t="shared" ca="1" si="3"/>
        <v>-0.28124056408374531</v>
      </c>
      <c r="K36" s="180">
        <f ca="1">IFERROR('Rumus Plafond + Atrib PP10 (2)'!S24,"")</f>
        <v>5694441</v>
      </c>
      <c r="O36" s="182">
        <f t="shared" si="4"/>
        <v>21</v>
      </c>
      <c r="P36" s="183">
        <f t="shared" ca="1" si="4"/>
        <v>46935</v>
      </c>
      <c r="Q36" s="184">
        <f t="shared" ca="1" si="5"/>
        <v>5694441</v>
      </c>
      <c r="R36" s="185">
        <f t="shared" ca="1" si="6"/>
        <v>4052757.5846716184</v>
      </c>
      <c r="S36" s="185">
        <f t="shared" ca="1" si="6"/>
        <v>1641683.4153283816</v>
      </c>
      <c r="T36" s="185">
        <f t="shared" ca="1" si="7"/>
        <v>448434197.42931086</v>
      </c>
    </row>
    <row r="37" spans="1:20" x14ac:dyDescent="0.3">
      <c r="A37" s="175">
        <f>'Rumus Plafond + Atrib PP10 (2)'!O25</f>
        <v>22</v>
      </c>
      <c r="B37" s="179">
        <f ca="1">IF(A37&lt;=Simulasi!$B$11,DATE(YEAR(B36),MONTH(B36)+1,1),"")</f>
        <v>46966</v>
      </c>
      <c r="C37" s="180">
        <f ca="1">IF(A37&lt;=Simulasi!$B$11,'Rumus Plafond + Atrib PP10 (2)'!P25,"")</f>
        <v>446777731.29578704</v>
      </c>
      <c r="D37" s="180">
        <f ca="1">IFERROR('Rumus Plafond + Atrib PP10 (2)'!R25,"")</f>
        <v>4037974.866476154</v>
      </c>
      <c r="E37" s="181">
        <f t="shared" ca="1" si="0"/>
        <v>0.70910821035394944</v>
      </c>
      <c r="F37" s="181">
        <f t="shared" ca="1" si="1"/>
        <v>0.29089178964605061</v>
      </c>
      <c r="G37" s="180">
        <f ca="1">IFERROR('Rumus Plafond + Atrib PP10 (2)'!R25,"")</f>
        <v>4037974.866476154</v>
      </c>
      <c r="H37" s="180">
        <f ca="1">IFERROR('Rumus Plafond + Atrib PP10 (2)'!Q25,"")</f>
        <v>1656466.133523846</v>
      </c>
      <c r="I37" s="181">
        <f t="shared" ca="1" si="2"/>
        <v>1.2765078037022486</v>
      </c>
      <c r="J37" s="181">
        <f t="shared" ca="1" si="3"/>
        <v>-0.2765078037022487</v>
      </c>
      <c r="K37" s="180">
        <f ca="1">IFERROR('Rumus Plafond + Atrib PP10 (2)'!S25,"")</f>
        <v>5694441</v>
      </c>
      <c r="O37" s="182">
        <f t="shared" si="4"/>
        <v>22</v>
      </c>
      <c r="P37" s="183">
        <f t="shared" ca="1" si="4"/>
        <v>46966</v>
      </c>
      <c r="Q37" s="184">
        <f t="shared" ca="1" si="5"/>
        <v>5694441</v>
      </c>
      <c r="R37" s="185">
        <f t="shared" ca="1" si="6"/>
        <v>4037974.866476154</v>
      </c>
      <c r="S37" s="185">
        <f t="shared" ca="1" si="6"/>
        <v>1656466.133523846</v>
      </c>
      <c r="T37" s="185">
        <f t="shared" ca="1" si="7"/>
        <v>446777731.29578704</v>
      </c>
    </row>
    <row r="38" spans="1:20" x14ac:dyDescent="0.3">
      <c r="A38" s="175">
        <f>'Rumus Plafond + Atrib PP10 (2)'!O26</f>
        <v>23</v>
      </c>
      <c r="B38" s="179">
        <f ca="1">IF(A38&lt;=Simulasi!$B$11,DATE(YEAR(B37),MONTH(B37)+1,1),"")</f>
        <v>46997</v>
      </c>
      <c r="C38" s="180">
        <f ca="1">IF(A38&lt;=Simulasi!$B$11,'Rumus Plafond + Atrib PP10 (2)'!P26,"")</f>
        <v>445106349.33146197</v>
      </c>
      <c r="D38" s="180">
        <f ca="1">IFERROR('Rumus Plafond + Atrib PP10 (2)'!R26,"")</f>
        <v>4023059.0356749301</v>
      </c>
      <c r="E38" s="181">
        <f t="shared" ca="1" si="0"/>
        <v>0.7064888433605564</v>
      </c>
      <c r="F38" s="181">
        <f t="shared" ca="1" si="1"/>
        <v>0.2935111566394436</v>
      </c>
      <c r="G38" s="180">
        <f ca="1">IFERROR('Rumus Plafond + Atrib PP10 (2)'!R26,"")</f>
        <v>4023059.0356749301</v>
      </c>
      <c r="H38" s="180">
        <f ca="1">IFERROR('Rumus Plafond + Atrib PP10 (2)'!Q26,"")</f>
        <v>1671381.9643250699</v>
      </c>
      <c r="I38" s="181">
        <f t="shared" ca="1" si="2"/>
        <v>1.2717324266613199</v>
      </c>
      <c r="J38" s="181">
        <f t="shared" ca="1" si="3"/>
        <v>-0.27173242666131991</v>
      </c>
      <c r="K38" s="180">
        <f ca="1">IFERROR('Rumus Plafond + Atrib PP10 (2)'!S26,"")</f>
        <v>5694441</v>
      </c>
      <c r="O38" s="182">
        <f t="shared" si="4"/>
        <v>23</v>
      </c>
      <c r="P38" s="183">
        <f t="shared" ca="1" si="4"/>
        <v>46997</v>
      </c>
      <c r="Q38" s="184">
        <f t="shared" ca="1" si="5"/>
        <v>5694441</v>
      </c>
      <c r="R38" s="185">
        <f t="shared" ca="1" si="6"/>
        <v>4023059.0356749301</v>
      </c>
      <c r="S38" s="185">
        <f t="shared" ca="1" si="6"/>
        <v>1671381.9643250699</v>
      </c>
      <c r="T38" s="185">
        <f t="shared" ca="1" si="7"/>
        <v>445106349.33146197</v>
      </c>
    </row>
    <row r="39" spans="1:20" x14ac:dyDescent="0.3">
      <c r="A39" s="175">
        <f>'Rumus Plafond + Atrib PP10 (2)'!O27</f>
        <v>24</v>
      </c>
      <c r="B39" s="179">
        <f ca="1">IF(A39&lt;=Simulasi!$B$11,DATE(YEAR(B38),MONTH(B38)+1,1),"")</f>
        <v>47027</v>
      </c>
      <c r="C39" s="180">
        <f ca="1">IF(A39&lt;=Simulasi!$B$11,'Rumus Plafond + Atrib PP10 (2)'!P27,"")</f>
        <v>443419917.22510284</v>
      </c>
      <c r="D39" s="180">
        <f ca="1">IFERROR('Rumus Plafond + Atrib PP10 (2)'!R27,"")</f>
        <v>4008008.8936409033</v>
      </c>
      <c r="E39" s="181">
        <f t="shared" ca="1" si="0"/>
        <v>0.70384588999006281</v>
      </c>
      <c r="F39" s="181">
        <f t="shared" ca="1" si="1"/>
        <v>0.29615411000993719</v>
      </c>
      <c r="G39" s="180">
        <f ca="1">IFERROR('Rumus Plafond + Atrib PP10 (2)'!R27,"")</f>
        <v>4008008.8936409033</v>
      </c>
      <c r="H39" s="180">
        <f ca="1">IFERROR('Rumus Plafond + Atrib PP10 (2)'!Q27,"")</f>
        <v>1686432.1063590967</v>
      </c>
      <c r="I39" s="181">
        <f t="shared" ca="1" si="2"/>
        <v>1.2669140492145796</v>
      </c>
      <c r="J39" s="181">
        <f t="shared" ca="1" si="3"/>
        <v>-0.26691404921457956</v>
      </c>
      <c r="K39" s="180">
        <f ca="1">IFERROR('Rumus Plafond + Atrib PP10 (2)'!S27,"")</f>
        <v>5694441</v>
      </c>
      <c r="O39" s="182">
        <f t="shared" si="4"/>
        <v>24</v>
      </c>
      <c r="P39" s="183">
        <f t="shared" ca="1" si="4"/>
        <v>47027</v>
      </c>
      <c r="Q39" s="184">
        <f t="shared" ca="1" si="5"/>
        <v>5694441</v>
      </c>
      <c r="R39" s="185">
        <f t="shared" ca="1" si="6"/>
        <v>4008008.8936409033</v>
      </c>
      <c r="S39" s="185">
        <f t="shared" ca="1" si="6"/>
        <v>1686432.1063590967</v>
      </c>
      <c r="T39" s="185">
        <f t="shared" ca="1" si="7"/>
        <v>443419917.22510284</v>
      </c>
    </row>
    <row r="40" spans="1:20" x14ac:dyDescent="0.3">
      <c r="A40" s="175">
        <f>'Rumus Plafond + Atrib PP10 (2)'!O28</f>
        <v>25</v>
      </c>
      <c r="B40" s="179">
        <f ca="1">IF(A40&lt;=Simulasi!$B$11,DATE(YEAR(B39),MONTH(B39)+1,1),"")</f>
        <v>47058</v>
      </c>
      <c r="C40" s="180">
        <f ca="1">IF(A40&lt;=Simulasi!$B$11,'Rumus Plafond + Atrib PP10 (2)'!P28,"")</f>
        <v>441718299.45605671</v>
      </c>
      <c r="D40" s="180">
        <f ca="1">IFERROR('Rumus Plafond + Atrib PP10 (2)'!R28,"")</f>
        <v>3992823.2309538596</v>
      </c>
      <c r="E40" s="181">
        <f t="shared" ca="1" si="0"/>
        <v>0.70117913785635144</v>
      </c>
      <c r="F40" s="181">
        <f t="shared" ca="1" si="1"/>
        <v>0.29882086214364856</v>
      </c>
      <c r="G40" s="180">
        <f ca="1">IFERROR('Rumus Plafond + Atrib PP10 (2)'!R28,"")</f>
        <v>3992823.2309538596</v>
      </c>
      <c r="H40" s="180">
        <f ca="1">IFERROR('Rumus Plafond + Atrib PP10 (2)'!Q28,"")</f>
        <v>1701617.7690461404</v>
      </c>
      <c r="I40" s="181">
        <f t="shared" ca="1" si="2"/>
        <v>1.262052284160162</v>
      </c>
      <c r="J40" s="181">
        <f t="shared" ca="1" si="3"/>
        <v>-0.26205228416016202</v>
      </c>
      <c r="K40" s="180">
        <f ca="1">IFERROR('Rumus Plafond + Atrib PP10 (2)'!S28,"")</f>
        <v>5694441</v>
      </c>
      <c r="O40" s="182">
        <f t="shared" si="4"/>
        <v>25</v>
      </c>
      <c r="P40" s="183">
        <f t="shared" ca="1" si="4"/>
        <v>47058</v>
      </c>
      <c r="Q40" s="184">
        <f t="shared" ca="1" si="5"/>
        <v>5694441</v>
      </c>
      <c r="R40" s="185">
        <f t="shared" ca="1" si="6"/>
        <v>3992823.2309538596</v>
      </c>
      <c r="S40" s="185">
        <f t="shared" ca="1" si="6"/>
        <v>1701617.7690461404</v>
      </c>
      <c r="T40" s="185">
        <f t="shared" ca="1" si="7"/>
        <v>441718299.45605671</v>
      </c>
    </row>
    <row r="41" spans="1:20" x14ac:dyDescent="0.3">
      <c r="A41" s="175">
        <f>'Rumus Plafond + Atrib PP10 (2)'!O29</f>
        <v>26</v>
      </c>
      <c r="B41" s="179">
        <f ca="1">IF(A41&lt;=Simulasi!$B$11,DATE(YEAR(B40),MONTH(B40)+1,1),"")</f>
        <v>47088</v>
      </c>
      <c r="C41" s="180">
        <f ca="1">IF(A41&lt;=Simulasi!$B$11,'Rumus Plafond + Atrib PP10 (2)'!P29,"")</f>
        <v>440001359.28335994</v>
      </c>
      <c r="D41" s="180">
        <f ca="1">IFERROR('Rumus Plafond + Atrib PP10 (2)'!R29,"")</f>
        <v>3977500.8273032312</v>
      </c>
      <c r="E41" s="181">
        <f t="shared" ca="1" si="0"/>
        <v>0.6984883726608514</v>
      </c>
      <c r="F41" s="181">
        <f t="shared" ca="1" si="1"/>
        <v>0.3015116273391486</v>
      </c>
      <c r="G41" s="180">
        <f ca="1">IFERROR('Rumus Plafond + Atrib PP10 (2)'!R29,"")</f>
        <v>3977500.8273032312</v>
      </c>
      <c r="H41" s="180">
        <f ca="1">IFERROR('Rumus Plafond + Atrib PP10 (2)'!Q29,"")</f>
        <v>1716940.1726967688</v>
      </c>
      <c r="I41" s="181">
        <f t="shared" ca="1" si="2"/>
        <v>1.2571467408095998</v>
      </c>
      <c r="J41" s="181">
        <f t="shared" ca="1" si="3"/>
        <v>-0.25714674080959982</v>
      </c>
      <c r="K41" s="180">
        <f ca="1">IFERROR('Rumus Plafond + Atrib PP10 (2)'!S29,"")</f>
        <v>5694441</v>
      </c>
      <c r="O41" s="182">
        <f t="shared" si="4"/>
        <v>26</v>
      </c>
      <c r="P41" s="183">
        <f t="shared" ca="1" si="4"/>
        <v>47088</v>
      </c>
      <c r="Q41" s="184">
        <f t="shared" ca="1" si="5"/>
        <v>5694441</v>
      </c>
      <c r="R41" s="185">
        <f t="shared" ca="1" si="6"/>
        <v>3977500.8273032312</v>
      </c>
      <c r="S41" s="185">
        <f t="shared" ca="1" si="6"/>
        <v>1716940.1726967688</v>
      </c>
      <c r="T41" s="185">
        <f t="shared" ca="1" si="7"/>
        <v>440001359.28335994</v>
      </c>
    </row>
    <row r="42" spans="1:20" x14ac:dyDescent="0.3">
      <c r="A42" s="175">
        <f>'Rumus Plafond + Atrib PP10 (2)'!O30</f>
        <v>27</v>
      </c>
      <c r="B42" s="179">
        <f ca="1">IF(A42&lt;=Simulasi!$B$11,DATE(YEAR(B41),MONTH(B41)+1,1),"")</f>
        <v>47119</v>
      </c>
      <c r="C42" s="180">
        <f ca="1">IF(A42&lt;=Simulasi!$B$11,'Rumus Plafond + Atrib PP10 (2)'!P30,"")</f>
        <v>438268958.73474997</v>
      </c>
      <c r="D42" s="180">
        <f ca="1">IFERROR('Rumus Plafond + Atrib PP10 (2)'!R30,"")</f>
        <v>3962040.451390028</v>
      </c>
      <c r="E42" s="181">
        <f t="shared" ca="1" si="0"/>
        <v>0.69577337817531659</v>
      </c>
      <c r="F42" s="181">
        <f t="shared" ca="1" si="1"/>
        <v>0.30422662182468341</v>
      </c>
      <c r="G42" s="180">
        <f ca="1">IFERROR('Rumus Plafond + Atrib PP10 (2)'!R30,"")</f>
        <v>3962040.451390028</v>
      </c>
      <c r="H42" s="180">
        <f ca="1">IFERROR('Rumus Plafond + Atrib PP10 (2)'!Q30,"")</f>
        <v>1732400.548609972</v>
      </c>
      <c r="I42" s="181">
        <f t="shared" ca="1" si="2"/>
        <v>1.2521970249564285</v>
      </c>
      <c r="J42" s="181">
        <f t="shared" ca="1" si="3"/>
        <v>-0.25219702495642848</v>
      </c>
      <c r="K42" s="180">
        <f ca="1">IFERROR('Rumus Plafond + Atrib PP10 (2)'!S30,"")</f>
        <v>5694441</v>
      </c>
      <c r="O42" s="182">
        <f t="shared" si="4"/>
        <v>27</v>
      </c>
      <c r="P42" s="183">
        <f t="shared" ca="1" si="4"/>
        <v>47119</v>
      </c>
      <c r="Q42" s="184">
        <f t="shared" ca="1" si="5"/>
        <v>5694441</v>
      </c>
      <c r="R42" s="185">
        <f t="shared" ca="1" si="6"/>
        <v>3962040.451390028</v>
      </c>
      <c r="S42" s="185">
        <f t="shared" ca="1" si="6"/>
        <v>1732400.548609972</v>
      </c>
      <c r="T42" s="185">
        <f t="shared" ca="1" si="7"/>
        <v>438268958.73474997</v>
      </c>
    </row>
    <row r="43" spans="1:20" x14ac:dyDescent="0.3">
      <c r="A43" s="175">
        <f>'Rumus Plafond + Atrib PP10 (2)'!O31</f>
        <v>28</v>
      </c>
      <c r="B43" s="179">
        <f ca="1">IF(A43&lt;=Simulasi!$B$11,DATE(YEAR(B42),MONTH(B42)+1,1),"")</f>
        <v>47150</v>
      </c>
      <c r="C43" s="180">
        <f ca="1">IF(A43&lt;=Simulasi!$B$11,'Rumus Plafond + Atrib PP10 (2)'!P31,"")</f>
        <v>436520958.5955779</v>
      </c>
      <c r="D43" s="180">
        <f ca="1">IFERROR('Rumus Plafond + Atrib PP10 (2)'!R31,"")</f>
        <v>3946440.8608278935</v>
      </c>
      <c r="E43" s="181">
        <f t="shared" ca="1" si="0"/>
        <v>0.69303393622445009</v>
      </c>
      <c r="F43" s="181">
        <f t="shared" ca="1" si="1"/>
        <v>0.30696606377554997</v>
      </c>
      <c r="G43" s="180">
        <f ca="1">IFERROR('Rumus Plafond + Atrib PP10 (2)'!R31,"")</f>
        <v>3946440.8608278935</v>
      </c>
      <c r="H43" s="180">
        <f ca="1">IFERROR('Rumus Plafond + Atrib PP10 (2)'!Q31,"")</f>
        <v>1748000.1391721065</v>
      </c>
      <c r="I43" s="181">
        <f t="shared" ca="1" si="2"/>
        <v>1.2472027388445082</v>
      </c>
      <c r="J43" s="181">
        <f t="shared" ca="1" si="3"/>
        <v>-0.24720273884450827</v>
      </c>
      <c r="K43" s="180">
        <f ca="1">IFERROR('Rumus Plafond + Atrib PP10 (2)'!S31,"")</f>
        <v>5694441</v>
      </c>
      <c r="O43" s="182">
        <f t="shared" si="4"/>
        <v>28</v>
      </c>
      <c r="P43" s="183">
        <f t="shared" ca="1" si="4"/>
        <v>47150</v>
      </c>
      <c r="Q43" s="184">
        <f t="shared" ca="1" si="5"/>
        <v>5694441</v>
      </c>
      <c r="R43" s="185">
        <f t="shared" ca="1" si="6"/>
        <v>3946440.8608278935</v>
      </c>
      <c r="S43" s="185">
        <f t="shared" ca="1" si="6"/>
        <v>1748000.1391721065</v>
      </c>
      <c r="T43" s="185">
        <f t="shared" ca="1" si="7"/>
        <v>436520958.5955779</v>
      </c>
    </row>
    <row r="44" spans="1:20" x14ac:dyDescent="0.3">
      <c r="A44" s="175">
        <f>'Rumus Plafond + Atrib PP10 (2)'!O32</f>
        <v>29</v>
      </c>
      <c r="B44" s="179">
        <f ca="1">IF(A44&lt;=Simulasi!$B$11,DATE(YEAR(B43),MONTH(B43)+1,1),"")</f>
        <v>47178</v>
      </c>
      <c r="C44" s="180">
        <f ca="1">IF(A44&lt;=Simulasi!$B$11,'Rumus Plafond + Atrib PP10 (2)'!P32,"")</f>
        <v>434757218.39762115</v>
      </c>
      <c r="D44" s="180">
        <f ca="1">IFERROR('Rumus Plafond + Atrib PP10 (2)'!R32,"")</f>
        <v>3930700.802043268</v>
      </c>
      <c r="E44" s="181">
        <f t="shared" ca="1" si="0"/>
        <v>0.69026982666837144</v>
      </c>
      <c r="F44" s="181">
        <f t="shared" ca="1" si="1"/>
        <v>0.3097301733316285</v>
      </c>
      <c r="G44" s="180">
        <f ca="1">IFERROR('Rumus Plafond + Atrib PP10 (2)'!R32,"")</f>
        <v>3930700.802043268</v>
      </c>
      <c r="H44" s="180">
        <f ca="1">IFERROR('Rumus Plafond + Atrib PP10 (2)'!Q32,"")</f>
        <v>1763740.197956732</v>
      </c>
      <c r="I44" s="181">
        <f t="shared" ca="1" si="2"/>
        <v>1.2421634811360605</v>
      </c>
      <c r="J44" s="181">
        <f t="shared" ca="1" si="3"/>
        <v>-0.24216348113606045</v>
      </c>
      <c r="K44" s="180">
        <f ca="1">IFERROR('Rumus Plafond + Atrib PP10 (2)'!S32,"")</f>
        <v>5694441</v>
      </c>
      <c r="O44" s="182">
        <f t="shared" si="4"/>
        <v>29</v>
      </c>
      <c r="P44" s="183">
        <f t="shared" ca="1" si="4"/>
        <v>47178</v>
      </c>
      <c r="Q44" s="184">
        <f t="shared" ca="1" si="5"/>
        <v>5694441</v>
      </c>
      <c r="R44" s="185">
        <f t="shared" ca="1" si="6"/>
        <v>3930700.802043268</v>
      </c>
      <c r="S44" s="185">
        <f t="shared" ca="1" si="6"/>
        <v>1763740.197956732</v>
      </c>
      <c r="T44" s="185">
        <f t="shared" ca="1" si="7"/>
        <v>434757218.39762115</v>
      </c>
    </row>
    <row r="45" spans="1:20" x14ac:dyDescent="0.3">
      <c r="A45" s="175">
        <f>'Rumus Plafond + Atrib PP10 (2)'!O33</f>
        <v>30</v>
      </c>
      <c r="B45" s="179">
        <f ca="1">IF(A45&lt;=Simulasi!$B$11,DATE(YEAR(B44),MONTH(B44)+1,1),"")</f>
        <v>47209</v>
      </c>
      <c r="C45" s="180">
        <f ca="1">IF(A45&lt;=Simulasi!$B$11,'Rumus Plafond + Atrib PP10 (2)'!P33,"")</f>
        <v>432977596.40779579</v>
      </c>
      <c r="D45" s="180">
        <f ca="1">IFERROR('Rumus Plafond + Atrib PP10 (2)'!R33,"")</f>
        <v>3914819.0101746502</v>
      </c>
      <c r="E45" s="181">
        <f t="shared" ca="1" si="0"/>
        <v>0.68748082738492688</v>
      </c>
      <c r="F45" s="181">
        <f t="shared" ca="1" si="1"/>
        <v>0.31251917261507317</v>
      </c>
      <c r="G45" s="180">
        <f ca="1">IFERROR('Rumus Plafond + Atrib PP10 (2)'!R33,"")</f>
        <v>3914819.0101746502</v>
      </c>
      <c r="H45" s="180">
        <f ca="1">IFERROR('Rumus Plafond + Atrib PP10 (2)'!Q33,"")</f>
        <v>1779621.9898253498</v>
      </c>
      <c r="I45" s="181">
        <f t="shared" ca="1" si="2"/>
        <v>1.2370788468794165</v>
      </c>
      <c r="J45" s="181">
        <f t="shared" ca="1" si="3"/>
        <v>-0.23707884687941652</v>
      </c>
      <c r="K45" s="180">
        <f ca="1">IFERROR('Rumus Plafond + Atrib PP10 (2)'!S33,"")</f>
        <v>5694441</v>
      </c>
      <c r="O45" s="182">
        <f t="shared" si="4"/>
        <v>30</v>
      </c>
      <c r="P45" s="183">
        <f t="shared" ca="1" si="4"/>
        <v>47209</v>
      </c>
      <c r="Q45" s="184">
        <f t="shared" ca="1" si="5"/>
        <v>5694441</v>
      </c>
      <c r="R45" s="185">
        <f t="shared" ca="1" si="6"/>
        <v>3914819.0101746502</v>
      </c>
      <c r="S45" s="185">
        <f t="shared" ca="1" si="6"/>
        <v>1779621.9898253498</v>
      </c>
      <c r="T45" s="185">
        <f t="shared" ca="1" si="7"/>
        <v>432977596.40779579</v>
      </c>
    </row>
    <row r="46" spans="1:20" x14ac:dyDescent="0.3">
      <c r="A46" s="175">
        <f>'Rumus Plafond + Atrib PP10 (2)'!O34</f>
        <v>31</v>
      </c>
      <c r="B46" s="179">
        <f ca="1">IF(A46&lt;=Simulasi!$B$11,DATE(YEAR(B45),MONTH(B45)+1,1),"")</f>
        <v>47239</v>
      </c>
      <c r="C46" s="180">
        <f ca="1">IF(A46&lt;=Simulasi!$B$11,'Rumus Plafond + Atrib PP10 (2)'!P34,"")</f>
        <v>431181949.61676675</v>
      </c>
      <c r="D46" s="180">
        <f ca="1">IFERROR('Rumus Plafond + Atrib PP10 (2)'!R34,"")</f>
        <v>3898794.2089709551</v>
      </c>
      <c r="E46" s="181">
        <f t="shared" ca="1" si="0"/>
        <v>0.68466671425183878</v>
      </c>
      <c r="F46" s="181">
        <f t="shared" ca="1" si="1"/>
        <v>0.31533328574816122</v>
      </c>
      <c r="G46" s="180">
        <f ca="1">IFERROR('Rumus Plafond + Atrib PP10 (2)'!R34,"")</f>
        <v>3898794.2089709551</v>
      </c>
      <c r="H46" s="180">
        <f ca="1">IFERROR('Rumus Plafond + Atrib PP10 (2)'!Q34,"")</f>
        <v>1795646.7910290449</v>
      </c>
      <c r="I46" s="181">
        <f t="shared" ca="1" si="2"/>
        <v>1.2319484274764765</v>
      </c>
      <c r="J46" s="181">
        <f t="shared" ca="1" si="3"/>
        <v>-0.23194842747647643</v>
      </c>
      <c r="K46" s="180">
        <f ca="1">IFERROR('Rumus Plafond + Atrib PP10 (2)'!S34,"")</f>
        <v>5694441</v>
      </c>
      <c r="O46" s="182">
        <f t="shared" si="4"/>
        <v>31</v>
      </c>
      <c r="P46" s="183">
        <f t="shared" ca="1" si="4"/>
        <v>47239</v>
      </c>
      <c r="Q46" s="184">
        <f t="shared" ca="1" si="5"/>
        <v>5694441</v>
      </c>
      <c r="R46" s="185">
        <f t="shared" ca="1" si="6"/>
        <v>3898794.2089709551</v>
      </c>
      <c r="S46" s="185">
        <f t="shared" ca="1" si="6"/>
        <v>1795646.7910290449</v>
      </c>
      <c r="T46" s="185">
        <f t="shared" ca="1" si="7"/>
        <v>431181949.61676675</v>
      </c>
    </row>
    <row r="47" spans="1:20" x14ac:dyDescent="0.3">
      <c r="A47" s="175">
        <f>'Rumus Plafond + Atrib PP10 (2)'!O35</f>
        <v>32</v>
      </c>
      <c r="B47" s="179">
        <f ca="1">IF(A47&lt;=Simulasi!$B$11,DATE(YEAR(B46),MONTH(B46)+1,1),"")</f>
        <v>47270</v>
      </c>
      <c r="C47" s="180">
        <f ca="1">IF(A47&lt;=Simulasi!$B$11,'Rumus Plafond + Atrib PP10 (2)'!P35,"")</f>
        <v>429370133.72745574</v>
      </c>
      <c r="D47" s="180">
        <f ca="1">IFERROR('Rumus Plafond + Atrib PP10 (2)'!R35,"")</f>
        <v>3882625.1106889565</v>
      </c>
      <c r="E47" s="181">
        <f t="shared" ca="1" si="0"/>
        <v>0.68182726112869663</v>
      </c>
      <c r="F47" s="181">
        <f t="shared" ca="1" si="1"/>
        <v>0.31817273887130337</v>
      </c>
      <c r="G47" s="180">
        <f ca="1">IFERROR('Rumus Plafond + Atrib PP10 (2)'!R35,"")</f>
        <v>3882625.1106889565</v>
      </c>
      <c r="H47" s="180">
        <f ca="1">IFERROR('Rumus Plafond + Atrib PP10 (2)'!Q35,"")</f>
        <v>1811815.8893110435</v>
      </c>
      <c r="I47" s="181">
        <f t="shared" ca="1" si="2"/>
        <v>1.2267718106498735</v>
      </c>
      <c r="J47" s="181">
        <f t="shared" ca="1" si="3"/>
        <v>-0.22677181064987353</v>
      </c>
      <c r="K47" s="180">
        <f ca="1">IFERROR('Rumus Plafond + Atrib PP10 (2)'!S35,"")</f>
        <v>5694441</v>
      </c>
      <c r="O47" s="182">
        <f t="shared" si="4"/>
        <v>32</v>
      </c>
      <c r="P47" s="183">
        <f t="shared" ca="1" si="4"/>
        <v>47270</v>
      </c>
      <c r="Q47" s="184">
        <f t="shared" ca="1" si="5"/>
        <v>5694441</v>
      </c>
      <c r="R47" s="185">
        <f t="shared" ca="1" si="6"/>
        <v>3882625.1106889565</v>
      </c>
      <c r="S47" s="185">
        <f t="shared" ca="1" si="6"/>
        <v>1811815.8893110435</v>
      </c>
      <c r="T47" s="185">
        <f t="shared" ca="1" si="7"/>
        <v>429370133.72745574</v>
      </c>
    </row>
    <row r="48" spans="1:20" x14ac:dyDescent="0.3">
      <c r="A48" s="175">
        <f>'Rumus Plafond + Atrib PP10 (2)'!O36</f>
        <v>33</v>
      </c>
      <c r="B48" s="179">
        <f ca="1">IF(A48&lt;=Simulasi!$B$11,DATE(YEAR(B47),MONTH(B47)+1,1),"")</f>
        <v>47300</v>
      </c>
      <c r="C48" s="180">
        <f ca="1">IF(A48&lt;=Simulasi!$B$11,'Rumus Plafond + Atrib PP10 (2)'!P36,"")</f>
        <v>427542003.14344555</v>
      </c>
      <c r="D48" s="180">
        <f ca="1">IFERROR('Rumus Plafond + Atrib PP10 (2)'!R36,"")</f>
        <v>3866310.4159898013</v>
      </c>
      <c r="E48" s="181">
        <f t="shared" ca="1" si="0"/>
        <v>0.67896223983878334</v>
      </c>
      <c r="F48" s="181">
        <f t="shared" ca="1" si="1"/>
        <v>0.32103776016121666</v>
      </c>
      <c r="G48" s="180">
        <f ca="1">IFERROR('Rumus Plafond + Atrib PP10 (2)'!R36,"")</f>
        <v>3866310.4159898013</v>
      </c>
      <c r="H48" s="180">
        <f ca="1">IFERROR('Rumus Plafond + Atrib PP10 (2)'!Q36,"")</f>
        <v>1828130.5840101987</v>
      </c>
      <c r="I48" s="181">
        <f t="shared" ca="1" si="2"/>
        <v>1.2215485804098445</v>
      </c>
      <c r="J48" s="181">
        <f t="shared" ca="1" si="3"/>
        <v>-0.22154858040984443</v>
      </c>
      <c r="K48" s="180">
        <f ca="1">IFERROR('Rumus Plafond + Atrib PP10 (2)'!S36,"")</f>
        <v>5694441</v>
      </c>
      <c r="O48" s="182">
        <f t="shared" si="4"/>
        <v>33</v>
      </c>
      <c r="P48" s="183">
        <f t="shared" ca="1" si="4"/>
        <v>47300</v>
      </c>
      <c r="Q48" s="184">
        <f t="shared" ca="1" si="5"/>
        <v>5694441</v>
      </c>
      <c r="R48" s="185">
        <f t="shared" ca="1" si="6"/>
        <v>3866310.4159898013</v>
      </c>
      <c r="S48" s="185">
        <f t="shared" ca="1" si="6"/>
        <v>1828130.5840101987</v>
      </c>
      <c r="T48" s="185">
        <f t="shared" ca="1" si="7"/>
        <v>427542003.14344555</v>
      </c>
    </row>
    <row r="49" spans="1:20" x14ac:dyDescent="0.3">
      <c r="A49" s="175">
        <f>'Rumus Plafond + Atrib PP10 (2)'!O37</f>
        <v>34</v>
      </c>
      <c r="B49" s="179">
        <f ca="1">IF(A49&lt;=Simulasi!$B$11,DATE(YEAR(B48),MONTH(B48)+1,1),"")</f>
        <v>47331</v>
      </c>
      <c r="C49" s="180">
        <f ca="1">IF(A49&lt;=Simulasi!$B$11,'Rumus Plafond + Atrib PP10 (2)'!P37,"")</f>
        <v>425697410.95728016</v>
      </c>
      <c r="D49" s="180">
        <f ca="1">IFERROR('Rumus Plafond + Atrib PP10 (2)'!R37,"")</f>
        <v>3849848.8138345969</v>
      </c>
      <c r="E49" s="181">
        <f t="shared" ca="1" si="0"/>
        <v>0.6760714201507394</v>
      </c>
      <c r="F49" s="181">
        <f t="shared" ca="1" si="1"/>
        <v>0.32392857984926055</v>
      </c>
      <c r="G49" s="180">
        <f ca="1">IFERROR('Rumus Plafond + Atrib PP10 (2)'!R37,"")</f>
        <v>3849848.8138345969</v>
      </c>
      <c r="H49" s="180">
        <f ca="1">IFERROR('Rumus Plafond + Atrib PP10 (2)'!Q37,"")</f>
        <v>1844592.1861654031</v>
      </c>
      <c r="I49" s="181">
        <f t="shared" ca="1" si="2"/>
        <v>1.2162783170208005</v>
      </c>
      <c r="J49" s="181">
        <f t="shared" ca="1" si="3"/>
        <v>-0.21627831702080044</v>
      </c>
      <c r="K49" s="180">
        <f ca="1">IFERROR('Rumus Plafond + Atrib PP10 (2)'!S37,"")</f>
        <v>5694441</v>
      </c>
      <c r="O49" s="182">
        <f t="shared" si="4"/>
        <v>34</v>
      </c>
      <c r="P49" s="183">
        <f t="shared" ca="1" si="4"/>
        <v>47331</v>
      </c>
      <c r="Q49" s="184">
        <f t="shared" ca="1" si="5"/>
        <v>5694441</v>
      </c>
      <c r="R49" s="185">
        <f t="shared" ca="1" si="6"/>
        <v>3849848.8138345969</v>
      </c>
      <c r="S49" s="185">
        <f t="shared" ca="1" si="6"/>
        <v>1844592.1861654031</v>
      </c>
      <c r="T49" s="185">
        <f t="shared" ca="1" si="7"/>
        <v>425697410.95728016</v>
      </c>
    </row>
    <row r="50" spans="1:20" x14ac:dyDescent="0.3">
      <c r="A50" s="175">
        <f>'Rumus Plafond + Atrib PP10 (2)'!O38</f>
        <v>35</v>
      </c>
      <c r="B50" s="179">
        <f ca="1">IF(A50&lt;=Simulasi!$B$11,DATE(YEAR(B49),MONTH(B49)+1,1),"")</f>
        <v>47362</v>
      </c>
      <c r="C50" s="180">
        <f ca="1">IF(A50&lt;=Simulasi!$B$11,'Rumus Plafond + Atrib PP10 (2)'!P38,"")</f>
        <v>423836208.93865919</v>
      </c>
      <c r="D50" s="180">
        <f ca="1">IFERROR('Rumus Plafond + Atrib PP10 (2)'!R38,"")</f>
        <v>3833238.9813790601</v>
      </c>
      <c r="E50" s="181">
        <f t="shared" ca="1" si="0"/>
        <v>0.67315456976006249</v>
      </c>
      <c r="F50" s="181">
        <f t="shared" ca="1" si="1"/>
        <v>0.32684543023993751</v>
      </c>
      <c r="G50" s="180">
        <f ca="1">IFERROR('Rumus Plafond + Atrib PP10 (2)'!R38,"")</f>
        <v>3833238.9813790601</v>
      </c>
      <c r="H50" s="180">
        <f ca="1">IFERROR('Rumus Plafond + Atrib PP10 (2)'!Q38,"")</f>
        <v>1861202.0186209399</v>
      </c>
      <c r="I50" s="181">
        <f t="shared" ca="1" si="2"/>
        <v>1.2109605969675976</v>
      </c>
      <c r="J50" s="181">
        <f t="shared" ca="1" si="3"/>
        <v>-0.2109605969675977</v>
      </c>
      <c r="K50" s="180">
        <f ca="1">IFERROR('Rumus Plafond + Atrib PP10 (2)'!S38,"")</f>
        <v>5694441</v>
      </c>
      <c r="O50" s="182">
        <f t="shared" si="4"/>
        <v>35</v>
      </c>
      <c r="P50" s="183">
        <f t="shared" ca="1" si="4"/>
        <v>47362</v>
      </c>
      <c r="Q50" s="184">
        <f t="shared" ca="1" si="5"/>
        <v>5694441</v>
      </c>
      <c r="R50" s="185">
        <f t="shared" ca="1" si="6"/>
        <v>3833238.9813790601</v>
      </c>
      <c r="S50" s="185">
        <f t="shared" ca="1" si="6"/>
        <v>1861202.0186209399</v>
      </c>
      <c r="T50" s="185">
        <f t="shared" ca="1" si="7"/>
        <v>423836208.93865919</v>
      </c>
    </row>
    <row r="51" spans="1:20" x14ac:dyDescent="0.3">
      <c r="A51" s="175">
        <f>'Rumus Plafond + Atrib PP10 (2)'!O39</f>
        <v>36</v>
      </c>
      <c r="B51" s="179">
        <f ca="1">IF(A51&lt;=Simulasi!$B$11,DATE(YEAR(B50),MONTH(B50)+1,1),"")</f>
        <v>47392</v>
      </c>
      <c r="C51" s="180">
        <f ca="1">IF(A51&lt;=Simulasi!$B$11,'Rumus Plafond + Atrib PP10 (2)'!P39,"")</f>
        <v>421958247.52252638</v>
      </c>
      <c r="D51" s="180">
        <f ca="1">IFERROR('Rumus Plafond + Atrib PP10 (2)'!R39,"")</f>
        <v>3816479.5838672076</v>
      </c>
      <c r="E51" s="181">
        <f t="shared" ca="1" si="0"/>
        <v>0.67021145427043805</v>
      </c>
      <c r="F51" s="181">
        <f t="shared" ca="1" si="1"/>
        <v>0.32978854572956195</v>
      </c>
      <c r="G51" s="180">
        <f ca="1">IFERROR('Rumus Plafond + Atrib PP10 (2)'!R39,"")</f>
        <v>3816479.5838672076</v>
      </c>
      <c r="H51" s="180">
        <f ca="1">IFERROR('Rumus Plafond + Atrib PP10 (2)'!Q39,"")</f>
        <v>1877961.4161327924</v>
      </c>
      <c r="I51" s="181">
        <f t="shared" ca="1" si="2"/>
        <v>1.205594992921504</v>
      </c>
      <c r="J51" s="181">
        <f t="shared" ca="1" si="3"/>
        <v>-0.20559499292150396</v>
      </c>
      <c r="K51" s="180">
        <f ca="1">IFERROR('Rumus Plafond + Atrib PP10 (2)'!S39,"")</f>
        <v>5694441</v>
      </c>
      <c r="O51" s="182">
        <f t="shared" si="4"/>
        <v>36</v>
      </c>
      <c r="P51" s="183">
        <f t="shared" ca="1" si="4"/>
        <v>47392</v>
      </c>
      <c r="Q51" s="184">
        <f t="shared" ca="1" si="5"/>
        <v>5694441</v>
      </c>
      <c r="R51" s="185">
        <f t="shared" ca="1" si="6"/>
        <v>3816479.5838672076</v>
      </c>
      <c r="S51" s="185">
        <f t="shared" ca="1" si="6"/>
        <v>1877961.4161327924</v>
      </c>
      <c r="T51" s="185">
        <f t="shared" ca="1" si="7"/>
        <v>421958247.52252638</v>
      </c>
    </row>
    <row r="52" spans="1:20" x14ac:dyDescent="0.3">
      <c r="A52" s="175">
        <f>'Rumus Plafond + Atrib PP10 (2)'!O40</f>
        <v>37</v>
      </c>
      <c r="B52" s="179">
        <f ca="1">IF(A52&lt;=Simulasi!$B$11,DATE(YEAR(B51),MONTH(B51)+1,1),"")</f>
        <v>47423</v>
      </c>
      <c r="C52" s="180">
        <f ca="1">IF(A52&lt;=Simulasi!$B$11,'Rumus Plafond + Atrib PP10 (2)'!P40,"")</f>
        <v>420063375.79705048</v>
      </c>
      <c r="D52" s="180">
        <f ca="1">IFERROR('Rumus Plafond + Atrib PP10 (2)'!R40,"")</f>
        <v>3799569.2745241039</v>
      </c>
      <c r="E52" s="181">
        <f t="shared" ca="1" si="0"/>
        <v>0.66724183717490515</v>
      </c>
      <c r="F52" s="181">
        <f t="shared" ca="1" si="1"/>
        <v>0.33275816282509491</v>
      </c>
      <c r="G52" s="180">
        <f ca="1">IFERROR('Rumus Plafond + Atrib PP10 (2)'!R40,"")</f>
        <v>3799569.2745241039</v>
      </c>
      <c r="H52" s="180">
        <f ca="1">IFERROR('Rumus Plafond + Atrib PP10 (2)'!Q40,"")</f>
        <v>1894871.7254758961</v>
      </c>
      <c r="I52" s="181">
        <f t="shared" ca="1" si="2"/>
        <v>1.2001810737058585</v>
      </c>
      <c r="J52" s="181">
        <f t="shared" ca="1" si="3"/>
        <v>-0.2001810737058585</v>
      </c>
      <c r="K52" s="180">
        <f ca="1">IFERROR('Rumus Plafond + Atrib PP10 (2)'!S40,"")</f>
        <v>5694441</v>
      </c>
      <c r="O52" s="182">
        <f t="shared" si="4"/>
        <v>37</v>
      </c>
      <c r="P52" s="183">
        <f t="shared" ca="1" si="4"/>
        <v>47423</v>
      </c>
      <c r="Q52" s="184">
        <f t="shared" ca="1" si="5"/>
        <v>5694441</v>
      </c>
      <c r="R52" s="185">
        <f t="shared" ca="1" si="6"/>
        <v>3799569.2745241039</v>
      </c>
      <c r="S52" s="185">
        <f t="shared" ca="1" si="6"/>
        <v>1894871.7254758961</v>
      </c>
      <c r="T52" s="185">
        <f t="shared" ca="1" si="7"/>
        <v>420063375.79705048</v>
      </c>
    </row>
    <row r="53" spans="1:20" x14ac:dyDescent="0.3">
      <c r="A53" s="175">
        <f>'Rumus Plafond + Atrib PP10 (2)'!O41</f>
        <v>38</v>
      </c>
      <c r="B53" s="179">
        <f ca="1">IF(A53&lt;=Simulasi!$B$11,DATE(YEAR(B52),MONTH(B52)+1,1),"")</f>
        <v>47453</v>
      </c>
      <c r="C53" s="180">
        <f ca="1">IF(A53&lt;=Simulasi!$B$11,'Rumus Plafond + Atrib PP10 (2)'!P41,"")</f>
        <v>418151441.49149811</v>
      </c>
      <c r="D53" s="180">
        <f ca="1">IFERROR('Rumus Plafond + Atrib PP10 (2)'!R41,"")</f>
        <v>3782506.6944476273</v>
      </c>
      <c r="E53" s="181">
        <f t="shared" ca="1" si="0"/>
        <v>0.66424547983684923</v>
      </c>
      <c r="F53" s="181">
        <f t="shared" ca="1" si="1"/>
        <v>0.33575452016315083</v>
      </c>
      <c r="G53" s="180">
        <f ca="1">IFERROR('Rumus Plafond + Atrib PP10 (2)'!R41,"")</f>
        <v>3782506.6944476273</v>
      </c>
      <c r="H53" s="180">
        <f ca="1">IFERROR('Rumus Plafond + Atrib PP10 (2)'!Q41,"")</f>
        <v>1911934.3055523727</v>
      </c>
      <c r="I53" s="181">
        <f t="shared" ca="1" si="2"/>
        <v>1.1947184042614232</v>
      </c>
      <c r="J53" s="181">
        <f t="shared" ca="1" si="3"/>
        <v>-0.19471840426142317</v>
      </c>
      <c r="K53" s="180">
        <f ca="1">IFERROR('Rumus Plafond + Atrib PP10 (2)'!S41,"")</f>
        <v>5694441</v>
      </c>
      <c r="O53" s="182">
        <f t="shared" si="4"/>
        <v>38</v>
      </c>
      <c r="P53" s="183">
        <f t="shared" ca="1" si="4"/>
        <v>47453</v>
      </c>
      <c r="Q53" s="184">
        <f t="shared" ca="1" si="5"/>
        <v>5694441</v>
      </c>
      <c r="R53" s="185">
        <f t="shared" ca="1" si="6"/>
        <v>3782506.6944476273</v>
      </c>
      <c r="S53" s="185">
        <f t="shared" ca="1" si="6"/>
        <v>1911934.3055523727</v>
      </c>
      <c r="T53" s="185">
        <f t="shared" ca="1" si="7"/>
        <v>418151441.49149811</v>
      </c>
    </row>
    <row r="54" spans="1:20" x14ac:dyDescent="0.3">
      <c r="A54" s="175">
        <f>'Rumus Plafond + Atrib PP10 (2)'!O42</f>
        <v>39</v>
      </c>
      <c r="B54" s="179">
        <f ca="1">IF(A54&lt;=Simulasi!$B$11,DATE(YEAR(B53),MONTH(B53)+1,1),"")</f>
        <v>47484</v>
      </c>
      <c r="C54" s="180">
        <f ca="1">IF(A54&lt;=Simulasi!$B$11,'Rumus Plafond + Atrib PP10 (2)'!P42,"")</f>
        <v>416222290.96399736</v>
      </c>
      <c r="D54" s="180">
        <f ca="1">IFERROR('Rumus Plafond + Atrib PP10 (2)'!R42,"")</f>
        <v>3765290.4724992756</v>
      </c>
      <c r="E54" s="181">
        <f t="shared" ca="1" si="0"/>
        <v>0.6612221414708267</v>
      </c>
      <c r="F54" s="181">
        <f t="shared" ca="1" si="1"/>
        <v>0.33877785852917336</v>
      </c>
      <c r="G54" s="180">
        <f ca="1">IFERROR('Rumus Plafond + Atrib PP10 (2)'!R42,"")</f>
        <v>3765290.4724992756</v>
      </c>
      <c r="H54" s="180">
        <f ca="1">IFERROR('Rumus Plafond + Atrib PP10 (2)'!Q42,"")</f>
        <v>1929150.5275007244</v>
      </c>
      <c r="I54" s="181">
        <f t="shared" ca="1" si="2"/>
        <v>1.1892065456114211</v>
      </c>
      <c r="J54" s="181">
        <f t="shared" ca="1" si="3"/>
        <v>-0.18920654561142103</v>
      </c>
      <c r="K54" s="180">
        <f ca="1">IFERROR('Rumus Plafond + Atrib PP10 (2)'!S42,"")</f>
        <v>5694441</v>
      </c>
      <c r="O54" s="182">
        <f t="shared" si="4"/>
        <v>39</v>
      </c>
      <c r="P54" s="183">
        <f t="shared" ca="1" si="4"/>
        <v>47484</v>
      </c>
      <c r="Q54" s="184">
        <f t="shared" ca="1" si="5"/>
        <v>5694441</v>
      </c>
      <c r="R54" s="185">
        <f t="shared" ca="1" si="6"/>
        <v>3765290.4724992756</v>
      </c>
      <c r="S54" s="185">
        <f t="shared" ca="1" si="6"/>
        <v>1929150.5275007244</v>
      </c>
      <c r="T54" s="185">
        <f t="shared" ca="1" si="7"/>
        <v>416222290.96399736</v>
      </c>
    </row>
    <row r="55" spans="1:20" x14ac:dyDescent="0.3">
      <c r="A55" s="175">
        <f>'Rumus Plafond + Atrib PP10 (2)'!O43</f>
        <v>40</v>
      </c>
      <c r="B55" s="179">
        <f ca="1">IF(A55&lt;=Simulasi!$B$11,DATE(YEAR(B54),MONTH(B54)+1,1),"")</f>
        <v>47515</v>
      </c>
      <c r="C55" s="180">
        <f ca="1">IF(A55&lt;=Simulasi!$B$11,'Rumus Plafond + Atrib PP10 (2)'!P43,"")</f>
        <v>414275769.18919134</v>
      </c>
      <c r="D55" s="180">
        <f ca="1">IFERROR('Rumus Plafond + Atrib PP10 (2)'!R43,"")</f>
        <v>3747919.2251939778</v>
      </c>
      <c r="E55" s="181">
        <f t="shared" ca="1" si="0"/>
        <v>0.65817157912321467</v>
      </c>
      <c r="F55" s="181">
        <f t="shared" ca="1" si="1"/>
        <v>0.34182842087678528</v>
      </c>
      <c r="G55" s="180">
        <f ca="1">IFERROR('Rumus Plafond + Atrib PP10 (2)'!R43,"")</f>
        <v>3747919.2251939778</v>
      </c>
      <c r="H55" s="180">
        <f ca="1">IFERROR('Rumus Plafond + Atrib PP10 (2)'!Q43,"")</f>
        <v>1946521.7748060222</v>
      </c>
      <c r="I55" s="181">
        <f t="shared" ca="1" si="2"/>
        <v>1.1836450548262609</v>
      </c>
      <c r="J55" s="181">
        <f t="shared" ca="1" si="3"/>
        <v>-0.18364505482626098</v>
      </c>
      <c r="K55" s="180">
        <f ca="1">IFERROR('Rumus Plafond + Atrib PP10 (2)'!S43,"")</f>
        <v>5694441</v>
      </c>
      <c r="O55" s="182">
        <f t="shared" si="4"/>
        <v>40</v>
      </c>
      <c r="P55" s="183">
        <f t="shared" ca="1" si="4"/>
        <v>47515</v>
      </c>
      <c r="Q55" s="184">
        <f t="shared" ca="1" si="5"/>
        <v>5694441</v>
      </c>
      <c r="R55" s="185">
        <f t="shared" ca="1" si="6"/>
        <v>3747919.2251939778</v>
      </c>
      <c r="S55" s="185">
        <f t="shared" ca="1" si="6"/>
        <v>1946521.7748060222</v>
      </c>
      <c r="T55" s="185">
        <f t="shared" ca="1" si="7"/>
        <v>414275769.18919134</v>
      </c>
    </row>
    <row r="56" spans="1:20" x14ac:dyDescent="0.3">
      <c r="A56" s="175">
        <f>'Rumus Plafond + Atrib PP10 (2)'!O44</f>
        <v>41</v>
      </c>
      <c r="B56" s="179">
        <f ca="1">IF(A56&lt;=Simulasi!$B$11,DATE(YEAR(B55),MONTH(B55)+1,1),"")</f>
        <v>47543</v>
      </c>
      <c r="C56" s="180">
        <f ca="1">IF(A56&lt;=Simulasi!$B$11,'Rumus Plafond + Atrib PP10 (2)'!P44,"")</f>
        <v>412311719.74578029</v>
      </c>
      <c r="D56" s="180">
        <f ca="1">IFERROR('Rumus Plafond + Atrib PP10 (2)'!R44,"")</f>
        <v>3730391.5565889222</v>
      </c>
      <c r="E56" s="181">
        <f t="shared" ca="1" si="0"/>
        <v>0.65509354765268835</v>
      </c>
      <c r="F56" s="181">
        <f t="shared" ca="1" si="1"/>
        <v>0.34490645234731165</v>
      </c>
      <c r="G56" s="180">
        <f ca="1">IFERROR('Rumus Plafond + Atrib PP10 (2)'!R44,"")</f>
        <v>3730391.5565889222</v>
      </c>
      <c r="H56" s="180">
        <f ca="1">IFERROR('Rumus Plafond + Atrib PP10 (2)'!Q44,"")</f>
        <v>1964049.4434110778</v>
      </c>
      <c r="I56" s="181">
        <f t="shared" ca="1" si="2"/>
        <v>1.1780334849879437</v>
      </c>
      <c r="J56" s="181">
        <f t="shared" ca="1" si="3"/>
        <v>-0.17803348498794369</v>
      </c>
      <c r="K56" s="180">
        <f ca="1">IFERROR('Rumus Plafond + Atrib PP10 (2)'!S44,"")</f>
        <v>5694441</v>
      </c>
      <c r="O56" s="182">
        <f t="shared" si="4"/>
        <v>41</v>
      </c>
      <c r="P56" s="183">
        <f t="shared" ca="1" si="4"/>
        <v>47543</v>
      </c>
      <c r="Q56" s="184">
        <f t="shared" ca="1" si="5"/>
        <v>5694441</v>
      </c>
      <c r="R56" s="185">
        <f t="shared" ca="1" si="6"/>
        <v>3730391.5565889222</v>
      </c>
      <c r="S56" s="185">
        <f t="shared" ca="1" si="6"/>
        <v>1964049.4434110778</v>
      </c>
      <c r="T56" s="185">
        <f t="shared" ca="1" si="7"/>
        <v>412311719.74578029</v>
      </c>
    </row>
    <row r="57" spans="1:20" x14ac:dyDescent="0.3">
      <c r="A57" s="175">
        <f>'Rumus Plafond + Atrib PP10 (2)'!O45</f>
        <v>42</v>
      </c>
      <c r="B57" s="179">
        <f ca="1">IF(A57&lt;=Simulasi!$B$11,DATE(YEAR(B56),MONTH(B56)+1,1),"")</f>
        <v>47574</v>
      </c>
      <c r="C57" s="180">
        <f ca="1">IF(A57&lt;=Simulasi!$B$11,'Rumus Plafond + Atrib PP10 (2)'!P45,"")</f>
        <v>410329984.80395168</v>
      </c>
      <c r="D57" s="180">
        <f ca="1">IFERROR('Rumus Plafond + Atrib PP10 (2)'!R45,"")</f>
        <v>3712706.0581713747</v>
      </c>
      <c r="E57" s="181">
        <f t="shared" ca="1" si="0"/>
        <v>0.65198779971052023</v>
      </c>
      <c r="F57" s="181">
        <f t="shared" ca="1" si="1"/>
        <v>0.34801220028947971</v>
      </c>
      <c r="G57" s="180">
        <f ca="1">IFERROR('Rumus Plafond + Atrib PP10 (2)'!R45,"")</f>
        <v>3712706.0581713747</v>
      </c>
      <c r="H57" s="180">
        <f ca="1">IFERROR('Rumus Plafond + Atrib PP10 (2)'!Q45,"")</f>
        <v>1981734.9418286253</v>
      </c>
      <c r="I57" s="181">
        <f t="shared" ca="1" si="2"/>
        <v>1.1723713851541477</v>
      </c>
      <c r="J57" s="181">
        <f t="shared" ca="1" si="3"/>
        <v>-0.17237138515414765</v>
      </c>
      <c r="K57" s="180">
        <f ca="1">IFERROR('Rumus Plafond + Atrib PP10 (2)'!S45,"")</f>
        <v>5694441</v>
      </c>
      <c r="O57" s="182">
        <f t="shared" si="4"/>
        <v>42</v>
      </c>
      <c r="P57" s="183">
        <f t="shared" ca="1" si="4"/>
        <v>47574</v>
      </c>
      <c r="Q57" s="184">
        <f t="shared" ca="1" si="5"/>
        <v>5694441</v>
      </c>
      <c r="R57" s="185">
        <f t="shared" ca="1" si="6"/>
        <v>3712706.0581713747</v>
      </c>
      <c r="S57" s="185">
        <f t="shared" ca="1" si="6"/>
        <v>1981734.9418286253</v>
      </c>
      <c r="T57" s="185">
        <f t="shared" ca="1" si="7"/>
        <v>410329984.80395168</v>
      </c>
    </row>
    <row r="58" spans="1:20" x14ac:dyDescent="0.3">
      <c r="A58" s="175">
        <f>'Rumus Plafond + Atrib PP10 (2)'!O46</f>
        <v>43</v>
      </c>
      <c r="B58" s="179">
        <f ca="1">IF(A58&lt;=Simulasi!$B$11,DATE(YEAR(B57),MONTH(B57)+1,1),"")</f>
        <v>47604</v>
      </c>
      <c r="C58" s="180">
        <f ca="1">IF(A58&lt;=Simulasi!$B$11,'Rumus Plafond + Atrib PP10 (2)'!P46,"")</f>
        <v>408330405.11269718</v>
      </c>
      <c r="D58" s="180">
        <f ca="1">IFERROR('Rumus Plafond + Atrib PP10 (2)'!R46,"")</f>
        <v>3694861.3087454946</v>
      </c>
      <c r="E58" s="181">
        <f t="shared" ca="1" si="0"/>
        <v>0.64885408572070458</v>
      </c>
      <c r="F58" s="181">
        <f t="shared" ca="1" si="1"/>
        <v>0.35114591427929542</v>
      </c>
      <c r="G58" s="180">
        <f ca="1">IFERROR('Rumus Plafond + Atrib PP10 (2)'!R46,"")</f>
        <v>3694861.3087454946</v>
      </c>
      <c r="H58" s="180">
        <f ca="1">IFERROR('Rumus Plafond + Atrib PP10 (2)'!Q46,"")</f>
        <v>1999579.6912545054</v>
      </c>
      <c r="I58" s="181">
        <f t="shared" ca="1" si="2"/>
        <v>1.1666583003219919</v>
      </c>
      <c r="J58" s="181">
        <f t="shared" ca="1" si="3"/>
        <v>-0.16665830032199194</v>
      </c>
      <c r="K58" s="180">
        <f ca="1">IFERROR('Rumus Plafond + Atrib PP10 (2)'!S46,"")</f>
        <v>5694441</v>
      </c>
      <c r="O58" s="182">
        <f t="shared" si="4"/>
        <v>43</v>
      </c>
      <c r="P58" s="183">
        <f t="shared" ca="1" si="4"/>
        <v>47604</v>
      </c>
      <c r="Q58" s="184">
        <f t="shared" ca="1" si="5"/>
        <v>5694441</v>
      </c>
      <c r="R58" s="185">
        <f t="shared" ca="1" si="6"/>
        <v>3694861.3087454946</v>
      </c>
      <c r="S58" s="185">
        <f t="shared" ca="1" si="6"/>
        <v>1999579.6912545054</v>
      </c>
      <c r="T58" s="185">
        <f t="shared" ca="1" si="7"/>
        <v>408330405.11269718</v>
      </c>
    </row>
    <row r="59" spans="1:20" x14ac:dyDescent="0.3">
      <c r="A59" s="175">
        <f>'Rumus Plafond + Atrib PP10 (2)'!O47</f>
        <v>44</v>
      </c>
      <c r="B59" s="179">
        <f ca="1">IF(A59&lt;=Simulasi!$B$11,DATE(YEAR(B58),MONTH(B58)+1,1),"")</f>
        <v>47635</v>
      </c>
      <c r="C59" s="180">
        <f ca="1">IF(A59&lt;=Simulasi!$B$11,'Rumus Plafond + Atrib PP10 (2)'!P47,"")</f>
        <v>406312819.98701531</v>
      </c>
      <c r="D59" s="180">
        <f ca="1">IFERROR('Rumus Plafond + Atrib PP10 (2)'!R47,"")</f>
        <v>3676855.8743181289</v>
      </c>
      <c r="E59" s="181">
        <f t="shared" ca="1" si="0"/>
        <v>0.64569215385990109</v>
      </c>
      <c r="F59" s="181">
        <f t="shared" ca="1" si="1"/>
        <v>0.35430784614009891</v>
      </c>
      <c r="G59" s="180">
        <f ca="1">IFERROR('Rumus Plafond + Atrib PP10 (2)'!R47,"")</f>
        <v>3676855.8743181289</v>
      </c>
      <c r="H59" s="180">
        <f ca="1">IFERROR('Rumus Plafond + Atrib PP10 (2)'!Q47,"")</f>
        <v>2017585.1256818711</v>
      </c>
      <c r="I59" s="181">
        <f t="shared" ca="1" si="2"/>
        <v>1.1608937713914722</v>
      </c>
      <c r="J59" s="181">
        <f t="shared" ca="1" si="3"/>
        <v>-0.16089377139147232</v>
      </c>
      <c r="K59" s="180">
        <f ca="1">IFERROR('Rumus Plafond + Atrib PP10 (2)'!S47,"")</f>
        <v>5694441</v>
      </c>
      <c r="O59" s="182">
        <f t="shared" si="4"/>
        <v>44</v>
      </c>
      <c r="P59" s="183">
        <f t="shared" ca="1" si="4"/>
        <v>47635</v>
      </c>
      <c r="Q59" s="184">
        <f t="shared" ca="1" si="5"/>
        <v>5694441</v>
      </c>
      <c r="R59" s="185">
        <f t="shared" ca="1" si="6"/>
        <v>3676855.8743181289</v>
      </c>
      <c r="S59" s="185">
        <f t="shared" ca="1" si="6"/>
        <v>2017585.1256818711</v>
      </c>
      <c r="T59" s="185">
        <f t="shared" ca="1" si="7"/>
        <v>406312819.98701531</v>
      </c>
    </row>
    <row r="60" spans="1:20" x14ac:dyDescent="0.3">
      <c r="A60" s="175">
        <f>'Rumus Plafond + Atrib PP10 (2)'!O48</f>
        <v>45</v>
      </c>
      <c r="B60" s="179">
        <f ca="1">IF(A60&lt;=Simulasi!$B$11,DATE(YEAR(B59),MONTH(B59)+1,1),"")</f>
        <v>47665</v>
      </c>
      <c r="C60" s="180">
        <f ca="1">IF(A60&lt;=Simulasi!$B$11,'Rumus Plafond + Atrib PP10 (2)'!P48,"")</f>
        <v>404277067.29499888</v>
      </c>
      <c r="D60" s="180">
        <f ca="1">IFERROR('Rumus Plafond + Atrib PP10 (2)'!R48,"")</f>
        <v>3658688.3079835749</v>
      </c>
      <c r="E60" s="181">
        <f t="shared" ca="1" si="0"/>
        <v>0.64250175003719856</v>
      </c>
      <c r="F60" s="181">
        <f t="shared" ca="1" si="1"/>
        <v>0.35749824996280144</v>
      </c>
      <c r="G60" s="180">
        <f ca="1">IFERROR('Rumus Plafond + Atrib PP10 (2)'!R48,"")</f>
        <v>3658688.3079835749</v>
      </c>
      <c r="H60" s="180">
        <f ca="1">IFERROR('Rumus Plafond + Atrib PP10 (2)'!Q48,"")</f>
        <v>2035752.6920164251</v>
      </c>
      <c r="I60" s="181">
        <f t="shared" ca="1" si="2"/>
        <v>1.1550773351285681</v>
      </c>
      <c r="J60" s="181">
        <f t="shared" ca="1" si="3"/>
        <v>-0.15507733512856825</v>
      </c>
      <c r="K60" s="180">
        <f ca="1">IFERROR('Rumus Plafond + Atrib PP10 (2)'!S48,"")</f>
        <v>5694441</v>
      </c>
      <c r="O60" s="182">
        <f t="shared" si="4"/>
        <v>45</v>
      </c>
      <c r="P60" s="183">
        <f t="shared" ca="1" si="4"/>
        <v>47665</v>
      </c>
      <c r="Q60" s="184">
        <f t="shared" ca="1" si="5"/>
        <v>5694441</v>
      </c>
      <c r="R60" s="185">
        <f t="shared" ca="1" si="6"/>
        <v>3658688.3079835749</v>
      </c>
      <c r="S60" s="185">
        <f t="shared" ca="1" si="6"/>
        <v>2035752.6920164251</v>
      </c>
      <c r="T60" s="185">
        <f t="shared" ca="1" si="7"/>
        <v>404277067.29499888</v>
      </c>
    </row>
    <row r="61" spans="1:20" x14ac:dyDescent="0.3">
      <c r="A61" s="175">
        <f>'Rumus Plafond + Atrib PP10 (2)'!O49</f>
        <v>46</v>
      </c>
      <c r="B61" s="179">
        <f ca="1">IF(A61&lt;=Simulasi!$B$11,DATE(YEAR(B60),MONTH(B60)+1,1),"")</f>
        <v>47696</v>
      </c>
      <c r="C61" s="180">
        <f ca="1">IF(A61&lt;=Simulasi!$B$11,'Rumus Plafond + Atrib PP10 (2)'!P49,"")</f>
        <v>402222983.44480622</v>
      </c>
      <c r="D61" s="180">
        <f ca="1">IFERROR('Rumus Plafond + Atrib PP10 (2)'!R49,"")</f>
        <v>3640357.1498073093</v>
      </c>
      <c r="E61" s="181">
        <f t="shared" ca="1" si="0"/>
        <v>0.63928261787369633</v>
      </c>
      <c r="F61" s="181">
        <f t="shared" ca="1" si="1"/>
        <v>0.36071738212630367</v>
      </c>
      <c r="G61" s="180">
        <f ca="1">IFERROR('Rumus Plafond + Atrib PP10 (2)'!R49,"")</f>
        <v>3640357.1498073093</v>
      </c>
      <c r="H61" s="180">
        <f ca="1">IFERROR('Rumus Plafond + Atrib PP10 (2)'!Q49,"")</f>
        <v>2054083.8501926907</v>
      </c>
      <c r="I61" s="181">
        <f t="shared" ca="1" si="2"/>
        <v>1.1492085241280177</v>
      </c>
      <c r="J61" s="181">
        <f t="shared" ca="1" si="3"/>
        <v>-0.14920852412801777</v>
      </c>
      <c r="K61" s="180">
        <f ca="1">IFERROR('Rumus Plafond + Atrib PP10 (2)'!S49,"")</f>
        <v>5694441</v>
      </c>
      <c r="O61" s="182">
        <f t="shared" si="4"/>
        <v>46</v>
      </c>
      <c r="P61" s="183">
        <f t="shared" ca="1" si="4"/>
        <v>47696</v>
      </c>
      <c r="Q61" s="184">
        <f t="shared" ca="1" si="5"/>
        <v>5694441</v>
      </c>
      <c r="R61" s="185">
        <f t="shared" ca="1" si="6"/>
        <v>3640357.1498073093</v>
      </c>
      <c r="S61" s="185">
        <f t="shared" ca="1" si="6"/>
        <v>2054083.8501926907</v>
      </c>
      <c r="T61" s="185">
        <f t="shared" ca="1" si="7"/>
        <v>402222983.44480622</v>
      </c>
    </row>
    <row r="62" spans="1:20" x14ac:dyDescent="0.3">
      <c r="A62" s="175">
        <f>'Rumus Plafond + Atrib PP10 (2)'!O50</f>
        <v>47</v>
      </c>
      <c r="B62" s="179">
        <f ca="1">IF(A62&lt;=Simulasi!$B$11,DATE(YEAR(B61),MONTH(B61)+1,1),"")</f>
        <v>47727</v>
      </c>
      <c r="C62" s="180">
        <f ca="1">IF(A62&lt;=Simulasi!$B$11,'Rumus Plafond + Atrib PP10 (2)'!P50,"")</f>
        <v>400150403.37151492</v>
      </c>
      <c r="D62" s="180">
        <f ca="1">IFERROR('Rumus Plafond + Atrib PP10 (2)'!R50,"")</f>
        <v>3621860.9267086685</v>
      </c>
      <c r="E62" s="181">
        <f t="shared" ca="1" si="0"/>
        <v>0.63603449868190198</v>
      </c>
      <c r="F62" s="181">
        <f t="shared" ca="1" si="1"/>
        <v>0.36396550131809802</v>
      </c>
      <c r="G62" s="180">
        <f ca="1">IFERROR('Rumus Plafond + Atrib PP10 (2)'!R50,"")</f>
        <v>3621860.9267086685</v>
      </c>
      <c r="H62" s="180">
        <f ca="1">IFERROR('Rumus Plafond + Atrib PP10 (2)'!Q50,"")</f>
        <v>2072580.0732913315</v>
      </c>
      <c r="I62" s="181">
        <f t="shared" ca="1" si="2"/>
        <v>1.143286866775757</v>
      </c>
      <c r="J62" s="181">
        <f t="shared" ca="1" si="3"/>
        <v>-0.14328686677575692</v>
      </c>
      <c r="K62" s="180">
        <f ca="1">IFERROR('Rumus Plafond + Atrib PP10 (2)'!S50,"")</f>
        <v>5694441</v>
      </c>
      <c r="O62" s="182">
        <f t="shared" si="4"/>
        <v>47</v>
      </c>
      <c r="P62" s="183">
        <f t="shared" ca="1" si="4"/>
        <v>47727</v>
      </c>
      <c r="Q62" s="184">
        <f t="shared" ca="1" si="5"/>
        <v>5694441</v>
      </c>
      <c r="R62" s="185">
        <f t="shared" ca="1" si="6"/>
        <v>3621860.9267086685</v>
      </c>
      <c r="S62" s="185">
        <f t="shared" ca="1" si="6"/>
        <v>2072580.0732913315</v>
      </c>
      <c r="T62" s="185">
        <f t="shared" ca="1" si="7"/>
        <v>400150403.37151492</v>
      </c>
    </row>
    <row r="63" spans="1:20" x14ac:dyDescent="0.3">
      <c r="A63" s="175">
        <f>'Rumus Plafond + Atrib PP10 (2)'!O51</f>
        <v>48</v>
      </c>
      <c r="B63" s="179">
        <f ca="1">IF(A63&lt;=Simulasi!$B$11,DATE(YEAR(B62),MONTH(B62)+1,1),"")</f>
        <v>47757</v>
      </c>
      <c r="C63" s="180">
        <f ca="1">IF(A63&lt;=Simulasi!$B$11,'Rumus Plafond + Atrib PP10 (2)'!P51,"")</f>
        <v>398059160.52385741</v>
      </c>
      <c r="D63" s="180">
        <f ca="1">IFERROR('Rumus Plafond + Atrib PP10 (2)'!R51,"")</f>
        <v>3603198.1523424718</v>
      </c>
      <c r="E63" s="181">
        <f t="shared" ca="1" si="0"/>
        <v>0.63275713144494283</v>
      </c>
      <c r="F63" s="181">
        <f t="shared" ca="1" si="1"/>
        <v>0.36724286855505717</v>
      </c>
      <c r="G63" s="180">
        <f ca="1">IFERROR('Rumus Plafond + Atrib PP10 (2)'!R51,"")</f>
        <v>3603198.1523424718</v>
      </c>
      <c r="H63" s="180">
        <f ca="1">IFERROR('Rumus Plafond + Atrib PP10 (2)'!Q51,"")</f>
        <v>2091242.8476575282</v>
      </c>
      <c r="I63" s="181">
        <f t="shared" ca="1" si="2"/>
        <v>1.1373118872110213</v>
      </c>
      <c r="J63" s="181">
        <f t="shared" ca="1" si="3"/>
        <v>-0.13731188721102119</v>
      </c>
      <c r="K63" s="180">
        <f ca="1">IFERROR('Rumus Plafond + Atrib PP10 (2)'!S51,"")</f>
        <v>5694441</v>
      </c>
      <c r="O63" s="182">
        <f t="shared" si="4"/>
        <v>48</v>
      </c>
      <c r="P63" s="183">
        <f t="shared" ca="1" si="4"/>
        <v>47757</v>
      </c>
      <c r="Q63" s="184">
        <f t="shared" ca="1" si="5"/>
        <v>5694441</v>
      </c>
      <c r="R63" s="185">
        <f t="shared" ca="1" si="6"/>
        <v>3603198.1523424718</v>
      </c>
      <c r="S63" s="185">
        <f t="shared" ca="1" si="6"/>
        <v>2091242.8476575282</v>
      </c>
      <c r="T63" s="185">
        <f t="shared" ca="1" si="7"/>
        <v>398059160.52385741</v>
      </c>
    </row>
    <row r="64" spans="1:20" x14ac:dyDescent="0.3">
      <c r="A64" s="175">
        <f>'Rumus Plafond + Atrib PP10 (2)'!O52</f>
        <v>49</v>
      </c>
      <c r="B64" s="179">
        <f ca="1">IF(A64&lt;=Simulasi!$B$11,DATE(YEAR(B63),MONTH(B63)+1,1),"")</f>
        <v>47788</v>
      </c>
      <c r="C64" s="180">
        <f ca="1">IF(A64&lt;=Simulasi!$B$11,'Rumus Plafond + Atrib PP10 (2)'!P52,"")</f>
        <v>395949086.85083699</v>
      </c>
      <c r="D64" s="180">
        <f ca="1">IFERROR('Rumus Plafond + Atrib PP10 (2)'!R52,"")</f>
        <v>3584367.3269795817</v>
      </c>
      <c r="E64" s="181">
        <f t="shared" ca="1" si="0"/>
        <v>0.62945025279559164</v>
      </c>
      <c r="F64" s="181">
        <f t="shared" ca="1" si="1"/>
        <v>0.37054974720440836</v>
      </c>
      <c r="G64" s="180">
        <f ca="1">IFERROR('Rumus Plafond + Atrib PP10 (2)'!R52,"")</f>
        <v>3584367.3269795817</v>
      </c>
      <c r="H64" s="180">
        <f ca="1">IFERROR('Rumus Plafond + Atrib PP10 (2)'!Q52,"")</f>
        <v>2110073.6730204183</v>
      </c>
      <c r="I64" s="181">
        <f t="shared" ca="1" si="2"/>
        <v>1.1312831052881056</v>
      </c>
      <c r="J64" s="181">
        <f t="shared" ca="1" si="3"/>
        <v>-0.13128310528810569</v>
      </c>
      <c r="K64" s="180">
        <f ca="1">IFERROR('Rumus Plafond + Atrib PP10 (2)'!S52,"")</f>
        <v>5694441</v>
      </c>
      <c r="O64" s="182">
        <f t="shared" si="4"/>
        <v>49</v>
      </c>
      <c r="P64" s="183">
        <f t="shared" ca="1" si="4"/>
        <v>47788</v>
      </c>
      <c r="Q64" s="184">
        <f t="shared" ca="1" si="5"/>
        <v>5694441</v>
      </c>
      <c r="R64" s="185">
        <f t="shared" ca="1" si="6"/>
        <v>3584367.3269795817</v>
      </c>
      <c r="S64" s="185">
        <f t="shared" ca="1" si="6"/>
        <v>2110073.6730204183</v>
      </c>
      <c r="T64" s="185">
        <f t="shared" ca="1" si="7"/>
        <v>395949086.85083699</v>
      </c>
    </row>
    <row r="65" spans="1:20" x14ac:dyDescent="0.3">
      <c r="A65" s="175">
        <f>'Rumus Plafond + Atrib PP10 (2)'!O53</f>
        <v>50</v>
      </c>
      <c r="B65" s="179">
        <f ca="1">IF(A65&lt;=Simulasi!$B$11,DATE(YEAR(B64),MONTH(B64)+1,1),"")</f>
        <v>47818</v>
      </c>
      <c r="C65" s="180">
        <f ca="1">IF(A65&lt;=Simulasi!$B$11,'Rumus Plafond + Atrib PP10 (2)'!P53,"")</f>
        <v>393820012.78822339</v>
      </c>
      <c r="D65" s="180">
        <f ca="1">IFERROR('Rumus Plafond + Atrib PP10 (2)'!R53,"")</f>
        <v>3565366.9373863847</v>
      </c>
      <c r="E65" s="181">
        <f t="shared" ca="1" si="0"/>
        <v>0.62611359699510183</v>
      </c>
      <c r="F65" s="181">
        <f t="shared" ca="1" si="1"/>
        <v>0.37388640300489817</v>
      </c>
      <c r="G65" s="180">
        <f ca="1">IFERROR('Rumus Plafond + Atrib PP10 (2)'!R53,"")</f>
        <v>3565366.9373863847</v>
      </c>
      <c r="H65" s="180">
        <f ca="1">IFERROR('Rumus Plafond + Atrib PP10 (2)'!Q53,"")</f>
        <v>2129074.0626136153</v>
      </c>
      <c r="I65" s="181">
        <f t="shared" ca="1" si="2"/>
        <v>1.125200036537781</v>
      </c>
      <c r="J65" s="181">
        <f t="shared" ca="1" si="3"/>
        <v>-0.12520003653778111</v>
      </c>
      <c r="K65" s="180">
        <f ca="1">IFERROR('Rumus Plafond + Atrib PP10 (2)'!S53,"")</f>
        <v>5694441</v>
      </c>
      <c r="O65" s="182">
        <f t="shared" si="4"/>
        <v>50</v>
      </c>
      <c r="P65" s="183">
        <f t="shared" ca="1" si="4"/>
        <v>47818</v>
      </c>
      <c r="Q65" s="184">
        <f t="shared" ca="1" si="5"/>
        <v>5694441</v>
      </c>
      <c r="R65" s="185">
        <f t="shared" ca="1" si="6"/>
        <v>3565366.9373863847</v>
      </c>
      <c r="S65" s="185">
        <f t="shared" ca="1" si="6"/>
        <v>2129074.0626136153</v>
      </c>
      <c r="T65" s="185">
        <f t="shared" ca="1" si="7"/>
        <v>393820012.78822339</v>
      </c>
    </row>
    <row r="66" spans="1:20" x14ac:dyDescent="0.3">
      <c r="A66" s="175">
        <f>'Rumus Plafond + Atrib PP10 (2)'!O54</f>
        <v>51</v>
      </c>
      <c r="B66" s="179">
        <f ca="1">IF(A66&lt;=Simulasi!$B$11,DATE(YEAR(B65),MONTH(B65)+1,1),"")</f>
        <v>47849</v>
      </c>
      <c r="C66" s="180">
        <f ca="1">IF(A66&lt;=Simulasi!$B$11,'Rumus Plafond + Atrib PP10 (2)'!P54,"")</f>
        <v>391671767.24492657</v>
      </c>
      <c r="D66" s="180">
        <f ca="1">IFERROR('Rumus Plafond + Atrib PP10 (2)'!R54,"")</f>
        <v>3546195.4567031902</v>
      </c>
      <c r="E66" s="181">
        <f t="shared" ca="1" si="0"/>
        <v>0.62274689591185339</v>
      </c>
      <c r="F66" s="181">
        <f t="shared" ca="1" si="1"/>
        <v>0.37725310408814661</v>
      </c>
      <c r="G66" s="180">
        <f ca="1">IFERROR('Rumus Plafond + Atrib PP10 (2)'!R54,"")</f>
        <v>3546195.4567031902</v>
      </c>
      <c r="H66" s="180">
        <f ca="1">IFERROR('Rumus Plafond + Atrib PP10 (2)'!Q54,"")</f>
        <v>2148245.5432968098</v>
      </c>
      <c r="I66" s="181">
        <f t="shared" ca="1" si="2"/>
        <v>1.1190621921283617</v>
      </c>
      <c r="J66" s="181">
        <f t="shared" ca="1" si="3"/>
        <v>-0.11906219212836164</v>
      </c>
      <c r="K66" s="180">
        <f ca="1">IFERROR('Rumus Plafond + Atrib PP10 (2)'!S54,"")</f>
        <v>5694441</v>
      </c>
      <c r="O66" s="182">
        <f t="shared" si="4"/>
        <v>51</v>
      </c>
      <c r="P66" s="183">
        <f t="shared" ca="1" si="4"/>
        <v>47849</v>
      </c>
      <c r="Q66" s="184">
        <f t="shared" ca="1" si="5"/>
        <v>5694441</v>
      </c>
      <c r="R66" s="185">
        <f t="shared" ca="1" si="6"/>
        <v>3546195.4567031902</v>
      </c>
      <c r="S66" s="185">
        <f t="shared" ca="1" si="6"/>
        <v>2148245.5432968098</v>
      </c>
      <c r="T66" s="185">
        <f t="shared" ca="1" si="7"/>
        <v>391671767.24492657</v>
      </c>
    </row>
    <row r="67" spans="1:20" x14ac:dyDescent="0.3">
      <c r="A67" s="175">
        <f>'Rumus Plafond + Atrib PP10 (2)'!O55</f>
        <v>52</v>
      </c>
      <c r="B67" s="179">
        <f ca="1">IF(A67&lt;=Simulasi!$B$11,DATE(YEAR(B66),MONTH(B66)+1,1),"")</f>
        <v>47880</v>
      </c>
      <c r="C67" s="180">
        <f ca="1">IF(A67&lt;=Simulasi!$B$11,'Rumus Plafond + Atrib PP10 (2)'!P55,"")</f>
        <v>389504177.58924812</v>
      </c>
      <c r="D67" s="180">
        <f ca="1">IFERROR('Rumus Plafond + Atrib PP10 (2)'!R55,"")</f>
        <v>3526851.3443215303</v>
      </c>
      <c r="E67" s="181">
        <f t="shared" ca="1" si="0"/>
        <v>0.61934987899980531</v>
      </c>
      <c r="F67" s="181">
        <f t="shared" ca="1" si="1"/>
        <v>0.38065012100019469</v>
      </c>
      <c r="G67" s="180">
        <f ca="1">IFERROR('Rumus Plafond + Atrib PP10 (2)'!R55,"")</f>
        <v>3526851.3443215303</v>
      </c>
      <c r="H67" s="180">
        <f ca="1">IFERROR('Rumus Plafond + Atrib PP10 (2)'!Q55,"")</f>
        <v>2167589.6556784697</v>
      </c>
      <c r="I67" s="181">
        <f t="shared" ca="1" si="2"/>
        <v>1.1128690788264233</v>
      </c>
      <c r="J67" s="181">
        <f t="shared" ca="1" si="3"/>
        <v>-0.11286907882642321</v>
      </c>
      <c r="K67" s="180">
        <f ca="1">IFERROR('Rumus Plafond + Atrib PP10 (2)'!S55,"")</f>
        <v>5694441</v>
      </c>
      <c r="O67" s="182">
        <f t="shared" si="4"/>
        <v>52</v>
      </c>
      <c r="P67" s="183">
        <f t="shared" ca="1" si="4"/>
        <v>47880</v>
      </c>
      <c r="Q67" s="184">
        <f t="shared" ca="1" si="5"/>
        <v>5694441</v>
      </c>
      <c r="R67" s="185">
        <f t="shared" ca="1" si="6"/>
        <v>3526851.3443215303</v>
      </c>
      <c r="S67" s="185">
        <f t="shared" ca="1" si="6"/>
        <v>2167589.6556784697</v>
      </c>
      <c r="T67" s="185">
        <f t="shared" ca="1" si="7"/>
        <v>389504177.58924812</v>
      </c>
    </row>
    <row r="68" spans="1:20" x14ac:dyDescent="0.3">
      <c r="A68" s="175">
        <f>'Rumus Plafond + Atrib PP10 (2)'!O56</f>
        <v>53</v>
      </c>
      <c r="B68" s="179">
        <f ca="1">IF(A68&lt;=Simulasi!$B$11,DATE(YEAR(B67),MONTH(B67)+1,1),"")</f>
        <v>47908</v>
      </c>
      <c r="C68" s="180">
        <f ca="1">IF(A68&lt;=Simulasi!$B$11,'Rumus Plafond + Atrib PP10 (2)'!P56,"")</f>
        <v>387317069.63500845</v>
      </c>
      <c r="D68" s="180">
        <f ca="1">IFERROR('Rumus Plafond + Atrib PP10 (2)'!R56,"")</f>
        <v>3507333.0457603619</v>
      </c>
      <c r="E68" s="181">
        <f t="shared" ca="1" si="0"/>
        <v>0.61592227327675564</v>
      </c>
      <c r="F68" s="181">
        <f t="shared" ca="1" si="1"/>
        <v>0.38407772672324431</v>
      </c>
      <c r="G68" s="180">
        <f ca="1">IFERROR('Rumus Plafond + Atrib PP10 (2)'!R56,"")</f>
        <v>3507333.0457603619</v>
      </c>
      <c r="H68" s="180">
        <f ca="1">IFERROR('Rumus Plafond + Atrib PP10 (2)'!Q56,"")</f>
        <v>2187107.9542396381</v>
      </c>
      <c r="I68" s="181">
        <f t="shared" ca="1" si="2"/>
        <v>1.1066201989571671</v>
      </c>
      <c r="J68" s="181">
        <f t="shared" ca="1" si="3"/>
        <v>-0.10662019895716701</v>
      </c>
      <c r="K68" s="180">
        <f ca="1">IFERROR('Rumus Plafond + Atrib PP10 (2)'!S56,"")</f>
        <v>5694441</v>
      </c>
      <c r="O68" s="182">
        <f t="shared" si="4"/>
        <v>53</v>
      </c>
      <c r="P68" s="183">
        <f t="shared" ca="1" si="4"/>
        <v>47908</v>
      </c>
      <c r="Q68" s="184">
        <f t="shared" ca="1" si="5"/>
        <v>5694441</v>
      </c>
      <c r="R68" s="185">
        <f t="shared" ca="1" si="6"/>
        <v>3507333.0457603619</v>
      </c>
      <c r="S68" s="185">
        <f t="shared" ca="1" si="6"/>
        <v>2187107.9542396381</v>
      </c>
      <c r="T68" s="185">
        <f t="shared" ca="1" si="7"/>
        <v>387317069.63500845</v>
      </c>
    </row>
    <row r="69" spans="1:20" x14ac:dyDescent="0.3">
      <c r="A69" s="175">
        <f>'Rumus Plafond + Atrib PP10 (2)'!O57</f>
        <v>54</v>
      </c>
      <c r="B69" s="179">
        <f ca="1">IF(A69&lt;=Simulasi!$B$11,DATE(YEAR(B68),MONTH(B68)+1,1),"")</f>
        <v>47939</v>
      </c>
      <c r="C69" s="180">
        <f ca="1">IF(A69&lt;=Simulasi!$B$11,'Rumus Plafond + Atrib PP10 (2)'!P57,"")</f>
        <v>385110267.62754959</v>
      </c>
      <c r="D69" s="180">
        <f ca="1">IFERROR('Rumus Plafond + Atrib PP10 (2)'!R57,"")</f>
        <v>3487638.9925411451</v>
      </c>
      <c r="E69" s="181">
        <f t="shared" ca="1" si="0"/>
        <v>0.61246380330240402</v>
      </c>
      <c r="F69" s="181">
        <f t="shared" ca="1" si="1"/>
        <v>0.38753619669759592</v>
      </c>
      <c r="G69" s="180">
        <f ca="1">IFERROR('Rumus Plafond + Atrib PP10 (2)'!R57,"")</f>
        <v>3487638.9925411451</v>
      </c>
      <c r="H69" s="180">
        <f ca="1">IFERROR('Rumus Plafond + Atrib PP10 (2)'!Q57,"")</f>
        <v>2206802.0074588549</v>
      </c>
      <c r="I69" s="181">
        <f t="shared" ca="1" si="2"/>
        <v>1.1003150503644274</v>
      </c>
      <c r="J69" s="181">
        <f t="shared" ca="1" si="3"/>
        <v>-0.10031505036442739</v>
      </c>
      <c r="K69" s="180">
        <f ca="1">IFERROR('Rumus Plafond + Atrib PP10 (2)'!S57,"")</f>
        <v>5694441</v>
      </c>
      <c r="O69" s="182">
        <f t="shared" si="4"/>
        <v>54</v>
      </c>
      <c r="P69" s="183">
        <f t="shared" ca="1" si="4"/>
        <v>47939</v>
      </c>
      <c r="Q69" s="184">
        <f t="shared" ca="1" si="5"/>
        <v>5694441</v>
      </c>
      <c r="R69" s="185">
        <f t="shared" ca="1" si="6"/>
        <v>3487638.9925411451</v>
      </c>
      <c r="S69" s="185">
        <f t="shared" ca="1" si="6"/>
        <v>2206802.0074588549</v>
      </c>
      <c r="T69" s="185">
        <f t="shared" ca="1" si="7"/>
        <v>385110267.62754959</v>
      </c>
    </row>
    <row r="70" spans="1:20" x14ac:dyDescent="0.3">
      <c r="A70" s="175">
        <f>'Rumus Plafond + Atrib PP10 (2)'!O58</f>
        <v>55</v>
      </c>
      <c r="B70" s="179">
        <f ca="1">IF(A70&lt;=Simulasi!$B$11,DATE(YEAR(B69),MONTH(B69)+1,1),"")</f>
        <v>47969</v>
      </c>
      <c r="C70" s="180">
        <f ca="1">IF(A70&lt;=Simulasi!$B$11,'Rumus Plafond + Atrib PP10 (2)'!P58,"")</f>
        <v>382883594.2296114</v>
      </c>
      <c r="D70" s="180">
        <f ca="1">IFERROR('Rumus Plafond + Atrib PP10 (2)'!R58,"")</f>
        <v>3467767.602061803</v>
      </c>
      <c r="E70" s="181">
        <f t="shared" ca="1" si="0"/>
        <v>0.60897419115621765</v>
      </c>
      <c r="F70" s="181">
        <f t="shared" ca="1" si="1"/>
        <v>0.39102580884378241</v>
      </c>
      <c r="G70" s="180">
        <f ca="1">IFERROR('Rumus Plafond + Atrib PP10 (2)'!R58,"")</f>
        <v>3467767.602061803</v>
      </c>
      <c r="H70" s="180">
        <f ca="1">IFERROR('Rumus Plafond + Atrib PP10 (2)'!Q58,"")</f>
        <v>2226673.397938197</v>
      </c>
      <c r="I70" s="181">
        <f t="shared" ca="1" si="2"/>
        <v>1.0939531263703184</v>
      </c>
      <c r="J70" s="181">
        <f t="shared" ca="1" si="3"/>
        <v>-9.3953126370318274E-2</v>
      </c>
      <c r="K70" s="180">
        <f ca="1">IFERROR('Rumus Plafond + Atrib PP10 (2)'!S58,"")</f>
        <v>5694441</v>
      </c>
      <c r="O70" s="182">
        <f t="shared" si="4"/>
        <v>55</v>
      </c>
      <c r="P70" s="183">
        <f t="shared" ca="1" si="4"/>
        <v>47969</v>
      </c>
      <c r="Q70" s="184">
        <f t="shared" ca="1" si="5"/>
        <v>5694441</v>
      </c>
      <c r="R70" s="185">
        <f t="shared" ca="1" si="6"/>
        <v>3467767.602061803</v>
      </c>
      <c r="S70" s="185">
        <f t="shared" ca="1" si="6"/>
        <v>2226673.397938197</v>
      </c>
      <c r="T70" s="185">
        <f t="shared" ca="1" si="7"/>
        <v>382883594.2296114</v>
      </c>
    </row>
    <row r="71" spans="1:20" x14ac:dyDescent="0.3">
      <c r="A71" s="175">
        <f>'Rumus Plafond + Atrib PP10 (2)'!O59</f>
        <v>56</v>
      </c>
      <c r="B71" s="179">
        <f ca="1">IF(A71&lt;=Simulasi!$B$11,DATE(YEAR(B70),MONTH(B70)+1,1),"")</f>
        <v>48000</v>
      </c>
      <c r="C71" s="180">
        <f ca="1">IF(A71&lt;=Simulasi!$B$11,'Rumus Plafond + Atrib PP10 (2)'!P59,"")</f>
        <v>380636870.50708097</v>
      </c>
      <c r="D71" s="180">
        <f ca="1">IFERROR('Rumus Plafond + Atrib PP10 (2)'!R59,"")</f>
        <v>3447717.277469547</v>
      </c>
      <c r="E71" s="181">
        <f t="shared" ca="1" si="0"/>
        <v>0.605453156415098</v>
      </c>
      <c r="F71" s="181">
        <f t="shared" ca="1" si="1"/>
        <v>0.394546843584902</v>
      </c>
      <c r="G71" s="180">
        <f ca="1">IFERROR('Rumus Plafond + Atrib PP10 (2)'!R59,"")</f>
        <v>3447717.277469547</v>
      </c>
      <c r="H71" s="180">
        <f ca="1">IFERROR('Rumus Plafond + Atrib PP10 (2)'!Q59,"")</f>
        <v>2246723.722530453</v>
      </c>
      <c r="I71" s="181">
        <f t="shared" ca="1" si="2"/>
        <v>1.087533915734517</v>
      </c>
      <c r="J71" s="181">
        <f t="shared" ca="1" si="3"/>
        <v>-8.7533915734517062E-2</v>
      </c>
      <c r="K71" s="180">
        <f ca="1">IFERROR('Rumus Plafond + Atrib PP10 (2)'!S59,"")</f>
        <v>5694441</v>
      </c>
      <c r="O71" s="182">
        <f t="shared" si="4"/>
        <v>56</v>
      </c>
      <c r="P71" s="183">
        <f t="shared" ca="1" si="4"/>
        <v>48000</v>
      </c>
      <c r="Q71" s="184">
        <f t="shared" ca="1" si="5"/>
        <v>5694441</v>
      </c>
      <c r="R71" s="185">
        <f t="shared" ca="1" si="6"/>
        <v>3447717.277469547</v>
      </c>
      <c r="S71" s="185">
        <f t="shared" ca="1" si="6"/>
        <v>2246723.722530453</v>
      </c>
      <c r="T71" s="185">
        <f t="shared" ca="1" si="7"/>
        <v>380636870.50708097</v>
      </c>
    </row>
    <row r="72" spans="1:20" x14ac:dyDescent="0.3">
      <c r="A72" s="175">
        <f>'Rumus Plafond + Atrib PP10 (2)'!O60</f>
        <v>57</v>
      </c>
      <c r="B72" s="179">
        <f ca="1">IF(A72&lt;=Simulasi!$B$11,DATE(YEAR(B71),MONTH(B71)+1,1),"")</f>
        <v>48030</v>
      </c>
      <c r="C72" s="180">
        <f ca="1">IF(A72&lt;=Simulasi!$B$11,'Rumus Plafond + Atrib PP10 (2)'!P60,"")</f>
        <v>378369915.91461354</v>
      </c>
      <c r="D72" s="180">
        <f ca="1">IFERROR('Rumus Plafond + Atrib PP10 (2)'!R60,"")</f>
        <v>3427486.4075325509</v>
      </c>
      <c r="E72" s="181">
        <f t="shared" ca="1" si="0"/>
        <v>0.60190041613084599</v>
      </c>
      <c r="F72" s="181">
        <f t="shared" ca="1" si="1"/>
        <v>0.39809958386915401</v>
      </c>
      <c r="G72" s="180">
        <f ca="1">IFERROR('Rumus Plafond + Atrib PP10 (2)'!R60,"")</f>
        <v>3427486.4075325509</v>
      </c>
      <c r="H72" s="180">
        <f ca="1">IFERROR('Rumus Plafond + Atrib PP10 (2)'!Q60,"")</f>
        <v>2266954.5924674491</v>
      </c>
      <c r="I72" s="181">
        <f t="shared" ca="1" si="2"/>
        <v>1.0810569026131815</v>
      </c>
      <c r="J72" s="181">
        <f t="shared" ca="1" si="3"/>
        <v>-8.1056902613181561E-2</v>
      </c>
      <c r="K72" s="180">
        <f ca="1">IFERROR('Rumus Plafond + Atrib PP10 (2)'!S60,"")</f>
        <v>5694441</v>
      </c>
      <c r="O72" s="182">
        <f t="shared" si="4"/>
        <v>57</v>
      </c>
      <c r="P72" s="183">
        <f t="shared" ca="1" si="4"/>
        <v>48030</v>
      </c>
      <c r="Q72" s="184">
        <f t="shared" ca="1" si="5"/>
        <v>5694441</v>
      </c>
      <c r="R72" s="185">
        <f t="shared" ca="1" si="6"/>
        <v>3427486.4075325509</v>
      </c>
      <c r="S72" s="185">
        <f t="shared" ca="1" si="6"/>
        <v>2266954.5924674491</v>
      </c>
      <c r="T72" s="185">
        <f t="shared" ca="1" si="7"/>
        <v>378369915.91461354</v>
      </c>
    </row>
    <row r="73" spans="1:20" x14ac:dyDescent="0.3">
      <c r="A73" s="175">
        <f>'Rumus Plafond + Atrib PP10 (2)'!O61</f>
        <v>58</v>
      </c>
      <c r="B73" s="179">
        <f ca="1">IF(A73&lt;=Simulasi!$B$11,DATE(YEAR(B72),MONTH(B72)+1,1),"")</f>
        <v>48061</v>
      </c>
      <c r="C73" s="180">
        <f ca="1">IF(A73&lt;=Simulasi!$B$11,'Rumus Plafond + Atrib PP10 (2)'!P61,"")</f>
        <v>376082548.281124</v>
      </c>
      <c r="D73" s="180">
        <f ca="1">IFERROR('Rumus Plafond + Atrib PP10 (2)'!R61,"")</f>
        <v>3407073.3665104751</v>
      </c>
      <c r="E73" s="181">
        <f t="shared" ca="1" si="0"/>
        <v>0.59831568480742447</v>
      </c>
      <c r="F73" s="181">
        <f t="shared" ca="1" si="1"/>
        <v>0.40168431519257553</v>
      </c>
      <c r="G73" s="180">
        <f ca="1">IFERROR('Rumus Plafond + Atrib PP10 (2)'!R61,"")</f>
        <v>3407073.3665104751</v>
      </c>
      <c r="H73" s="180">
        <f ca="1">IFERROR('Rumus Plafond + Atrib PP10 (2)'!Q61,"")</f>
        <v>2287367.6334895249</v>
      </c>
      <c r="I73" s="181">
        <f t="shared" ca="1" si="2"/>
        <v>1.0745215665174972</v>
      </c>
      <c r="J73" s="181">
        <f t="shared" ca="1" si="3"/>
        <v>-7.4521566517497126E-2</v>
      </c>
      <c r="K73" s="180">
        <f ca="1">IFERROR('Rumus Plafond + Atrib PP10 (2)'!S61,"")</f>
        <v>5694441</v>
      </c>
      <c r="O73" s="182">
        <f t="shared" si="4"/>
        <v>58</v>
      </c>
      <c r="P73" s="183">
        <f t="shared" ca="1" si="4"/>
        <v>48061</v>
      </c>
      <c r="Q73" s="184">
        <f t="shared" ca="1" si="5"/>
        <v>5694441</v>
      </c>
      <c r="R73" s="185">
        <f t="shared" ca="1" si="6"/>
        <v>3407073.3665104751</v>
      </c>
      <c r="S73" s="185">
        <f t="shared" ca="1" si="6"/>
        <v>2287367.6334895249</v>
      </c>
      <c r="T73" s="185">
        <f t="shared" ca="1" si="7"/>
        <v>376082548.281124</v>
      </c>
    </row>
    <row r="74" spans="1:20" x14ac:dyDescent="0.3">
      <c r="A74" s="175">
        <f>'Rumus Plafond + Atrib PP10 (2)'!O62</f>
        <v>59</v>
      </c>
      <c r="B74" s="179">
        <f ca="1">IF(A74&lt;=Simulasi!$B$11,DATE(YEAR(B73),MONTH(B73)+1,1),"")</f>
        <v>48092</v>
      </c>
      <c r="C74" s="180">
        <f ca="1">IF(A74&lt;=Simulasi!$B$11,'Rumus Plafond + Atrib PP10 (2)'!P62,"")</f>
        <v>373774583.79514784</v>
      </c>
      <c r="D74" s="180">
        <f ca="1">IFERROR('Rumus Plafond + Atrib PP10 (2)'!R62,"")</f>
        <v>3386476.5140238232</v>
      </c>
      <c r="E74" s="181">
        <f t="shared" ca="1" si="0"/>
        <v>0.59469867437801593</v>
      </c>
      <c r="F74" s="181">
        <f t="shared" ca="1" si="1"/>
        <v>0.40530132562198412</v>
      </c>
      <c r="G74" s="180">
        <f ca="1">IFERROR('Rumus Plafond + Atrib PP10 (2)'!R62,"")</f>
        <v>3386476.5140238232</v>
      </c>
      <c r="H74" s="180">
        <f ca="1">IFERROR('Rumus Plafond + Atrib PP10 (2)'!Q62,"")</f>
        <v>2307964.4859761768</v>
      </c>
      <c r="I74" s="181">
        <f t="shared" ca="1" si="2"/>
        <v>1.0679273822718509</v>
      </c>
      <c r="J74" s="181">
        <f t="shared" ca="1" si="3"/>
        <v>-6.7927382271850967E-2</v>
      </c>
      <c r="K74" s="180">
        <f ca="1">IFERROR('Rumus Plafond + Atrib PP10 (2)'!S62,"")</f>
        <v>5694441</v>
      </c>
      <c r="O74" s="182">
        <f t="shared" si="4"/>
        <v>59</v>
      </c>
      <c r="P74" s="183">
        <f t="shared" ca="1" si="4"/>
        <v>48092</v>
      </c>
      <c r="Q74" s="184">
        <f t="shared" ca="1" si="5"/>
        <v>5694441</v>
      </c>
      <c r="R74" s="185">
        <f t="shared" ca="1" si="6"/>
        <v>3386476.5140238232</v>
      </c>
      <c r="S74" s="185">
        <f t="shared" ca="1" si="6"/>
        <v>2307964.4859761768</v>
      </c>
      <c r="T74" s="185">
        <f t="shared" ca="1" si="7"/>
        <v>373774583.79514784</v>
      </c>
    </row>
    <row r="75" spans="1:20" x14ac:dyDescent="0.3">
      <c r="A75" s="175">
        <f>'Rumus Plafond + Atrib PP10 (2)'!O63</f>
        <v>60</v>
      </c>
      <c r="B75" s="179">
        <f ca="1">IF(A75&lt;=Simulasi!$B$11,DATE(YEAR(B74),MONTH(B74)+1,1),"")</f>
        <v>48122</v>
      </c>
      <c r="C75" s="180">
        <f ca="1">IF(A75&lt;=Simulasi!$B$11,'Rumus Plafond + Atrib PP10 (2)'!P63,"")</f>
        <v>371445836.99006999</v>
      </c>
      <c r="D75" s="180">
        <f ca="1">IFERROR('Rumus Plafond + Atrib PP10 (2)'!R63,"")</f>
        <v>3365694.1949221217</v>
      </c>
      <c r="E75" s="181">
        <f t="shared" ca="1" si="0"/>
        <v>0.59104909418187346</v>
      </c>
      <c r="F75" s="181">
        <f t="shared" ca="1" si="1"/>
        <v>0.40895090581812654</v>
      </c>
      <c r="G75" s="180">
        <f ca="1">IFERROR('Rumus Plafond + Atrib PP10 (2)'!R63,"")</f>
        <v>3365694.1949221217</v>
      </c>
      <c r="H75" s="180">
        <f ca="1">IFERROR('Rumus Plafond + Atrib PP10 (2)'!Q63,"")</f>
        <v>2328746.8050778783</v>
      </c>
      <c r="I75" s="181">
        <f t="shared" ca="1" si="2"/>
        <v>1.0612738199716285</v>
      </c>
      <c r="J75" s="181">
        <f t="shared" ca="1" si="3"/>
        <v>-6.1273819971628528E-2</v>
      </c>
      <c r="K75" s="180">
        <f ca="1">IFERROR('Rumus Plafond + Atrib PP10 (2)'!S63,"")</f>
        <v>5694441</v>
      </c>
      <c r="O75" s="182">
        <f t="shared" si="4"/>
        <v>60</v>
      </c>
      <c r="P75" s="183">
        <f t="shared" ca="1" si="4"/>
        <v>48122</v>
      </c>
      <c r="Q75" s="184">
        <f t="shared" ca="1" si="5"/>
        <v>5694441</v>
      </c>
      <c r="R75" s="185">
        <f t="shared" ca="1" si="6"/>
        <v>3365694.1949221217</v>
      </c>
      <c r="S75" s="185">
        <f t="shared" ca="1" si="6"/>
        <v>2328746.8050778783</v>
      </c>
      <c r="T75" s="185">
        <f t="shared" ca="1" si="7"/>
        <v>371445836.99006999</v>
      </c>
    </row>
    <row r="76" spans="1:20" x14ac:dyDescent="0.3">
      <c r="A76" s="175">
        <f>'Rumus Plafond + Atrib PP10 (2)'!O64</f>
        <v>61</v>
      </c>
      <c r="B76" s="179">
        <f ca="1">IF(A76&lt;=Simulasi!$B$11,DATE(YEAR(B75),MONTH(B75)+1,1),"")</f>
        <v>48153</v>
      </c>
      <c r="C76" s="180">
        <f ca="1">IF(A76&lt;=Simulasi!$B$11,'Rumus Plafond + Atrib PP10 (2)'!P64,"")</f>
        <v>369096120.72922093</v>
      </c>
      <c r="D76" s="180">
        <f ca="1">IFERROR('Rumus Plafond + Atrib PP10 (2)'!R64,"")</f>
        <v>3344724.7391509139</v>
      </c>
      <c r="E76" s="181">
        <f t="shared" ca="1" si="0"/>
        <v>0.58736665094096396</v>
      </c>
      <c r="F76" s="181">
        <f t="shared" ca="1" si="1"/>
        <v>0.41263334905903604</v>
      </c>
      <c r="G76" s="180">
        <f ca="1">IFERROR('Rumus Plafond + Atrib PP10 (2)'!R64,"")</f>
        <v>3344724.7391509139</v>
      </c>
      <c r="H76" s="180">
        <f ca="1">IFERROR('Rumus Plafond + Atrib PP10 (2)'!Q64,"")</f>
        <v>2349716.2608490861</v>
      </c>
      <c r="I76" s="181">
        <f t="shared" ca="1" si="2"/>
        <v>1.0545603449406311</v>
      </c>
      <c r="J76" s="181">
        <f t="shared" ca="1" si="3"/>
        <v>-5.4560344940631222E-2</v>
      </c>
      <c r="K76" s="180">
        <f ca="1">IFERROR('Rumus Plafond + Atrib PP10 (2)'!S64,"")</f>
        <v>5694441</v>
      </c>
      <c r="O76" s="182">
        <f t="shared" si="4"/>
        <v>61</v>
      </c>
      <c r="P76" s="183">
        <f t="shared" ca="1" si="4"/>
        <v>48153</v>
      </c>
      <c r="Q76" s="184">
        <f t="shared" ca="1" si="5"/>
        <v>5694441</v>
      </c>
      <c r="R76" s="185">
        <f t="shared" ca="1" si="6"/>
        <v>3344724.7391509139</v>
      </c>
      <c r="S76" s="185">
        <f t="shared" ca="1" si="6"/>
        <v>2349716.2608490861</v>
      </c>
      <c r="T76" s="185">
        <f t="shared" ca="1" si="7"/>
        <v>369096120.72922093</v>
      </c>
    </row>
    <row r="77" spans="1:20" x14ac:dyDescent="0.3">
      <c r="A77" s="175">
        <f>'Rumus Plafond + Atrib PP10 (2)'!O65</f>
        <v>62</v>
      </c>
      <c r="B77" s="179">
        <f ca="1">IF(A77&lt;=Simulasi!$B$11,DATE(YEAR(B76),MONTH(B76)+1,1),"")</f>
        <v>48183</v>
      </c>
      <c r="C77" s="180">
        <f ca="1">IF(A77&lt;=Simulasi!$B$11,'Rumus Plafond + Atrib PP10 (2)'!P65,"")</f>
        <v>366725246.19083846</v>
      </c>
      <c r="D77" s="180">
        <f ca="1">IFERROR('Rumus Plafond + Atrib PP10 (2)'!R65,"")</f>
        <v>3323566.4616175541</v>
      </c>
      <c r="E77" s="181">
        <f t="shared" ca="1" si="0"/>
        <v>0.58365104873639995</v>
      </c>
      <c r="F77" s="181">
        <f t="shared" ca="1" si="1"/>
        <v>0.41634895126360005</v>
      </c>
      <c r="G77" s="180">
        <f ca="1">IFERROR('Rumus Plafond + Atrib PP10 (2)'!R65,"")</f>
        <v>3323566.4616175541</v>
      </c>
      <c r="H77" s="180">
        <f ca="1">IFERROR('Rumus Plafond + Atrib PP10 (2)'!Q65,"")</f>
        <v>2370874.5383824459</v>
      </c>
      <c r="I77" s="181">
        <f t="shared" ca="1" si="2"/>
        <v>1.04778641768811</v>
      </c>
      <c r="J77" s="181">
        <f t="shared" ca="1" si="3"/>
        <v>-4.7786417688109872E-2</v>
      </c>
      <c r="K77" s="180">
        <f ca="1">IFERROR('Rumus Plafond + Atrib PP10 (2)'!S65,"")</f>
        <v>5694441</v>
      </c>
      <c r="O77" s="182">
        <f t="shared" si="4"/>
        <v>62</v>
      </c>
      <c r="P77" s="183">
        <f t="shared" ca="1" si="4"/>
        <v>48183</v>
      </c>
      <c r="Q77" s="184">
        <f t="shared" ca="1" si="5"/>
        <v>5694441</v>
      </c>
      <c r="R77" s="185">
        <f t="shared" ca="1" si="6"/>
        <v>3323566.4616175541</v>
      </c>
      <c r="S77" s="185">
        <f t="shared" ca="1" si="6"/>
        <v>2370874.5383824459</v>
      </c>
      <c r="T77" s="185">
        <f t="shared" ca="1" si="7"/>
        <v>366725246.19083846</v>
      </c>
    </row>
    <row r="78" spans="1:20" x14ac:dyDescent="0.3">
      <c r="A78" s="175">
        <f>'Rumus Plafond + Atrib PP10 (2)'!O66</f>
        <v>63</v>
      </c>
      <c r="B78" s="179">
        <f ca="1">IF(A78&lt;=Simulasi!$B$11,DATE(YEAR(B77),MONTH(B77)+1,1),"")</f>
        <v>48214</v>
      </c>
      <c r="C78" s="180">
        <f ca="1">IF(A78&lt;=Simulasi!$B$11,'Rumus Plafond + Atrib PP10 (2)'!P66,"")</f>
        <v>364333022.85289425</v>
      </c>
      <c r="D78" s="180">
        <f ca="1">IFERROR('Rumus Plafond + Atrib PP10 (2)'!R66,"")</f>
        <v>3302217.6620557946</v>
      </c>
      <c r="E78" s="181">
        <f t="shared" ca="1" si="0"/>
        <v>0.57990198898465972</v>
      </c>
      <c r="F78" s="181">
        <f t="shared" ca="1" si="1"/>
        <v>0.42009801101534028</v>
      </c>
      <c r="G78" s="180">
        <f ca="1">IFERROR('Rumus Plafond + Atrib PP10 (2)'!R66,"")</f>
        <v>3302217.6620557946</v>
      </c>
      <c r="H78" s="180">
        <f ca="1">IFERROR('Rumus Plafond + Atrib PP10 (2)'!Q66,"")</f>
        <v>2392223.3379442054</v>
      </c>
      <c r="I78" s="181">
        <f t="shared" ca="1" si="2"/>
        <v>1.0409514938654121</v>
      </c>
      <c r="J78" s="181">
        <f t="shared" ca="1" si="3"/>
        <v>-4.0951493865412136E-2</v>
      </c>
      <c r="K78" s="180">
        <f ca="1">IFERROR('Rumus Plafond + Atrib PP10 (2)'!S66,"")</f>
        <v>5694441</v>
      </c>
      <c r="O78" s="182">
        <f t="shared" si="4"/>
        <v>63</v>
      </c>
      <c r="P78" s="183">
        <f t="shared" ca="1" si="4"/>
        <v>48214</v>
      </c>
      <c r="Q78" s="184">
        <f t="shared" ca="1" si="5"/>
        <v>5694441</v>
      </c>
      <c r="R78" s="185">
        <f t="shared" ca="1" si="6"/>
        <v>3302217.6620557946</v>
      </c>
      <c r="S78" s="185">
        <f t="shared" ca="1" si="6"/>
        <v>2392223.3379442054</v>
      </c>
      <c r="T78" s="185">
        <f t="shared" ca="1" si="7"/>
        <v>364333022.85289425</v>
      </c>
    </row>
    <row r="79" spans="1:20" x14ac:dyDescent="0.3">
      <c r="A79" s="175">
        <f>'Rumus Plafond + Atrib PP10 (2)'!O67</f>
        <v>64</v>
      </c>
      <c r="B79" s="179">
        <f ca="1">IF(A79&lt;=Simulasi!$B$11,DATE(YEAR(B78),MONTH(B78)+1,1),"")</f>
        <v>48245</v>
      </c>
      <c r="C79" s="180">
        <f ca="1">IF(A79&lt;=Simulasi!$B$11,'Rumus Plafond + Atrib PP10 (2)'!P67,"")</f>
        <v>361919258.47778338</v>
      </c>
      <c r="D79" s="180">
        <f ca="1">IFERROR('Rumus Plafond + Atrib PP10 (2)'!R67,"")</f>
        <v>3280676.6248891563</v>
      </c>
      <c r="E79" s="181">
        <f t="shared" ca="1" si="0"/>
        <v>0.57611917041359395</v>
      </c>
      <c r="F79" s="181">
        <f t="shared" ca="1" si="1"/>
        <v>0.42388082958640605</v>
      </c>
      <c r="G79" s="180">
        <f ca="1">IFERROR('Rumus Plafond + Atrib PP10 (2)'!R67,"")</f>
        <v>3280676.6248891563</v>
      </c>
      <c r="H79" s="180">
        <f ca="1">IFERROR('Rumus Plafond + Atrib PP10 (2)'!Q67,"")</f>
        <v>2413764.3751108437</v>
      </c>
      <c r="I79" s="181">
        <f t="shared" ca="1" si="2"/>
        <v>1.0340550242222382</v>
      </c>
      <c r="J79" s="181">
        <f t="shared" ca="1" si="3"/>
        <v>-3.4055024222238231E-2</v>
      </c>
      <c r="K79" s="180">
        <f ca="1">IFERROR('Rumus Plafond + Atrib PP10 (2)'!S67,"")</f>
        <v>5694441</v>
      </c>
      <c r="O79" s="182">
        <f t="shared" si="4"/>
        <v>64</v>
      </c>
      <c r="P79" s="183">
        <f t="shared" ca="1" si="4"/>
        <v>48245</v>
      </c>
      <c r="Q79" s="184">
        <f t="shared" ca="1" si="5"/>
        <v>5694441</v>
      </c>
      <c r="R79" s="185">
        <f t="shared" ca="1" si="6"/>
        <v>3280676.6248891563</v>
      </c>
      <c r="S79" s="185">
        <f t="shared" ca="1" si="6"/>
        <v>2413764.3751108437</v>
      </c>
      <c r="T79" s="185">
        <f t="shared" ca="1" si="7"/>
        <v>361919258.47778338</v>
      </c>
    </row>
    <row r="80" spans="1:20" x14ac:dyDescent="0.3">
      <c r="A80" s="175">
        <f>'Rumus Plafond + Atrib PP10 (2)'!O68</f>
        <v>65</v>
      </c>
      <c r="B80" s="179">
        <f ca="1">IF(A80&lt;=Simulasi!$B$11,DATE(YEAR(B79),MONTH(B79)+1,1),"")</f>
        <v>48274</v>
      </c>
      <c r="C80" s="180">
        <f ca="1">IF(A80&lt;=Simulasi!$B$11,'Rumus Plafond + Atrib PP10 (2)'!P68,"")</f>
        <v>359483759.09687644</v>
      </c>
      <c r="D80" s="180">
        <f ca="1">IFERROR('Rumus Plafond + Atrib PP10 (2)'!R68,"")</f>
        <v>3258941.6190930619</v>
      </c>
      <c r="E80" s="181">
        <f t="shared" ca="1" si="0"/>
        <v>0.57230228903821501</v>
      </c>
      <c r="F80" s="181">
        <f t="shared" ca="1" si="1"/>
        <v>0.42769771096178505</v>
      </c>
      <c r="G80" s="180">
        <f ca="1">IFERROR('Rumus Plafond + Atrib PP10 (2)'!R68,"")</f>
        <v>3258941.6190930619</v>
      </c>
      <c r="H80" s="180">
        <f ca="1">IFERROR('Rumus Plafond + Atrib PP10 (2)'!Q68,"")</f>
        <v>2435499.3809069381</v>
      </c>
      <c r="I80" s="181">
        <f t="shared" ca="1" si="2"/>
        <v>1.0270964545625041</v>
      </c>
      <c r="J80" s="181">
        <f t="shared" ca="1" si="3"/>
        <v>-2.7096454562504122E-2</v>
      </c>
      <c r="K80" s="180">
        <f ca="1">IFERROR('Rumus Plafond + Atrib PP10 (2)'!S68,"")</f>
        <v>5694441</v>
      </c>
      <c r="O80" s="182">
        <f t="shared" si="4"/>
        <v>65</v>
      </c>
      <c r="P80" s="183">
        <f t="shared" ca="1" si="4"/>
        <v>48274</v>
      </c>
      <c r="Q80" s="184">
        <f t="shared" ca="1" si="5"/>
        <v>5694441</v>
      </c>
      <c r="R80" s="185">
        <f t="shared" ca="1" si="6"/>
        <v>3258941.6190930619</v>
      </c>
      <c r="S80" s="185">
        <f t="shared" ca="1" si="6"/>
        <v>2435499.3809069381</v>
      </c>
      <c r="T80" s="185">
        <f t="shared" ca="1" si="7"/>
        <v>359483759.09687644</v>
      </c>
    </row>
    <row r="81" spans="1:20" x14ac:dyDescent="0.3">
      <c r="A81" s="175">
        <f>'Rumus Plafond + Atrib PP10 (2)'!O69</f>
        <v>66</v>
      </c>
      <c r="B81" s="179">
        <f ca="1">IF(A81&lt;=Simulasi!$B$11,DATE(YEAR(B80),MONTH(B80)+1,1),"")</f>
        <v>48305</v>
      </c>
      <c r="C81" s="180">
        <f ca="1">IF(A81&lt;=Simulasi!$B$11,'Rumus Plafond + Atrib PP10 (2)'!P69,"")</f>
        <v>357026328.99493217</v>
      </c>
      <c r="D81" s="180">
        <f ca="1">IFERROR('Rumus Plafond + Atrib PP10 (2)'!R69,"")</f>
        <v>3237010.8980557336</v>
      </c>
      <c r="E81" s="181">
        <f t="shared" ref="E81:E144" ca="1" si="8">IFERROR(G81/K81,"")</f>
        <v>0.56845103813626896</v>
      </c>
      <c r="F81" s="181">
        <f t="shared" ref="F81:F144" ca="1" si="9">IFERROR(H81/K81,"")</f>
        <v>0.43154896186373104</v>
      </c>
      <c r="G81" s="180">
        <f ca="1">IFERROR('Rumus Plafond + Atrib PP10 (2)'!R69,"")</f>
        <v>3237010.8980557336</v>
      </c>
      <c r="H81" s="180">
        <f ca="1">IFERROR('Rumus Plafond + Atrib PP10 (2)'!Q69,"")</f>
        <v>2457430.1019442664</v>
      </c>
      <c r="I81" s="181">
        <f t="shared" ref="I81:I144" ca="1" si="10">IFERROR(C81/$D$7,"")</f>
        <v>1.0200752256998062</v>
      </c>
      <c r="J81" s="181">
        <f t="shared" ref="J81:J144" ca="1" si="11">IFERROR(($D$7-C81)/$D$7,"")</f>
        <v>-2.0075225699806215E-2</v>
      </c>
      <c r="K81" s="180">
        <f ca="1">IFERROR('Rumus Plafond + Atrib PP10 (2)'!S69,"")</f>
        <v>5694441</v>
      </c>
      <c r="O81" s="182">
        <f t="shared" ref="O81:P144" si="12">A81</f>
        <v>66</v>
      </c>
      <c r="P81" s="183">
        <f t="shared" ca="1" si="12"/>
        <v>48305</v>
      </c>
      <c r="Q81" s="184">
        <f t="shared" ref="Q81:Q144" ca="1" si="13">K81</f>
        <v>5694441</v>
      </c>
      <c r="R81" s="185">
        <f t="shared" ref="R81:S144" ca="1" si="14">G81</f>
        <v>3237010.8980557336</v>
      </c>
      <c r="S81" s="185">
        <f t="shared" ca="1" si="14"/>
        <v>2457430.1019442664</v>
      </c>
      <c r="T81" s="185">
        <f t="shared" ref="T81:T144" ca="1" si="15">C81</f>
        <v>357026328.99493217</v>
      </c>
    </row>
    <row r="82" spans="1:20" x14ac:dyDescent="0.3">
      <c r="A82" s="175">
        <f>'Rumus Plafond + Atrib PP10 (2)'!O70</f>
        <v>67</v>
      </c>
      <c r="B82" s="179">
        <f ca="1">IF(A82&lt;=Simulasi!$B$11,DATE(YEAR(B81),MONTH(B81)+1,1),"")</f>
        <v>48335</v>
      </c>
      <c r="C82" s="180">
        <f ca="1">IF(A82&lt;=Simulasi!$B$11,'Rumus Plafond + Atrib PP10 (2)'!P70,"")</f>
        <v>354546770.69437003</v>
      </c>
      <c r="D82" s="180">
        <f ca="1">IFERROR('Rumus Plafond + Atrib PP10 (2)'!R70,"")</f>
        <v>3214882.6994378367</v>
      </c>
      <c r="E82" s="181">
        <f t="shared" ca="1" si="8"/>
        <v>0.56456510822358796</v>
      </c>
      <c r="F82" s="181">
        <f t="shared" ca="1" si="9"/>
        <v>0.43543489177641198</v>
      </c>
      <c r="G82" s="180">
        <f ca="1">IFERROR('Rumus Plafond + Atrib PP10 (2)'!R70,"")</f>
        <v>3214882.6994378367</v>
      </c>
      <c r="H82" s="180">
        <f ca="1">IFERROR('Rumus Plafond + Atrib PP10 (2)'!Q70,"")</f>
        <v>2479558.3005621633</v>
      </c>
      <c r="I82" s="181">
        <f t="shared" ca="1" si="10"/>
        <v>1.0129907734124859</v>
      </c>
      <c r="J82" s="181">
        <f t="shared" ca="1" si="11"/>
        <v>-1.2990773412485803E-2</v>
      </c>
      <c r="K82" s="180">
        <f ca="1">IFERROR('Rumus Plafond + Atrib PP10 (2)'!S70,"")</f>
        <v>5694441</v>
      </c>
      <c r="O82" s="182">
        <f t="shared" si="12"/>
        <v>67</v>
      </c>
      <c r="P82" s="183">
        <f t="shared" ca="1" si="12"/>
        <v>48335</v>
      </c>
      <c r="Q82" s="184">
        <f t="shared" ca="1" si="13"/>
        <v>5694441</v>
      </c>
      <c r="R82" s="185">
        <f t="shared" ca="1" si="14"/>
        <v>3214882.6994378367</v>
      </c>
      <c r="S82" s="185">
        <f t="shared" ca="1" si="14"/>
        <v>2479558.3005621633</v>
      </c>
      <c r="T82" s="185">
        <f t="shared" ca="1" si="15"/>
        <v>354546770.69437003</v>
      </c>
    </row>
    <row r="83" spans="1:20" x14ac:dyDescent="0.3">
      <c r="A83" s="175">
        <f>'Rumus Plafond + Atrib PP10 (2)'!O71</f>
        <v>68</v>
      </c>
      <c r="B83" s="179">
        <f ca="1">IF(A83&lt;=Simulasi!$B$11,DATE(YEAR(B82),MONTH(B82)+1,1),"")</f>
        <v>48366</v>
      </c>
      <c r="C83" s="180">
        <f ca="1">IF(A83&lt;=Simulasi!$B$11,'Rumus Plafond + Atrib PP10 (2)'!P71,"")</f>
        <v>352044884.93940091</v>
      </c>
      <c r="D83" s="180">
        <f ca="1">IFERROR('Rumus Plafond + Atrib PP10 (2)'!R71,"")</f>
        <v>3192555.2450308595</v>
      </c>
      <c r="E83" s="181">
        <f t="shared" ca="1" si="8"/>
        <v>0.56064418702922014</v>
      </c>
      <c r="F83" s="181">
        <f t="shared" ca="1" si="9"/>
        <v>0.43935581297077986</v>
      </c>
      <c r="G83" s="180">
        <f ca="1">IFERROR('Rumus Plafond + Atrib PP10 (2)'!R71,"")</f>
        <v>3192555.2450308595</v>
      </c>
      <c r="H83" s="180">
        <f ca="1">IFERROR('Rumus Plafond + Atrib PP10 (2)'!Q71,"")</f>
        <v>2501885.7549691405</v>
      </c>
      <c r="I83" s="181">
        <f t="shared" ca="1" si="10"/>
        <v>1.0058425283982884</v>
      </c>
      <c r="J83" s="181">
        <f t="shared" ca="1" si="11"/>
        <v>-5.8425283982883177E-3</v>
      </c>
      <c r="K83" s="180">
        <f ca="1">IFERROR('Rumus Plafond + Atrib PP10 (2)'!S71,"")</f>
        <v>5694441</v>
      </c>
      <c r="O83" s="182">
        <f t="shared" si="12"/>
        <v>68</v>
      </c>
      <c r="P83" s="183">
        <f t="shared" ca="1" si="12"/>
        <v>48366</v>
      </c>
      <c r="Q83" s="184">
        <f t="shared" ca="1" si="13"/>
        <v>5694441</v>
      </c>
      <c r="R83" s="185">
        <f t="shared" ca="1" si="14"/>
        <v>3192555.2450308595</v>
      </c>
      <c r="S83" s="185">
        <f t="shared" ca="1" si="14"/>
        <v>2501885.7549691405</v>
      </c>
      <c r="T83" s="185">
        <f t="shared" ca="1" si="15"/>
        <v>352044884.93940091</v>
      </c>
    </row>
    <row r="84" spans="1:20" x14ac:dyDescent="0.3">
      <c r="A84" s="175">
        <f>'Rumus Plafond + Atrib PP10 (2)'!O72</f>
        <v>69</v>
      </c>
      <c r="B84" s="179">
        <f ca="1">IF(A84&lt;=Simulasi!$B$11,DATE(YEAR(B83),MONTH(B83)+1,1),"")</f>
        <v>48396</v>
      </c>
      <c r="C84" s="180">
        <f ca="1">IF(A84&lt;=Simulasi!$B$11,'Rumus Plafond + Atrib PP10 (2)'!P72,"")</f>
        <v>349520470.68001515</v>
      </c>
      <c r="D84" s="180">
        <f ca="1">IFERROR('Rumus Plafond + Atrib PP10 (2)'!R72,"")</f>
        <v>3170026.7406142168</v>
      </c>
      <c r="E84" s="181">
        <f t="shared" ca="1" si="8"/>
        <v>0.55668795947033556</v>
      </c>
      <c r="F84" s="181">
        <f t="shared" ca="1" si="9"/>
        <v>0.4433120405296645</v>
      </c>
      <c r="G84" s="180">
        <f ca="1">IFERROR('Rumus Plafond + Atrib PP10 (2)'!R72,"")</f>
        <v>3170026.7406142168</v>
      </c>
      <c r="H84" s="180">
        <f ca="1">IFERROR('Rumus Plafond + Atrib PP10 (2)'!Q72,"")</f>
        <v>2524414.2593857832</v>
      </c>
      <c r="I84" s="181">
        <f t="shared" ca="1" si="10"/>
        <v>0.99862991622861474</v>
      </c>
      <c r="J84" s="181">
        <f t="shared" ca="1" si="11"/>
        <v>1.3700837713852951E-3</v>
      </c>
      <c r="K84" s="180">
        <f ca="1">IFERROR('Rumus Plafond + Atrib PP10 (2)'!S72,"")</f>
        <v>5694441</v>
      </c>
      <c r="O84" s="182">
        <f t="shared" si="12"/>
        <v>69</v>
      </c>
      <c r="P84" s="183">
        <f t="shared" ca="1" si="12"/>
        <v>48396</v>
      </c>
      <c r="Q84" s="184">
        <f t="shared" ca="1" si="13"/>
        <v>5694441</v>
      </c>
      <c r="R84" s="185">
        <f t="shared" ca="1" si="14"/>
        <v>3170026.7406142168</v>
      </c>
      <c r="S84" s="185">
        <f t="shared" ca="1" si="14"/>
        <v>2524414.2593857832</v>
      </c>
      <c r="T84" s="185">
        <f t="shared" ca="1" si="15"/>
        <v>349520470.68001515</v>
      </c>
    </row>
    <row r="85" spans="1:20" x14ac:dyDescent="0.3">
      <c r="A85" s="175">
        <f>'Rumus Plafond + Atrib PP10 (2)'!O73</f>
        <v>70</v>
      </c>
      <c r="B85" s="179">
        <f ca="1">IF(A85&lt;=Simulasi!$B$11,DATE(YEAR(B84),MONTH(B84)+1,1),"")</f>
        <v>48427</v>
      </c>
      <c r="C85" s="180">
        <f ca="1">IF(A85&lt;=Simulasi!$B$11,'Rumus Plafond + Atrib PP10 (2)'!P73,"")</f>
        <v>346973325.05582619</v>
      </c>
      <c r="D85" s="180">
        <f ca="1">IFERROR('Rumus Plafond + Atrib PP10 (2)'!R73,"")</f>
        <v>3147295.375811066</v>
      </c>
      <c r="E85" s="181">
        <f t="shared" ca="1" si="8"/>
        <v>0.55269610762690591</v>
      </c>
      <c r="F85" s="181">
        <f t="shared" ca="1" si="9"/>
        <v>0.44730389237309404</v>
      </c>
      <c r="G85" s="180">
        <f ca="1">IFERROR('Rumus Plafond + Atrib PP10 (2)'!R73,"")</f>
        <v>3147295.375811066</v>
      </c>
      <c r="H85" s="180">
        <f ca="1">IFERROR('Rumus Plafond + Atrib PP10 (2)'!Q73,"")</f>
        <v>2547145.624188934</v>
      </c>
      <c r="I85" s="181">
        <f t="shared" ca="1" si="10"/>
        <v>0.99135235730236049</v>
      </c>
      <c r="J85" s="181">
        <f t="shared" ca="1" si="11"/>
        <v>8.6476426976394658E-3</v>
      </c>
      <c r="K85" s="180">
        <f ca="1">IFERROR('Rumus Plafond + Atrib PP10 (2)'!S73,"")</f>
        <v>5694441</v>
      </c>
      <c r="O85" s="182">
        <f t="shared" si="12"/>
        <v>70</v>
      </c>
      <c r="P85" s="183">
        <f t="shared" ca="1" si="12"/>
        <v>48427</v>
      </c>
      <c r="Q85" s="184">
        <f t="shared" ca="1" si="13"/>
        <v>5694441</v>
      </c>
      <c r="R85" s="185">
        <f t="shared" ca="1" si="14"/>
        <v>3147295.375811066</v>
      </c>
      <c r="S85" s="185">
        <f t="shared" ca="1" si="14"/>
        <v>2547145.624188934</v>
      </c>
      <c r="T85" s="185">
        <f t="shared" ca="1" si="15"/>
        <v>346973325.05582619</v>
      </c>
    </row>
    <row r="86" spans="1:20" x14ac:dyDescent="0.3">
      <c r="A86" s="175">
        <f>'Rumus Plafond + Atrib PP10 (2)'!O74</f>
        <v>71</v>
      </c>
      <c r="B86" s="179">
        <f ca="1">IF(A86&lt;=Simulasi!$B$11,DATE(YEAR(B85),MONTH(B85)+1,1),"")</f>
        <v>48458</v>
      </c>
      <c r="C86" s="180">
        <f ca="1">IF(A86&lt;=Simulasi!$B$11,'Rumus Plafond + Atrib PP10 (2)'!P74,"")</f>
        <v>344403243.37976903</v>
      </c>
      <c r="D86" s="180">
        <f ca="1">IFERROR('Rumus Plafond + Atrib PP10 (2)'!R74,"")</f>
        <v>3124359.3239428294</v>
      </c>
      <c r="E86" s="181">
        <f t="shared" ca="1" si="8"/>
        <v>0.54866831071615796</v>
      </c>
      <c r="F86" s="181">
        <f t="shared" ca="1" si="9"/>
        <v>0.45133168928384204</v>
      </c>
      <c r="G86" s="180">
        <f ca="1">IFERROR('Rumus Plafond + Atrib PP10 (2)'!R74,"")</f>
        <v>3124359.3239428294</v>
      </c>
      <c r="H86" s="180">
        <f ca="1">IFERROR('Rumus Plafond + Atrib PP10 (2)'!Q74,"")</f>
        <v>2570081.6760571706</v>
      </c>
      <c r="I86" s="181">
        <f t="shared" ca="1" si="10"/>
        <v>0.98400926679934009</v>
      </c>
      <c r="J86" s="181">
        <f t="shared" ca="1" si="11"/>
        <v>1.5990733200659923E-2</v>
      </c>
      <c r="K86" s="180">
        <f ca="1">IFERROR('Rumus Plafond + Atrib PP10 (2)'!S74,"")</f>
        <v>5694441</v>
      </c>
      <c r="O86" s="182">
        <f t="shared" si="12"/>
        <v>71</v>
      </c>
      <c r="P86" s="183">
        <f t="shared" ca="1" si="12"/>
        <v>48458</v>
      </c>
      <c r="Q86" s="184">
        <f t="shared" ca="1" si="13"/>
        <v>5694441</v>
      </c>
      <c r="R86" s="185">
        <f t="shared" ca="1" si="14"/>
        <v>3124359.3239428294</v>
      </c>
      <c r="S86" s="185">
        <f t="shared" ca="1" si="14"/>
        <v>2570081.6760571706</v>
      </c>
      <c r="T86" s="185">
        <f t="shared" ca="1" si="15"/>
        <v>344403243.37976903</v>
      </c>
    </row>
    <row r="87" spans="1:20" x14ac:dyDescent="0.3">
      <c r="A87" s="175">
        <f>'Rumus Plafond + Atrib PP10 (2)'!O75</f>
        <v>72</v>
      </c>
      <c r="B87" s="179">
        <f ca="1">IF(A87&lt;=Simulasi!$B$11,DATE(YEAR(B86),MONTH(B86)+1,1),"")</f>
        <v>48488</v>
      </c>
      <c r="C87" s="180">
        <f ca="1">IF(A87&lt;=Simulasi!$B$11,'Rumus Plafond + Atrib PP10 (2)'!P75,"")</f>
        <v>341810019.12165141</v>
      </c>
      <c r="D87" s="180">
        <f ca="1">IFERROR('Rumus Plafond + Atrib PP10 (2)'!R75,"")</f>
        <v>3101216.741882402</v>
      </c>
      <c r="E87" s="181">
        <f t="shared" ca="1" si="8"/>
        <v>0.54460424506679439</v>
      </c>
      <c r="F87" s="181">
        <f t="shared" ca="1" si="9"/>
        <v>0.45539575493320555</v>
      </c>
      <c r="G87" s="180">
        <f ca="1">IFERROR('Rumus Plafond + Atrib PP10 (2)'!R75,"")</f>
        <v>3101216.741882402</v>
      </c>
      <c r="H87" s="180">
        <f ca="1">IFERROR('Rumus Plafond + Atrib PP10 (2)'!Q75,"")</f>
        <v>2593224.258117598</v>
      </c>
      <c r="I87" s="181">
        <f t="shared" ca="1" si="10"/>
        <v>0.97660005463328969</v>
      </c>
      <c r="J87" s="181">
        <f t="shared" ca="1" si="11"/>
        <v>2.3399945366710254E-2</v>
      </c>
      <c r="K87" s="180">
        <f ca="1">IFERROR('Rumus Plafond + Atrib PP10 (2)'!S75,"")</f>
        <v>5694441</v>
      </c>
      <c r="O87" s="182">
        <f t="shared" si="12"/>
        <v>72</v>
      </c>
      <c r="P87" s="183">
        <f t="shared" ca="1" si="12"/>
        <v>48488</v>
      </c>
      <c r="Q87" s="184">
        <f t="shared" ca="1" si="13"/>
        <v>5694441</v>
      </c>
      <c r="R87" s="185">
        <f t="shared" ca="1" si="14"/>
        <v>3101216.741882402</v>
      </c>
      <c r="S87" s="185">
        <f t="shared" ca="1" si="14"/>
        <v>2593224.258117598</v>
      </c>
      <c r="T87" s="185">
        <f t="shared" ca="1" si="15"/>
        <v>341810019.12165141</v>
      </c>
    </row>
    <row r="88" spans="1:20" x14ac:dyDescent="0.3">
      <c r="A88" s="175">
        <f>'Rumus Plafond + Atrib PP10 (2)'!O76</f>
        <v>73</v>
      </c>
      <c r="B88" s="179">
        <f ca="1">IF(A88&lt;=Simulasi!$B$11,DATE(YEAR(B87),MONTH(B87)+1,1),"")</f>
        <v>48519</v>
      </c>
      <c r="C88" s="180">
        <f ca="1">IF(A88&lt;=Simulasi!$B$11,'Rumus Plafond + Atrib PP10 (2)'!P76,"")</f>
        <v>339193443.89155746</v>
      </c>
      <c r="D88" s="180">
        <f ca="1">IFERROR('Rumus Plafond + Atrib PP10 (2)'!R76,"")</f>
        <v>3077865.769906038</v>
      </c>
      <c r="E88" s="181">
        <f t="shared" ca="1" si="8"/>
        <v>0.54050358409298438</v>
      </c>
      <c r="F88" s="181">
        <f t="shared" ca="1" si="9"/>
        <v>0.45949641590701562</v>
      </c>
      <c r="G88" s="180">
        <f ca="1">IFERROR('Rumus Plafond + Atrib PP10 (2)'!R76,"")</f>
        <v>3077865.769906038</v>
      </c>
      <c r="H88" s="180">
        <f ca="1">IFERROR('Rumus Plafond + Atrib PP10 (2)'!Q76,"")</f>
        <v>2616575.230093962</v>
      </c>
      <c r="I88" s="181">
        <f t="shared" ca="1" si="10"/>
        <v>0.96912412540444992</v>
      </c>
      <c r="J88" s="181">
        <f t="shared" ca="1" si="11"/>
        <v>3.0875874595550128E-2</v>
      </c>
      <c r="K88" s="180">
        <f ca="1">IFERROR('Rumus Plafond + Atrib PP10 (2)'!S76,"")</f>
        <v>5694441</v>
      </c>
      <c r="O88" s="182">
        <f t="shared" si="12"/>
        <v>73</v>
      </c>
      <c r="P88" s="183">
        <f t="shared" ca="1" si="12"/>
        <v>48519</v>
      </c>
      <c r="Q88" s="184">
        <f t="shared" ca="1" si="13"/>
        <v>5694441</v>
      </c>
      <c r="R88" s="185">
        <f t="shared" ca="1" si="14"/>
        <v>3077865.769906038</v>
      </c>
      <c r="S88" s="185">
        <f t="shared" ca="1" si="14"/>
        <v>2616575.230093962</v>
      </c>
      <c r="T88" s="185">
        <f t="shared" ca="1" si="15"/>
        <v>339193443.89155746</v>
      </c>
    </row>
    <row r="89" spans="1:20" x14ac:dyDescent="0.3">
      <c r="A89" s="175">
        <f>'Rumus Plafond + Atrib PP10 (2)'!O77</f>
        <v>74</v>
      </c>
      <c r="B89" s="179">
        <f ca="1">IF(A89&lt;=Simulasi!$B$11,DATE(YEAR(B88),MONTH(B88)+1,1),"")</f>
        <v>48549</v>
      </c>
      <c r="C89" s="180">
        <f ca="1">IF(A89&lt;=Simulasi!$B$11,'Rumus Plafond + Atrib PP10 (2)'!P77,"")</f>
        <v>336553307.42310137</v>
      </c>
      <c r="D89" s="180">
        <f ca="1">IFERROR('Rumus Plafond + Atrib PP10 (2)'!R77,"")</f>
        <v>3054304.5315439054</v>
      </c>
      <c r="E89" s="181">
        <f t="shared" ca="1" si="8"/>
        <v>0.53636599826811893</v>
      </c>
      <c r="F89" s="181">
        <f t="shared" ca="1" si="9"/>
        <v>0.46363400173188107</v>
      </c>
      <c r="G89" s="180">
        <f ca="1">IFERROR('Rumus Plafond + Atrib PP10 (2)'!R77,"")</f>
        <v>3054304.5315439054</v>
      </c>
      <c r="H89" s="180">
        <f ca="1">IFERROR('Rumus Plafond + Atrib PP10 (2)'!Q77,"")</f>
        <v>2640136.4684560946</v>
      </c>
      <c r="I89" s="181">
        <f t="shared" ca="1" si="10"/>
        <v>0.96158087835171824</v>
      </c>
      <c r="J89" s="181">
        <f t="shared" ca="1" si="11"/>
        <v>3.8419121648281811E-2</v>
      </c>
      <c r="K89" s="180">
        <f ca="1">IFERROR('Rumus Plafond + Atrib PP10 (2)'!S77,"")</f>
        <v>5694441</v>
      </c>
      <c r="O89" s="182">
        <f t="shared" si="12"/>
        <v>74</v>
      </c>
      <c r="P89" s="183">
        <f t="shared" ca="1" si="12"/>
        <v>48549</v>
      </c>
      <c r="Q89" s="184">
        <f t="shared" ca="1" si="13"/>
        <v>5694441</v>
      </c>
      <c r="R89" s="185">
        <f t="shared" ca="1" si="14"/>
        <v>3054304.5315439054</v>
      </c>
      <c r="S89" s="185">
        <f t="shared" ca="1" si="14"/>
        <v>2640136.4684560946</v>
      </c>
      <c r="T89" s="185">
        <f t="shared" ca="1" si="15"/>
        <v>336553307.42310137</v>
      </c>
    </row>
    <row r="90" spans="1:20" x14ac:dyDescent="0.3">
      <c r="A90" s="175">
        <f>'Rumus Plafond + Atrib PP10 (2)'!O78</f>
        <v>75</v>
      </c>
      <c r="B90" s="179">
        <f ca="1">IF(A90&lt;=Simulasi!$B$11,DATE(YEAR(B89),MONTH(B89)+1,1),"")</f>
        <v>48580</v>
      </c>
      <c r="C90" s="180">
        <f ca="1">IF(A90&lt;=Simulasi!$B$11,'Rumus Plafond + Atrib PP10 (2)'!P78,"")</f>
        <v>333889397.55653065</v>
      </c>
      <c r="D90" s="180">
        <f ca="1">IFERROR('Rumus Plafond + Atrib PP10 (2)'!R78,"")</f>
        <v>3030531.1334292949</v>
      </c>
      <c r="E90" s="181">
        <f t="shared" ca="1" si="8"/>
        <v>0.53219115509833093</v>
      </c>
      <c r="F90" s="181">
        <f t="shared" ca="1" si="9"/>
        <v>0.46780884490166902</v>
      </c>
      <c r="G90" s="180">
        <f ca="1">IFERROR('Rumus Plafond + Atrib PP10 (2)'!R78,"")</f>
        <v>3030531.1334292949</v>
      </c>
      <c r="H90" s="180">
        <f ca="1">IFERROR('Rumus Plafond + Atrib PP10 (2)'!Q78,"")</f>
        <v>2663909.8665707051</v>
      </c>
      <c r="I90" s="181">
        <f t="shared" ca="1" si="10"/>
        <v>0.95396970730437325</v>
      </c>
      <c r="J90" s="181">
        <f t="shared" ca="1" si="11"/>
        <v>4.6030292695626703E-2</v>
      </c>
      <c r="K90" s="180">
        <f ca="1">IFERROR('Rumus Plafond + Atrib PP10 (2)'!S78,"")</f>
        <v>5694441</v>
      </c>
      <c r="O90" s="182">
        <f t="shared" si="12"/>
        <v>75</v>
      </c>
      <c r="P90" s="183">
        <f t="shared" ca="1" si="12"/>
        <v>48580</v>
      </c>
      <c r="Q90" s="184">
        <f t="shared" ca="1" si="13"/>
        <v>5694441</v>
      </c>
      <c r="R90" s="185">
        <f t="shared" ca="1" si="14"/>
        <v>3030531.1334292949</v>
      </c>
      <c r="S90" s="185">
        <f t="shared" ca="1" si="14"/>
        <v>2663909.8665707051</v>
      </c>
      <c r="T90" s="185">
        <f t="shared" ca="1" si="15"/>
        <v>333889397.55653065</v>
      </c>
    </row>
    <row r="91" spans="1:20" x14ac:dyDescent="0.3">
      <c r="A91" s="175">
        <f>'Rumus Plafond + Atrib PP10 (2)'!O79</f>
        <v>76</v>
      </c>
      <c r="B91" s="179">
        <f ca="1">IF(A91&lt;=Simulasi!$B$11,DATE(YEAR(B90),MONTH(B90)+1,1),"")</f>
        <v>48611</v>
      </c>
      <c r="C91" s="180">
        <f ca="1">IF(A91&lt;=Simulasi!$B$11,'Rumus Plafond + Atrib PP10 (2)'!P79,"")</f>
        <v>331201500.22167712</v>
      </c>
      <c r="D91" s="180">
        <f ca="1">IFERROR('Rumus Plafond + Atrib PP10 (2)'!R79,"")</f>
        <v>3006543.6651464687</v>
      </c>
      <c r="E91" s="181">
        <f t="shared" ca="1" si="8"/>
        <v>0.52797871909577576</v>
      </c>
      <c r="F91" s="181">
        <f t="shared" ca="1" si="9"/>
        <v>0.47202128090422418</v>
      </c>
      <c r="G91" s="180">
        <f ca="1">IFERROR('Rumus Plafond + Atrib PP10 (2)'!R79,"")</f>
        <v>3006543.6651464687</v>
      </c>
      <c r="H91" s="180">
        <f ca="1">IFERROR('Rumus Plafond + Atrib PP10 (2)'!Q79,"")</f>
        <v>2687897.3348535313</v>
      </c>
      <c r="I91" s="181">
        <f t="shared" ca="1" si="10"/>
        <v>0.94629000063336322</v>
      </c>
      <c r="J91" s="181">
        <f t="shared" ca="1" si="11"/>
        <v>5.3709999366636785E-2</v>
      </c>
      <c r="K91" s="180">
        <f ca="1">IFERROR('Rumus Plafond + Atrib PP10 (2)'!S79,"")</f>
        <v>5694441</v>
      </c>
      <c r="O91" s="182">
        <f t="shared" si="12"/>
        <v>76</v>
      </c>
      <c r="P91" s="183">
        <f t="shared" ca="1" si="12"/>
        <v>48611</v>
      </c>
      <c r="Q91" s="184">
        <f t="shared" ca="1" si="13"/>
        <v>5694441</v>
      </c>
      <c r="R91" s="185">
        <f t="shared" ca="1" si="14"/>
        <v>3006543.6651464687</v>
      </c>
      <c r="S91" s="185">
        <f t="shared" ca="1" si="14"/>
        <v>2687897.3348535313</v>
      </c>
      <c r="T91" s="185">
        <f t="shared" ca="1" si="15"/>
        <v>331201500.22167712</v>
      </c>
    </row>
    <row r="92" spans="1:20" x14ac:dyDescent="0.3">
      <c r="A92" s="175">
        <f>'Rumus Plafond + Atrib PP10 (2)'!O80</f>
        <v>77</v>
      </c>
      <c r="B92" s="179">
        <f ca="1">IF(A92&lt;=Simulasi!$B$11,DATE(YEAR(B91),MONTH(B91)+1,1),"")</f>
        <v>48639</v>
      </c>
      <c r="C92" s="180">
        <f ca="1">IF(A92&lt;=Simulasi!$B$11,'Rumus Plafond + Atrib PP10 (2)'!P80,"")</f>
        <v>328489399.42075425</v>
      </c>
      <c r="D92" s="180">
        <f ca="1">IFERROR('Rumus Plafond + Atrib PP10 (2)'!R80,"")</f>
        <v>2982340.1990771405</v>
      </c>
      <c r="E92" s="181">
        <f t="shared" ca="1" si="8"/>
        <v>0.52372835175167154</v>
      </c>
      <c r="F92" s="181">
        <f t="shared" ca="1" si="9"/>
        <v>0.47627164824832841</v>
      </c>
      <c r="G92" s="180">
        <f ca="1">IFERROR('Rumus Plafond + Atrib PP10 (2)'!R80,"")</f>
        <v>2982340.1990771405</v>
      </c>
      <c r="H92" s="180">
        <f ca="1">IFERROR('Rumus Plafond + Atrib PP10 (2)'!Q80,"")</f>
        <v>2712100.8009228595</v>
      </c>
      <c r="I92" s="181">
        <f t="shared" ca="1" si="10"/>
        <v>0.93854114120215504</v>
      </c>
      <c r="J92" s="181">
        <f t="shared" ca="1" si="11"/>
        <v>6.145885879784499E-2</v>
      </c>
      <c r="K92" s="180">
        <f ca="1">IFERROR('Rumus Plafond + Atrib PP10 (2)'!S80,"")</f>
        <v>5694441</v>
      </c>
      <c r="O92" s="182">
        <f t="shared" si="12"/>
        <v>77</v>
      </c>
      <c r="P92" s="183">
        <f t="shared" ca="1" si="12"/>
        <v>48639</v>
      </c>
      <c r="Q92" s="184">
        <f t="shared" ca="1" si="13"/>
        <v>5694441</v>
      </c>
      <c r="R92" s="185">
        <f t="shared" ca="1" si="14"/>
        <v>2982340.1990771405</v>
      </c>
      <c r="S92" s="185">
        <f t="shared" ca="1" si="14"/>
        <v>2712100.8009228595</v>
      </c>
      <c r="T92" s="185">
        <f t="shared" ca="1" si="15"/>
        <v>328489399.42075425</v>
      </c>
    </row>
    <row r="93" spans="1:20" x14ac:dyDescent="0.3">
      <c r="A93" s="175">
        <f>'Rumus Plafond + Atrib PP10 (2)'!O81</f>
        <v>78</v>
      </c>
      <c r="B93" s="179">
        <f ca="1">IF(A93&lt;=Simulasi!$B$11,DATE(YEAR(B92),MONTH(B92)+1,1),"")</f>
        <v>48670</v>
      </c>
      <c r="C93" s="180">
        <f ca="1">IF(A93&lt;=Simulasi!$B$11,'Rumus Plafond + Atrib PP10 (2)'!P81,"")</f>
        <v>325752877.21099985</v>
      </c>
      <c r="D93" s="180">
        <f ca="1">IFERROR('Rumus Plafond + Atrib PP10 (2)'!R81,"")</f>
        <v>2957918.790245574</v>
      </c>
      <c r="E93" s="181">
        <f t="shared" ca="1" si="8"/>
        <v>0.51943971150909707</v>
      </c>
      <c r="F93" s="181">
        <f t="shared" ca="1" si="9"/>
        <v>0.48056028849090299</v>
      </c>
      <c r="G93" s="180">
        <f ca="1">IFERROR('Rumus Plafond + Atrib PP10 (2)'!R81,"")</f>
        <v>2957918.790245574</v>
      </c>
      <c r="H93" s="180">
        <f ca="1">IFERROR('Rumus Plafond + Atrib PP10 (2)'!Q81,"")</f>
        <v>2736522.209754426</v>
      </c>
      <c r="I93" s="181">
        <f t="shared" ca="1" si="10"/>
        <v>0.93072250631714237</v>
      </c>
      <c r="J93" s="181">
        <f t="shared" ca="1" si="11"/>
        <v>6.9277493682857585E-2</v>
      </c>
      <c r="K93" s="180">
        <f ca="1">IFERROR('Rumus Plafond + Atrib PP10 (2)'!S81,"")</f>
        <v>5694441</v>
      </c>
      <c r="O93" s="182">
        <f t="shared" si="12"/>
        <v>78</v>
      </c>
      <c r="P93" s="183">
        <f t="shared" ca="1" si="12"/>
        <v>48670</v>
      </c>
      <c r="Q93" s="184">
        <f t="shared" ca="1" si="13"/>
        <v>5694441</v>
      </c>
      <c r="R93" s="185">
        <f t="shared" ca="1" si="14"/>
        <v>2957918.790245574</v>
      </c>
      <c r="S93" s="185">
        <f t="shared" ca="1" si="14"/>
        <v>2736522.209754426</v>
      </c>
      <c r="T93" s="185">
        <f t="shared" ca="1" si="15"/>
        <v>325752877.21099985</v>
      </c>
    </row>
    <row r="94" spans="1:20" x14ac:dyDescent="0.3">
      <c r="A94" s="175">
        <f>'Rumus Plafond + Atrib PP10 (2)'!O82</f>
        <v>79</v>
      </c>
      <c r="B94" s="179">
        <f ca="1">IF(A94&lt;=Simulasi!$B$11,DATE(YEAR(B93),MONTH(B93)+1,1),"")</f>
        <v>48700</v>
      </c>
      <c r="C94" s="180">
        <f ca="1">IF(A94&lt;=Simulasi!$B$11,'Rumus Plafond + Atrib PP10 (2)'!P82,"")</f>
        <v>322991713.68716216</v>
      </c>
      <c r="D94" s="180">
        <f ca="1">IFERROR('Rumus Plafond + Atrib PP10 (2)'!R82,"")</f>
        <v>2933277.4761622879</v>
      </c>
      <c r="E94" s="181">
        <f t="shared" ca="1" si="8"/>
        <v>0.51511245373554448</v>
      </c>
      <c r="F94" s="181">
        <f t="shared" ca="1" si="9"/>
        <v>0.48488754626445546</v>
      </c>
      <c r="G94" s="180">
        <f ca="1">IFERROR('Rumus Plafond + Atrib PP10 (2)'!R82,"")</f>
        <v>2933277.4761622879</v>
      </c>
      <c r="H94" s="180">
        <f ca="1">IFERROR('Rumus Plafond + Atrib PP10 (2)'!Q82,"")</f>
        <v>2761163.5238377121</v>
      </c>
      <c r="I94" s="181">
        <f t="shared" ca="1" si="10"/>
        <v>0.92283346767760621</v>
      </c>
      <c r="J94" s="181">
        <f t="shared" ca="1" si="11"/>
        <v>7.716653232239383E-2</v>
      </c>
      <c r="K94" s="180">
        <f ca="1">IFERROR('Rumus Plafond + Atrib PP10 (2)'!S82,"")</f>
        <v>5694441</v>
      </c>
      <c r="O94" s="182">
        <f t="shared" si="12"/>
        <v>79</v>
      </c>
      <c r="P94" s="183">
        <f t="shared" ca="1" si="12"/>
        <v>48700</v>
      </c>
      <c r="Q94" s="184">
        <f t="shared" ca="1" si="13"/>
        <v>5694441</v>
      </c>
      <c r="R94" s="185">
        <f t="shared" ca="1" si="14"/>
        <v>2933277.4761622879</v>
      </c>
      <c r="S94" s="185">
        <f t="shared" ca="1" si="14"/>
        <v>2761163.5238377121</v>
      </c>
      <c r="T94" s="185">
        <f t="shared" ca="1" si="15"/>
        <v>322991713.68716216</v>
      </c>
    </row>
    <row r="95" spans="1:20" x14ac:dyDescent="0.3">
      <c r="A95" s="175">
        <f>'Rumus Plafond + Atrib PP10 (2)'!O83</f>
        <v>80</v>
      </c>
      <c r="B95" s="179">
        <f ca="1">IF(A95&lt;=Simulasi!$B$11,DATE(YEAR(B94),MONTH(B94)+1,1),"")</f>
        <v>48731</v>
      </c>
      <c r="C95" s="180">
        <f ca="1">IF(A95&lt;=Simulasi!$B$11,'Rumus Plafond + Atrib PP10 (2)'!P83,"")</f>
        <v>320205686.9638285</v>
      </c>
      <c r="D95" s="180">
        <f ca="1">IFERROR('Rumus Plafond + Atrib PP10 (2)'!R83,"")</f>
        <v>2908414.2766663465</v>
      </c>
      <c r="E95" s="181">
        <f t="shared" ca="1" si="8"/>
        <v>0.51074623069522473</v>
      </c>
      <c r="F95" s="181">
        <f t="shared" ca="1" si="9"/>
        <v>0.48925376930477521</v>
      </c>
      <c r="G95" s="180">
        <f ca="1">IFERROR('Rumus Plafond + Atrib PP10 (2)'!R83,"")</f>
        <v>2908414.2766663465</v>
      </c>
      <c r="H95" s="180">
        <f ca="1">IFERROR('Rumus Plafond + Atrib PP10 (2)'!Q83,"")</f>
        <v>2786026.7233336535</v>
      </c>
      <c r="I95" s="181">
        <f t="shared" ca="1" si="10"/>
        <v>0.91487339132522427</v>
      </c>
      <c r="J95" s="181">
        <f t="shared" ca="1" si="11"/>
        <v>8.51266086747757E-2</v>
      </c>
      <c r="K95" s="180">
        <f ca="1">IFERROR('Rumus Plafond + Atrib PP10 (2)'!S83,"")</f>
        <v>5694441</v>
      </c>
      <c r="O95" s="182">
        <f t="shared" si="12"/>
        <v>80</v>
      </c>
      <c r="P95" s="183">
        <f t="shared" ca="1" si="12"/>
        <v>48731</v>
      </c>
      <c r="Q95" s="184">
        <f t="shared" ca="1" si="13"/>
        <v>5694441</v>
      </c>
      <c r="R95" s="185">
        <f t="shared" ca="1" si="14"/>
        <v>2908414.2766663465</v>
      </c>
      <c r="S95" s="185">
        <f t="shared" ca="1" si="14"/>
        <v>2786026.7233336535</v>
      </c>
      <c r="T95" s="185">
        <f t="shared" ca="1" si="15"/>
        <v>320205686.9638285</v>
      </c>
    </row>
    <row r="96" spans="1:20" x14ac:dyDescent="0.3">
      <c r="A96" s="175">
        <f>'Rumus Plafond + Atrib PP10 (2)'!O84</f>
        <v>81</v>
      </c>
      <c r="B96" s="179">
        <f ca="1">IF(A96&lt;=Simulasi!$B$11,DATE(YEAR(B95),MONTH(B95)+1,1),"")</f>
        <v>48761</v>
      </c>
      <c r="C96" s="180">
        <f ca="1">IF(A96&lt;=Simulasi!$B$11,'Rumus Plafond + Atrib PP10 (2)'!P84,"")</f>
        <v>317394573.15759474</v>
      </c>
      <c r="D96" s="180">
        <f ca="1">IFERROR('Rumus Plafond + Atrib PP10 (2)'!R84,"")</f>
        <v>2883327.1937662396</v>
      </c>
      <c r="E96" s="181">
        <f t="shared" ca="1" si="8"/>
        <v>0.50634069152112382</v>
      </c>
      <c r="F96" s="181">
        <f t="shared" ca="1" si="9"/>
        <v>0.49365930847887624</v>
      </c>
      <c r="G96" s="180">
        <f ca="1">IFERROR('Rumus Plafond + Atrib PP10 (2)'!R84,"")</f>
        <v>2883327.1937662396</v>
      </c>
      <c r="H96" s="180">
        <f ca="1">IFERROR('Rumus Plafond + Atrib PP10 (2)'!Q84,"")</f>
        <v>2811113.8062337604</v>
      </c>
      <c r="I96" s="181">
        <f t="shared" ca="1" si="10"/>
        <v>0.90684163759312786</v>
      </c>
      <c r="J96" s="181">
        <f t="shared" ca="1" si="11"/>
        <v>9.3158362406872169E-2</v>
      </c>
      <c r="K96" s="180">
        <f ca="1">IFERROR('Rumus Plafond + Atrib PP10 (2)'!S84,"")</f>
        <v>5694441</v>
      </c>
      <c r="O96" s="182">
        <f t="shared" si="12"/>
        <v>81</v>
      </c>
      <c r="P96" s="183">
        <f t="shared" ca="1" si="12"/>
        <v>48761</v>
      </c>
      <c r="Q96" s="184">
        <f t="shared" ca="1" si="13"/>
        <v>5694441</v>
      </c>
      <c r="R96" s="185">
        <f t="shared" ca="1" si="14"/>
        <v>2883327.1937662396</v>
      </c>
      <c r="S96" s="185">
        <f t="shared" ca="1" si="14"/>
        <v>2811113.8062337604</v>
      </c>
      <c r="T96" s="185">
        <f t="shared" ca="1" si="15"/>
        <v>317394573.15759474</v>
      </c>
    </row>
    <row r="97" spans="1:20" x14ac:dyDescent="0.3">
      <c r="A97" s="175">
        <f>'Rumus Plafond + Atrib PP10 (2)'!O85</f>
        <v>82</v>
      </c>
      <c r="B97" s="179">
        <f ca="1">IF(A97&lt;=Simulasi!$B$11,DATE(YEAR(B96),MONTH(B96)+1,1),"")</f>
        <v>48792</v>
      </c>
      <c r="C97" s="180">
        <f ca="1">IF(A97&lt;=Simulasi!$B$11,'Rumus Plafond + Atrib PP10 (2)'!P85,"")</f>
        <v>314558146.36907405</v>
      </c>
      <c r="D97" s="180">
        <f ca="1">IFERROR('Rumus Plafond + Atrib PP10 (2)'!R85,"")</f>
        <v>2858014.2114793225</v>
      </c>
      <c r="E97" s="181">
        <f t="shared" ca="1" si="8"/>
        <v>0.5018954821868068</v>
      </c>
      <c r="F97" s="181">
        <f t="shared" ca="1" si="9"/>
        <v>0.49810451781319315</v>
      </c>
      <c r="G97" s="180">
        <f ca="1">IFERROR('Rumus Plafond + Atrib PP10 (2)'!R85,"")</f>
        <v>2858014.2114793225</v>
      </c>
      <c r="H97" s="180">
        <f ca="1">IFERROR('Rumus Plafond + Atrib PP10 (2)'!Q85,"")</f>
        <v>2836426.7885206775</v>
      </c>
      <c r="I97" s="181">
        <f t="shared" ca="1" si="10"/>
        <v>0.89873756105449731</v>
      </c>
      <c r="J97" s="181">
        <f t="shared" ca="1" si="11"/>
        <v>0.10126243894550273</v>
      </c>
      <c r="K97" s="180">
        <f ca="1">IFERROR('Rumus Plafond + Atrib PP10 (2)'!S85,"")</f>
        <v>5694441</v>
      </c>
      <c r="O97" s="182">
        <f t="shared" si="12"/>
        <v>82</v>
      </c>
      <c r="P97" s="183">
        <f t="shared" ca="1" si="12"/>
        <v>48792</v>
      </c>
      <c r="Q97" s="184">
        <f t="shared" ca="1" si="13"/>
        <v>5694441</v>
      </c>
      <c r="R97" s="185">
        <f t="shared" ca="1" si="14"/>
        <v>2858014.2114793225</v>
      </c>
      <c r="S97" s="185">
        <f t="shared" ca="1" si="14"/>
        <v>2836426.7885206775</v>
      </c>
      <c r="T97" s="185">
        <f t="shared" ca="1" si="15"/>
        <v>314558146.36907405</v>
      </c>
    </row>
    <row r="98" spans="1:20" x14ac:dyDescent="0.3">
      <c r="A98" s="175">
        <f>'Rumus Plafond + Atrib PP10 (2)'!O86</f>
        <v>83</v>
      </c>
      <c r="B98" s="179">
        <f ca="1">IF(A98&lt;=Simulasi!$B$11,DATE(YEAR(B97),MONTH(B97)+1,1),"")</f>
        <v>48823</v>
      </c>
      <c r="C98" s="180">
        <f ca="1">IF(A98&lt;=Simulasi!$B$11,'Rumus Plafond + Atrib PP10 (2)'!P86,"")</f>
        <v>311696178.66474384</v>
      </c>
      <c r="D98" s="180">
        <f ca="1">IFERROR('Rumus Plafond + Atrib PP10 (2)'!R86,"")</f>
        <v>2832473.2956698146</v>
      </c>
      <c r="E98" s="181">
        <f t="shared" ca="1" si="8"/>
        <v>0.49741024547796958</v>
      </c>
      <c r="F98" s="181">
        <f t="shared" ca="1" si="9"/>
        <v>0.50258975452203047</v>
      </c>
      <c r="G98" s="180">
        <f ca="1">IFERROR('Rumus Plafond + Atrib PP10 (2)'!R86,"")</f>
        <v>2832473.2956698146</v>
      </c>
      <c r="H98" s="180">
        <f ca="1">IFERROR('Rumus Plafond + Atrib PP10 (2)'!Q86,"")</f>
        <v>2861967.7043301854</v>
      </c>
      <c r="I98" s="181">
        <f t="shared" ca="1" si="10"/>
        <v>0.89056051047069673</v>
      </c>
      <c r="J98" s="181">
        <f t="shared" ca="1" si="11"/>
        <v>0.10943948952930331</v>
      </c>
      <c r="K98" s="180">
        <f ca="1">IFERROR('Rumus Plafond + Atrib PP10 (2)'!S86,"")</f>
        <v>5694441</v>
      </c>
      <c r="O98" s="182">
        <f t="shared" si="12"/>
        <v>83</v>
      </c>
      <c r="P98" s="183">
        <f t="shared" ca="1" si="12"/>
        <v>48823</v>
      </c>
      <c r="Q98" s="184">
        <f t="shared" ca="1" si="13"/>
        <v>5694441</v>
      </c>
      <c r="R98" s="185">
        <f t="shared" ca="1" si="14"/>
        <v>2832473.2956698146</v>
      </c>
      <c r="S98" s="185">
        <f t="shared" ca="1" si="14"/>
        <v>2861967.7043301854</v>
      </c>
      <c r="T98" s="185">
        <f t="shared" ca="1" si="15"/>
        <v>311696178.66474384</v>
      </c>
    </row>
    <row r="99" spans="1:20" x14ac:dyDescent="0.3">
      <c r="A99" s="175">
        <f>'Rumus Plafond + Atrib PP10 (2)'!O87</f>
        <v>84</v>
      </c>
      <c r="B99" s="179">
        <f ca="1">IF(A99&lt;=Simulasi!$B$11,DATE(YEAR(B98),MONTH(B98)+1,1),"")</f>
        <v>48853</v>
      </c>
      <c r="C99" s="180">
        <f ca="1">IF(A99&lt;=Simulasi!$B$11,'Rumus Plafond + Atrib PP10 (2)'!P87,"")</f>
        <v>308808440.05862916</v>
      </c>
      <c r="D99" s="180">
        <f ca="1">IFERROR('Rumus Plafond + Atrib PP10 (2)'!R87,"")</f>
        <v>2806702.3938853368</v>
      </c>
      <c r="E99" s="181">
        <f t="shared" ca="1" si="8"/>
        <v>0.49288462096373231</v>
      </c>
      <c r="F99" s="181">
        <f t="shared" ca="1" si="9"/>
        <v>0.50711537903626769</v>
      </c>
      <c r="G99" s="180">
        <f ca="1">IFERROR('Rumus Plafond + Atrib PP10 (2)'!R87,"")</f>
        <v>2806702.3938853368</v>
      </c>
      <c r="H99" s="180">
        <f ca="1">IFERROR('Rumus Plafond + Atrib PP10 (2)'!Q87,"")</f>
        <v>2887738.6061146632</v>
      </c>
      <c r="I99" s="181">
        <f t="shared" ca="1" si="10"/>
        <v>0.88230982873894048</v>
      </c>
      <c r="J99" s="181">
        <f t="shared" ca="1" si="11"/>
        <v>0.11769017126105956</v>
      </c>
      <c r="K99" s="180">
        <f ca="1">IFERROR('Rumus Plafond + Atrib PP10 (2)'!S87,"")</f>
        <v>5694441</v>
      </c>
      <c r="O99" s="182">
        <f t="shared" si="12"/>
        <v>84</v>
      </c>
      <c r="P99" s="183">
        <f t="shared" ca="1" si="12"/>
        <v>48853</v>
      </c>
      <c r="Q99" s="184">
        <f t="shared" ca="1" si="13"/>
        <v>5694441</v>
      </c>
      <c r="R99" s="185">
        <f t="shared" ca="1" si="14"/>
        <v>2806702.3938853368</v>
      </c>
      <c r="S99" s="185">
        <f t="shared" ca="1" si="14"/>
        <v>2887738.6061146632</v>
      </c>
      <c r="T99" s="185">
        <f t="shared" ca="1" si="15"/>
        <v>308808440.05862916</v>
      </c>
    </row>
    <row r="100" spans="1:20" x14ac:dyDescent="0.3">
      <c r="A100" s="175">
        <f>'Rumus Plafond + Atrib PP10 (2)'!O88</f>
        <v>85</v>
      </c>
      <c r="B100" s="179">
        <f ca="1">IF(A100&lt;=Simulasi!$B$11,DATE(YEAR(B99),MONTH(B99)+1,1),"")</f>
        <v>48884</v>
      </c>
      <c r="C100" s="180">
        <f ca="1">IF(A100&lt;=Simulasi!$B$11,'Rumus Plafond + Atrib PP10 (2)'!P88,"")</f>
        <v>305894698.49382114</v>
      </c>
      <c r="D100" s="180">
        <f ca="1">IFERROR('Rumus Plafond + Atrib PP10 (2)'!R88,"")</f>
        <v>2780699.4351919773</v>
      </c>
      <c r="E100" s="181">
        <f t="shared" ca="1" si="8"/>
        <v>0.4883182449676759</v>
      </c>
      <c r="F100" s="181">
        <f t="shared" ca="1" si="9"/>
        <v>0.51168175503232405</v>
      </c>
      <c r="G100" s="180">
        <f ca="1">IFERROR('Rumus Plafond + Atrib PP10 (2)'!R88,"")</f>
        <v>2780699.4351919773</v>
      </c>
      <c r="H100" s="180">
        <f ca="1">IFERROR('Rumus Plafond + Atrib PP10 (2)'!Q88,"")</f>
        <v>2913741.5648080227</v>
      </c>
      <c r="I100" s="181">
        <f t="shared" ca="1" si="10"/>
        <v>0.87398485283948901</v>
      </c>
      <c r="J100" s="181">
        <f t="shared" ca="1" si="11"/>
        <v>0.12601514716051102</v>
      </c>
      <c r="K100" s="180">
        <f ca="1">IFERROR('Rumus Plafond + Atrib PP10 (2)'!S88,"")</f>
        <v>5694441</v>
      </c>
      <c r="O100" s="182">
        <f t="shared" si="12"/>
        <v>85</v>
      </c>
      <c r="P100" s="183">
        <f t="shared" ca="1" si="12"/>
        <v>48884</v>
      </c>
      <c r="Q100" s="184">
        <f t="shared" ca="1" si="13"/>
        <v>5694441</v>
      </c>
      <c r="R100" s="185">
        <f t="shared" ca="1" si="14"/>
        <v>2780699.4351919773</v>
      </c>
      <c r="S100" s="185">
        <f t="shared" ca="1" si="14"/>
        <v>2913741.5648080227</v>
      </c>
      <c r="T100" s="185">
        <f t="shared" ca="1" si="15"/>
        <v>305894698.49382114</v>
      </c>
    </row>
    <row r="101" spans="1:20" x14ac:dyDescent="0.3">
      <c r="A101" s="175">
        <f>'Rumus Plafond + Atrib PP10 (2)'!O89</f>
        <v>86</v>
      </c>
      <c r="B101" s="179">
        <f ca="1">IF(A101&lt;=Simulasi!$B$11,DATE(YEAR(B100),MONTH(B100)+1,1),"")</f>
        <v>48914</v>
      </c>
      <c r="C101" s="180">
        <f ca="1">IF(A101&lt;=Simulasi!$B$11,'Rumus Plafond + Atrib PP10 (2)'!P89,"")</f>
        <v>302954719.823829</v>
      </c>
      <c r="D101" s="180">
        <f ca="1">IFERROR('Rumus Plafond + Atrib PP10 (2)'!R89,"")</f>
        <v>2754462.3300078749</v>
      </c>
      <c r="E101" s="181">
        <f t="shared" ca="1" si="8"/>
        <v>0.4837107505386174</v>
      </c>
      <c r="F101" s="181">
        <f t="shared" ca="1" si="9"/>
        <v>0.51628924946138266</v>
      </c>
      <c r="G101" s="180">
        <f ca="1">IFERROR('Rumus Plafond + Atrib PP10 (2)'!R89,"")</f>
        <v>2754462.3300078749</v>
      </c>
      <c r="H101" s="180">
        <f ca="1">IFERROR('Rumus Plafond + Atrib PP10 (2)'!Q89,"")</f>
        <v>2939978.6699921251</v>
      </c>
      <c r="I101" s="181">
        <f t="shared" ca="1" si="10"/>
        <v>0.86558491378236857</v>
      </c>
      <c r="J101" s="181">
        <f t="shared" ca="1" si="11"/>
        <v>0.13441508621763143</v>
      </c>
      <c r="K101" s="180">
        <f ca="1">IFERROR('Rumus Plafond + Atrib PP10 (2)'!S89,"")</f>
        <v>5694441</v>
      </c>
      <c r="O101" s="182">
        <f t="shared" si="12"/>
        <v>86</v>
      </c>
      <c r="P101" s="183">
        <f t="shared" ca="1" si="12"/>
        <v>48914</v>
      </c>
      <c r="Q101" s="184">
        <f t="shared" ca="1" si="13"/>
        <v>5694441</v>
      </c>
      <c r="R101" s="185">
        <f t="shared" ca="1" si="14"/>
        <v>2754462.3300078749</v>
      </c>
      <c r="S101" s="185">
        <f t="shared" ca="1" si="14"/>
        <v>2939978.6699921251</v>
      </c>
      <c r="T101" s="185">
        <f t="shared" ca="1" si="15"/>
        <v>302954719.823829</v>
      </c>
    </row>
    <row r="102" spans="1:20" x14ac:dyDescent="0.3">
      <c r="A102" s="175">
        <f>'Rumus Plafond + Atrib PP10 (2)'!O90</f>
        <v>87</v>
      </c>
      <c r="B102" s="179">
        <f ca="1">IF(A102&lt;=Simulasi!$B$11,DATE(YEAR(B101),MONTH(B101)+1,1),"")</f>
        <v>48945</v>
      </c>
      <c r="C102" s="180">
        <f ca="1">IF(A102&lt;=Simulasi!$B$11,'Rumus Plafond + Atrib PP10 (2)'!P90,"")</f>
        <v>299988267.79376429</v>
      </c>
      <c r="D102" s="180">
        <f ca="1">IFERROR('Rumus Plafond + Atrib PP10 (2)'!R90,"")</f>
        <v>2727988.9699352952</v>
      </c>
      <c r="E102" s="181">
        <f t="shared" ca="1" si="8"/>
        <v>0.47906176742112089</v>
      </c>
      <c r="F102" s="181">
        <f t="shared" ca="1" si="9"/>
        <v>0.52093823257887906</v>
      </c>
      <c r="G102" s="180">
        <f ca="1">IFERROR('Rumus Plafond + Atrib PP10 (2)'!R90,"")</f>
        <v>2727988.9699352952</v>
      </c>
      <c r="H102" s="180">
        <f ca="1">IFERROR('Rumus Plafond + Atrib PP10 (2)'!Q90,"")</f>
        <v>2966452.0300647048</v>
      </c>
      <c r="I102" s="181">
        <f t="shared" ca="1" si="10"/>
        <v>0.85710933655361221</v>
      </c>
      <c r="J102" s="181">
        <f t="shared" ca="1" si="11"/>
        <v>0.14289066344638773</v>
      </c>
      <c r="K102" s="180">
        <f ca="1">IFERROR('Rumus Plafond + Atrib PP10 (2)'!S90,"")</f>
        <v>5694441</v>
      </c>
      <c r="O102" s="182">
        <f t="shared" si="12"/>
        <v>87</v>
      </c>
      <c r="P102" s="183">
        <f t="shared" ca="1" si="12"/>
        <v>48945</v>
      </c>
      <c r="Q102" s="184">
        <f t="shared" ca="1" si="13"/>
        <v>5694441</v>
      </c>
      <c r="R102" s="185">
        <f t="shared" ca="1" si="14"/>
        <v>2727988.9699352952</v>
      </c>
      <c r="S102" s="185">
        <f t="shared" ca="1" si="14"/>
        <v>2966452.0300647048</v>
      </c>
      <c r="T102" s="185">
        <f t="shared" ca="1" si="15"/>
        <v>299988267.79376429</v>
      </c>
    </row>
    <row r="103" spans="1:20" x14ac:dyDescent="0.3">
      <c r="A103" s="175">
        <f>'Rumus Plafond + Atrib PP10 (2)'!O91</f>
        <v>88</v>
      </c>
      <c r="B103" s="179">
        <f ca="1">IF(A103&lt;=Simulasi!$B$11,DATE(YEAR(B102),MONTH(B102)+1,1),"")</f>
        <v>48976</v>
      </c>
      <c r="C103" s="180">
        <f ca="1">IF(A103&lt;=Simulasi!$B$11,'Rumus Plafond + Atrib PP10 (2)'!P91,"")</f>
        <v>296995104.02135551</v>
      </c>
      <c r="D103" s="180">
        <f ca="1">IFERROR('Rumus Plafond + Atrib PP10 (2)'!R91,"")</f>
        <v>2701277.22759121</v>
      </c>
      <c r="E103" s="181">
        <f t="shared" ca="1" si="8"/>
        <v>0.47437092202574582</v>
      </c>
      <c r="F103" s="181">
        <f t="shared" ca="1" si="9"/>
        <v>0.52562907797425418</v>
      </c>
      <c r="G103" s="180">
        <f ca="1">IFERROR('Rumus Plafond + Atrib PP10 (2)'!R91,"")</f>
        <v>2701277.22759121</v>
      </c>
      <c r="H103" s="180">
        <f ca="1">IFERROR('Rumus Plafond + Atrib PP10 (2)'!Q91,"")</f>
        <v>2993163.77240879</v>
      </c>
      <c r="I103" s="181">
        <f t="shared" ca="1" si="10"/>
        <v>0.84855744006101574</v>
      </c>
      <c r="J103" s="181">
        <f t="shared" ca="1" si="11"/>
        <v>0.15144255993898426</v>
      </c>
      <c r="K103" s="180">
        <f ca="1">IFERROR('Rumus Plafond + Atrib PP10 (2)'!S91,"")</f>
        <v>5694441</v>
      </c>
      <c r="O103" s="182">
        <f t="shared" si="12"/>
        <v>88</v>
      </c>
      <c r="P103" s="183">
        <f t="shared" ca="1" si="12"/>
        <v>48976</v>
      </c>
      <c r="Q103" s="184">
        <f t="shared" ca="1" si="13"/>
        <v>5694441</v>
      </c>
      <c r="R103" s="185">
        <f t="shared" ca="1" si="14"/>
        <v>2701277.22759121</v>
      </c>
      <c r="S103" s="185">
        <f t="shared" ca="1" si="14"/>
        <v>2993163.77240879</v>
      </c>
      <c r="T103" s="185">
        <f t="shared" ca="1" si="15"/>
        <v>296995104.02135551</v>
      </c>
    </row>
    <row r="104" spans="1:20" x14ac:dyDescent="0.3">
      <c r="A104" s="175">
        <f>'Rumus Plafond + Atrib PP10 (2)'!O92</f>
        <v>89</v>
      </c>
      <c r="B104" s="179">
        <f ca="1">IF(A104&lt;=Simulasi!$B$11,DATE(YEAR(B103),MONTH(B103)+1,1),"")</f>
        <v>49004</v>
      </c>
      <c r="C104" s="180">
        <f ca="1">IF(A104&lt;=Simulasi!$B$11,'Rumus Plafond + Atrib PP10 (2)'!P92,"")</f>
        <v>293974987.97779185</v>
      </c>
      <c r="D104" s="180">
        <f ca="1">IFERROR('Rumus Plafond + Atrib PP10 (2)'!R92,"")</f>
        <v>2674324.9564363346</v>
      </c>
      <c r="E104" s="181">
        <f t="shared" ca="1" si="8"/>
        <v>0.46963783739902382</v>
      </c>
      <c r="F104" s="181">
        <f t="shared" ca="1" si="9"/>
        <v>0.53036216260097613</v>
      </c>
      <c r="G104" s="180">
        <f ca="1">IFERROR('Rumus Plafond + Atrib PP10 (2)'!R92,"")</f>
        <v>2674324.9564363346</v>
      </c>
      <c r="H104" s="180">
        <f ca="1">IFERROR('Rumus Plafond + Atrib PP10 (2)'!Q92,"")</f>
        <v>3020116.0435636654</v>
      </c>
      <c r="I104" s="181">
        <f t="shared" ca="1" si="10"/>
        <v>0.83992853707940529</v>
      </c>
      <c r="J104" s="181">
        <f t="shared" ca="1" si="11"/>
        <v>0.16007146292059474</v>
      </c>
      <c r="K104" s="180">
        <f ca="1">IFERROR('Rumus Plafond + Atrib PP10 (2)'!S92,"")</f>
        <v>5694441</v>
      </c>
      <c r="O104" s="182">
        <f t="shared" si="12"/>
        <v>89</v>
      </c>
      <c r="P104" s="183">
        <f t="shared" ca="1" si="12"/>
        <v>49004</v>
      </c>
      <c r="Q104" s="184">
        <f t="shared" ca="1" si="13"/>
        <v>5694441</v>
      </c>
      <c r="R104" s="185">
        <f t="shared" ca="1" si="14"/>
        <v>2674324.9564363346</v>
      </c>
      <c r="S104" s="185">
        <f t="shared" ca="1" si="14"/>
        <v>3020116.0435636654</v>
      </c>
      <c r="T104" s="185">
        <f t="shared" ca="1" si="15"/>
        <v>293974987.97779185</v>
      </c>
    </row>
    <row r="105" spans="1:20" x14ac:dyDescent="0.3">
      <c r="A105" s="175">
        <f>'Rumus Plafond + Atrib PP10 (2)'!O93</f>
        <v>90</v>
      </c>
      <c r="B105" s="179">
        <f ca="1">IF(A105&lt;=Simulasi!$B$11,DATE(YEAR(B104),MONTH(B104)+1,1),"")</f>
        <v>49035</v>
      </c>
      <c r="C105" s="180">
        <f ca="1">IF(A105&lt;=Simulasi!$B$11,'Rumus Plafond + Atrib PP10 (2)'!P93,"")</f>
        <v>290927676.96839446</v>
      </c>
      <c r="D105" s="180">
        <f ca="1">IFERROR('Rumus Plafond + Atrib PP10 (2)'!R93,"")</f>
        <v>2647129.9906026376</v>
      </c>
      <c r="E105" s="181">
        <f t="shared" ca="1" si="8"/>
        <v>0.46486213319316816</v>
      </c>
      <c r="F105" s="181">
        <f t="shared" ca="1" si="9"/>
        <v>0.53513786680683184</v>
      </c>
      <c r="G105" s="180">
        <f ca="1">IFERROR('Rumus Plafond + Atrib PP10 (2)'!R93,"")</f>
        <v>2647129.9906026376</v>
      </c>
      <c r="H105" s="180">
        <f ca="1">IFERROR('Rumus Plafond + Atrib PP10 (2)'!Q93,"")</f>
        <v>3047311.0093973624</v>
      </c>
      <c r="I105" s="181">
        <f t="shared" ca="1" si="10"/>
        <v>0.83122193419541279</v>
      </c>
      <c r="J105" s="181">
        <f t="shared" ca="1" si="11"/>
        <v>0.16877806580458726</v>
      </c>
      <c r="K105" s="180">
        <f ca="1">IFERROR('Rumus Plafond + Atrib PP10 (2)'!S93,"")</f>
        <v>5694441</v>
      </c>
      <c r="O105" s="182">
        <f t="shared" si="12"/>
        <v>90</v>
      </c>
      <c r="P105" s="183">
        <f t="shared" ca="1" si="12"/>
        <v>49035</v>
      </c>
      <c r="Q105" s="184">
        <f t="shared" ca="1" si="13"/>
        <v>5694441</v>
      </c>
      <c r="R105" s="185">
        <f t="shared" ca="1" si="14"/>
        <v>2647129.9906026376</v>
      </c>
      <c r="S105" s="185">
        <f t="shared" ca="1" si="14"/>
        <v>3047311.0093973624</v>
      </c>
      <c r="T105" s="185">
        <f t="shared" ca="1" si="15"/>
        <v>290927676.96839446</v>
      </c>
    </row>
    <row r="106" spans="1:20" x14ac:dyDescent="0.3">
      <c r="A106" s="175">
        <f>'Rumus Plafond + Atrib PP10 (2)'!O94</f>
        <v>91</v>
      </c>
      <c r="B106" s="179">
        <f ca="1">IF(A106&lt;=Simulasi!$B$11,DATE(YEAR(B105),MONTH(B105)+1,1),"")</f>
        <v>49065</v>
      </c>
      <c r="C106" s="180">
        <f ca="1">IF(A106&lt;=Simulasi!$B$11,'Rumus Plafond + Atrib PP10 (2)'!P94,"")</f>
        <v>287852926.11311376</v>
      </c>
      <c r="D106" s="180">
        <f ca="1">IFERROR('Rumus Plafond + Atrib PP10 (2)'!R94,"")</f>
        <v>2619690.1447192905</v>
      </c>
      <c r="E106" s="181">
        <f t="shared" ca="1" si="8"/>
        <v>0.46004342563550848</v>
      </c>
      <c r="F106" s="181">
        <f t="shared" ca="1" si="9"/>
        <v>0.53995657436449152</v>
      </c>
      <c r="G106" s="180">
        <f ca="1">IFERROR('Rumus Plafond + Atrib PP10 (2)'!R94,"")</f>
        <v>2619690.1447192905</v>
      </c>
      <c r="H106" s="180">
        <f ca="1">IFERROR('Rumus Plafond + Atrib PP10 (2)'!Q94,"")</f>
        <v>3074750.8552807095</v>
      </c>
      <c r="I106" s="181">
        <f t="shared" ca="1" si="10"/>
        <v>0.82243693175175359</v>
      </c>
      <c r="J106" s="181">
        <f t="shared" ca="1" si="11"/>
        <v>0.17756306824824639</v>
      </c>
      <c r="K106" s="180">
        <f ca="1">IFERROR('Rumus Plafond + Atrib PP10 (2)'!S94,"")</f>
        <v>5694441</v>
      </c>
      <c r="O106" s="182">
        <f t="shared" si="12"/>
        <v>91</v>
      </c>
      <c r="P106" s="183">
        <f t="shared" ca="1" si="12"/>
        <v>49065</v>
      </c>
      <c r="Q106" s="184">
        <f t="shared" ca="1" si="13"/>
        <v>5694441</v>
      </c>
      <c r="R106" s="185">
        <f t="shared" ca="1" si="14"/>
        <v>2619690.1447192905</v>
      </c>
      <c r="S106" s="185">
        <f t="shared" ca="1" si="14"/>
        <v>3074750.8552807095</v>
      </c>
      <c r="T106" s="185">
        <f t="shared" ca="1" si="15"/>
        <v>287852926.11311376</v>
      </c>
    </row>
    <row r="107" spans="1:20" x14ac:dyDescent="0.3">
      <c r="A107" s="175">
        <f>'Rumus Plafond + Atrib PP10 (2)'!O95</f>
        <v>92</v>
      </c>
      <c r="B107" s="179">
        <f ca="1">IF(A107&lt;=Simulasi!$B$11,DATE(YEAR(B106),MONTH(B106)+1,1),"")</f>
        <v>49096</v>
      </c>
      <c r="C107" s="180">
        <f ca="1">IF(A107&lt;=Simulasi!$B$11,'Rumus Plafond + Atrib PP10 (2)'!P95,"")</f>
        <v>284750488.32685083</v>
      </c>
      <c r="D107" s="180">
        <f ca="1">IFERROR('Rumus Plafond + Atrib PP10 (2)'!R95,"")</f>
        <v>2592003.2137370552</v>
      </c>
      <c r="E107" s="181">
        <f t="shared" ca="1" si="8"/>
        <v>0.45518132749765167</v>
      </c>
      <c r="F107" s="181">
        <f t="shared" ca="1" si="9"/>
        <v>0.54481867250234828</v>
      </c>
      <c r="G107" s="180">
        <f ca="1">IFERROR('Rumus Plafond + Atrib PP10 (2)'!R95,"")</f>
        <v>2592003.2137370552</v>
      </c>
      <c r="H107" s="180">
        <f ca="1">IFERROR('Rumus Plafond + Atrib PP10 (2)'!Q95,"")</f>
        <v>3102437.7862629448</v>
      </c>
      <c r="I107" s="181">
        <f t="shared" ca="1" si="10"/>
        <v>0.81357282379100238</v>
      </c>
      <c r="J107" s="181">
        <f t="shared" ca="1" si="11"/>
        <v>0.18642717620899762</v>
      </c>
      <c r="K107" s="180">
        <f ca="1">IFERROR('Rumus Plafond + Atrib PP10 (2)'!S95,"")</f>
        <v>5694441</v>
      </c>
      <c r="O107" s="182">
        <f t="shared" si="12"/>
        <v>92</v>
      </c>
      <c r="P107" s="183">
        <f t="shared" ca="1" si="12"/>
        <v>49096</v>
      </c>
      <c r="Q107" s="184">
        <f t="shared" ca="1" si="13"/>
        <v>5694441</v>
      </c>
      <c r="R107" s="185">
        <f t="shared" ca="1" si="14"/>
        <v>2592003.2137370552</v>
      </c>
      <c r="S107" s="185">
        <f t="shared" ca="1" si="14"/>
        <v>3102437.7862629448</v>
      </c>
      <c r="T107" s="185">
        <f t="shared" ca="1" si="15"/>
        <v>284750488.32685083</v>
      </c>
    </row>
    <row r="108" spans="1:20" x14ac:dyDescent="0.3">
      <c r="A108" s="175">
        <f>'Rumus Plafond + Atrib PP10 (2)'!O96</f>
        <v>93</v>
      </c>
      <c r="B108" s="179">
        <f ca="1">IF(A108&lt;=Simulasi!$B$11,DATE(YEAR(B107),MONTH(B107)+1,1),"")</f>
        <v>49126</v>
      </c>
      <c r="C108" s="180">
        <f ca="1">IF(A108&lt;=Simulasi!$B$11,'Rumus Plafond + Atrib PP10 (2)'!P96,"")</f>
        <v>281620114.29960191</v>
      </c>
      <c r="D108" s="180">
        <f ca="1">IFERROR('Rumus Plafond + Atrib PP10 (2)'!R96,"")</f>
        <v>2564066.9727510842</v>
      </c>
      <c r="E108" s="181">
        <f t="shared" ca="1" si="8"/>
        <v>0.45027544806436387</v>
      </c>
      <c r="F108" s="181">
        <f t="shared" ca="1" si="9"/>
        <v>0.54972455193563619</v>
      </c>
      <c r="G108" s="180">
        <f ca="1">IFERROR('Rumus Plafond + Atrib PP10 (2)'!R96,"")</f>
        <v>2564066.9727510842</v>
      </c>
      <c r="H108" s="180">
        <f ca="1">IFERROR('Rumus Plafond + Atrib PP10 (2)'!Q96,"")</f>
        <v>3130374.0272489158</v>
      </c>
      <c r="I108" s="181">
        <f t="shared" ca="1" si="10"/>
        <v>0.80462889799886261</v>
      </c>
      <c r="J108" s="181">
        <f t="shared" ca="1" si="11"/>
        <v>0.19537110200113739</v>
      </c>
      <c r="K108" s="180">
        <f ca="1">IFERROR('Rumus Plafond + Atrib PP10 (2)'!S96,"")</f>
        <v>5694441</v>
      </c>
      <c r="O108" s="182">
        <f t="shared" si="12"/>
        <v>93</v>
      </c>
      <c r="P108" s="183">
        <f t="shared" ca="1" si="12"/>
        <v>49126</v>
      </c>
      <c r="Q108" s="184">
        <f t="shared" ca="1" si="13"/>
        <v>5694441</v>
      </c>
      <c r="R108" s="185">
        <f t="shared" ca="1" si="14"/>
        <v>2564066.9727510842</v>
      </c>
      <c r="S108" s="185">
        <f t="shared" ca="1" si="14"/>
        <v>3130374.0272489158</v>
      </c>
      <c r="T108" s="185">
        <f t="shared" ca="1" si="15"/>
        <v>281620114.29960191</v>
      </c>
    </row>
    <row r="109" spans="1:20" x14ac:dyDescent="0.3">
      <c r="A109" s="175">
        <f>'Rumus Plafond + Atrib PP10 (2)'!O97</f>
        <v>94</v>
      </c>
      <c r="B109" s="179">
        <f ca="1">IF(A109&lt;=Simulasi!$B$11,DATE(YEAR(B108),MONTH(B108)+1,1),"")</f>
        <v>49157</v>
      </c>
      <c r="C109" s="180">
        <f ca="1">IF(A109&lt;=Simulasi!$B$11,'Rumus Plafond + Atrib PP10 (2)'!P97,"")</f>
        <v>278461552.47642404</v>
      </c>
      <c r="D109" s="180">
        <f ca="1">IFERROR('Rumus Plafond + Atrib PP10 (2)'!R97,"")</f>
        <v>2535879.176822132</v>
      </c>
      <c r="E109" s="181">
        <f t="shared" ca="1" si="8"/>
        <v>0.44532539310217317</v>
      </c>
      <c r="F109" s="181">
        <f t="shared" ca="1" si="9"/>
        <v>0.55467460689782688</v>
      </c>
      <c r="G109" s="180">
        <f ca="1">IFERROR('Rumus Plafond + Atrib PP10 (2)'!R97,"")</f>
        <v>2535879.176822132</v>
      </c>
      <c r="H109" s="180">
        <f ca="1">IFERROR('Rumus Plafond + Atrib PP10 (2)'!Q97,"")</f>
        <v>3158561.823177868</v>
      </c>
      <c r="I109" s="181">
        <f t="shared" ca="1" si="10"/>
        <v>0.79560443564692584</v>
      </c>
      <c r="J109" s="181">
        <f t="shared" ca="1" si="11"/>
        <v>0.20439556435307418</v>
      </c>
      <c r="K109" s="180">
        <f ca="1">IFERROR('Rumus Plafond + Atrib PP10 (2)'!S97,"")</f>
        <v>5694441</v>
      </c>
      <c r="O109" s="182">
        <f t="shared" si="12"/>
        <v>94</v>
      </c>
      <c r="P109" s="183">
        <f t="shared" ca="1" si="12"/>
        <v>49157</v>
      </c>
      <c r="Q109" s="184">
        <f t="shared" ca="1" si="13"/>
        <v>5694441</v>
      </c>
      <c r="R109" s="185">
        <f t="shared" ca="1" si="14"/>
        <v>2535879.176822132</v>
      </c>
      <c r="S109" s="185">
        <f t="shared" ca="1" si="14"/>
        <v>3158561.823177868</v>
      </c>
      <c r="T109" s="185">
        <f t="shared" ca="1" si="15"/>
        <v>278461552.47642404</v>
      </c>
    </row>
    <row r="110" spans="1:20" x14ac:dyDescent="0.3">
      <c r="A110" s="175">
        <f>'Rumus Plafond + Atrib PP10 (2)'!O98</f>
        <v>95</v>
      </c>
      <c r="B110" s="179">
        <f ca="1">IF(A110&lt;=Simulasi!$B$11,DATE(YEAR(B109),MONTH(B109)+1,1),"")</f>
        <v>49188</v>
      </c>
      <c r="C110" s="180">
        <f ca="1">IF(A110&lt;=Simulasi!$B$11,'Rumus Plafond + Atrib PP10 (2)'!P98,"")</f>
        <v>275274549.03722018</v>
      </c>
      <c r="D110" s="180">
        <f ca="1">IFERROR('Rumus Plafond + Atrib PP10 (2)'!R98,"")</f>
        <v>2507437.5607961514</v>
      </c>
      <c r="E110" s="181">
        <f t="shared" ca="1" si="8"/>
        <v>0.44033076482768924</v>
      </c>
      <c r="F110" s="181">
        <f t="shared" ca="1" si="9"/>
        <v>0.55966923517231082</v>
      </c>
      <c r="G110" s="180">
        <f ca="1">IFERROR('Rumus Plafond + Atrib PP10 (2)'!R98,"")</f>
        <v>2507437.5607961514</v>
      </c>
      <c r="H110" s="180">
        <f ca="1">IFERROR('Rumus Plafond + Atrib PP10 (2)'!Q98,"")</f>
        <v>3187003.4392038486</v>
      </c>
      <c r="I110" s="181">
        <f t="shared" ca="1" si="10"/>
        <v>0.7864987115349148</v>
      </c>
      <c r="J110" s="181">
        <f t="shared" ca="1" si="11"/>
        <v>0.2135012884650852</v>
      </c>
      <c r="K110" s="180">
        <f ca="1">IFERROR('Rumus Plafond + Atrib PP10 (2)'!S98,"")</f>
        <v>5694441</v>
      </c>
      <c r="O110" s="182">
        <f t="shared" si="12"/>
        <v>95</v>
      </c>
      <c r="P110" s="183">
        <f t="shared" ca="1" si="12"/>
        <v>49188</v>
      </c>
      <c r="Q110" s="184">
        <f t="shared" ca="1" si="13"/>
        <v>5694441</v>
      </c>
      <c r="R110" s="185">
        <f t="shared" ca="1" si="14"/>
        <v>2507437.5607961514</v>
      </c>
      <c r="S110" s="185">
        <f t="shared" ca="1" si="14"/>
        <v>3187003.4392038486</v>
      </c>
      <c r="T110" s="185">
        <f t="shared" ca="1" si="15"/>
        <v>275274549.03722018</v>
      </c>
    </row>
    <row r="111" spans="1:20" x14ac:dyDescent="0.3">
      <c r="A111" s="175">
        <f>'Rumus Plafond + Atrib PP10 (2)'!O99</f>
        <v>96</v>
      </c>
      <c r="B111" s="179">
        <f ca="1">IF(A111&lt;=Simulasi!$B$11,DATE(YEAR(B110),MONTH(B110)+1,1),"")</f>
        <v>49218</v>
      </c>
      <c r="C111" s="180">
        <f ca="1">IF(A111&lt;=Simulasi!$B$11,'Rumus Plafond + Atrib PP10 (2)'!P99,"")</f>
        <v>272058847.87634248</v>
      </c>
      <c r="D111" s="180">
        <f ca="1">IFERROR('Rumus Plafond + Atrib PP10 (2)'!R99,"")</f>
        <v>2478739.8391222665</v>
      </c>
      <c r="E111" s="181">
        <f t="shared" ca="1" si="8"/>
        <v>0.43529116187563738</v>
      </c>
      <c r="F111" s="181">
        <f t="shared" ca="1" si="9"/>
        <v>0.56470883812436257</v>
      </c>
      <c r="G111" s="180">
        <f ca="1">IFERROR('Rumus Plafond + Atrib PP10 (2)'!R99,"")</f>
        <v>2478739.8391222665</v>
      </c>
      <c r="H111" s="180">
        <f ca="1">IFERROR('Rumus Plafond + Atrib PP10 (2)'!Q99,"")</f>
        <v>3215701.1608777335</v>
      </c>
      <c r="I111" s="181">
        <f t="shared" ca="1" si="10"/>
        <v>0.7773109939324071</v>
      </c>
      <c r="J111" s="181">
        <f t="shared" ca="1" si="11"/>
        <v>0.22268900606759293</v>
      </c>
      <c r="K111" s="180">
        <f ca="1">IFERROR('Rumus Plafond + Atrib PP10 (2)'!S99,"")</f>
        <v>5694441</v>
      </c>
      <c r="O111" s="182">
        <f t="shared" si="12"/>
        <v>96</v>
      </c>
      <c r="P111" s="183">
        <f t="shared" ca="1" si="12"/>
        <v>49218</v>
      </c>
      <c r="Q111" s="184">
        <f t="shared" ca="1" si="13"/>
        <v>5694441</v>
      </c>
      <c r="R111" s="185">
        <f t="shared" ca="1" si="14"/>
        <v>2478739.8391222665</v>
      </c>
      <c r="S111" s="185">
        <f t="shared" ca="1" si="14"/>
        <v>3215701.1608777335</v>
      </c>
      <c r="T111" s="185">
        <f t="shared" ca="1" si="15"/>
        <v>272058847.87634248</v>
      </c>
    </row>
    <row r="112" spans="1:20" x14ac:dyDescent="0.3">
      <c r="A112" s="175">
        <f>'Rumus Plafond + Atrib PP10 (2)'!O100</f>
        <v>97</v>
      </c>
      <c r="B112" s="179">
        <f ca="1">IF(A112&lt;=Simulasi!$B$11,DATE(YEAR(B111),MONTH(B111)+1,1),"")</f>
        <v>49249</v>
      </c>
      <c r="C112" s="180">
        <f ca="1">IF(A112&lt;=Simulasi!$B$11,'Rumus Plafond + Atrib PP10 (2)'!P100,"")</f>
        <v>268814190.58201158</v>
      </c>
      <c r="D112" s="180">
        <f ca="1">IFERROR('Rumus Plafond + Atrib PP10 (2)'!R100,"")</f>
        <v>2449783.7056691097</v>
      </c>
      <c r="E112" s="181">
        <f t="shared" ca="1" si="8"/>
        <v>0.43020617926660576</v>
      </c>
      <c r="F112" s="181">
        <f t="shared" ca="1" si="9"/>
        <v>0.56979382073339424</v>
      </c>
      <c r="G112" s="180">
        <f ca="1">IFERROR('Rumus Plafond + Atrib PP10 (2)'!R100,"")</f>
        <v>2449783.7056691097</v>
      </c>
      <c r="H112" s="180">
        <f ca="1">IFERROR('Rumus Plafond + Atrib PP10 (2)'!Q100,"")</f>
        <v>3244657.2943308903</v>
      </c>
      <c r="I112" s="181">
        <f t="shared" ca="1" si="10"/>
        <v>0.76804054452003312</v>
      </c>
      <c r="J112" s="181">
        <f t="shared" ca="1" si="11"/>
        <v>0.23195945547996691</v>
      </c>
      <c r="K112" s="180">
        <f ca="1">IFERROR('Rumus Plafond + Atrib PP10 (2)'!S100,"")</f>
        <v>5694441</v>
      </c>
      <c r="O112" s="182">
        <f t="shared" si="12"/>
        <v>97</v>
      </c>
      <c r="P112" s="183">
        <f t="shared" ca="1" si="12"/>
        <v>49249</v>
      </c>
      <c r="Q112" s="184">
        <f t="shared" ca="1" si="13"/>
        <v>5694441</v>
      </c>
      <c r="R112" s="185">
        <f t="shared" ca="1" si="14"/>
        <v>2449783.7056691097</v>
      </c>
      <c r="S112" s="185">
        <f t="shared" ca="1" si="14"/>
        <v>3244657.2943308903</v>
      </c>
      <c r="T112" s="185">
        <f t="shared" ca="1" si="15"/>
        <v>268814190.58201158</v>
      </c>
    </row>
    <row r="113" spans="1:20" x14ac:dyDescent="0.3">
      <c r="A113" s="175">
        <f>'Rumus Plafond + Atrib PP10 (2)'!O101</f>
        <v>98</v>
      </c>
      <c r="B113" s="179">
        <f ca="1">IF(A113&lt;=Simulasi!$B$11,DATE(YEAR(B112),MONTH(B112)+1,1),"")</f>
        <v>49279</v>
      </c>
      <c r="C113" s="180">
        <f ca="1">IF(A113&lt;=Simulasi!$B$11,'Rumus Plafond + Atrib PP10 (2)'!P101,"")</f>
        <v>265540316.41555107</v>
      </c>
      <c r="D113" s="180">
        <f ca="1">IFERROR('Rumus Plafond + Atrib PP10 (2)'!R101,"")</f>
        <v>2420566.8335394994</v>
      </c>
      <c r="E113" s="181">
        <f t="shared" ca="1" si="8"/>
        <v>0.42507540837450059</v>
      </c>
      <c r="F113" s="181">
        <f t="shared" ca="1" si="9"/>
        <v>0.57492459162549947</v>
      </c>
      <c r="G113" s="180">
        <f ca="1">IFERROR('Rumus Plafond + Atrib PP10 (2)'!R101,"")</f>
        <v>2420566.8335394994</v>
      </c>
      <c r="H113" s="180">
        <f ca="1">IFERROR('Rumus Plafond + Atrib PP10 (2)'!Q101,"")</f>
        <v>3273874.1664605006</v>
      </c>
      <c r="I113" s="181">
        <f t="shared" ca="1" si="10"/>
        <v>0.75868661833014595</v>
      </c>
      <c r="J113" s="181">
        <f t="shared" ca="1" si="11"/>
        <v>0.24131338166985408</v>
      </c>
      <c r="K113" s="180">
        <f ca="1">IFERROR('Rumus Plafond + Atrib PP10 (2)'!S101,"")</f>
        <v>5694441</v>
      </c>
      <c r="O113" s="182">
        <f t="shared" si="12"/>
        <v>98</v>
      </c>
      <c r="P113" s="183">
        <f t="shared" ca="1" si="12"/>
        <v>49279</v>
      </c>
      <c r="Q113" s="184">
        <f t="shared" ca="1" si="13"/>
        <v>5694441</v>
      </c>
      <c r="R113" s="185">
        <f t="shared" ca="1" si="14"/>
        <v>2420566.8335394994</v>
      </c>
      <c r="S113" s="185">
        <f t="shared" ca="1" si="14"/>
        <v>3273874.1664605006</v>
      </c>
      <c r="T113" s="185">
        <f t="shared" ca="1" si="15"/>
        <v>265540316.41555107</v>
      </c>
    </row>
    <row r="114" spans="1:20" x14ac:dyDescent="0.3">
      <c r="A114" s="175">
        <f>'Rumus Plafond + Atrib PP10 (2)'!O102</f>
        <v>99</v>
      </c>
      <c r="B114" s="179">
        <f ca="1">IF(A114&lt;=Simulasi!$B$11,DATE(YEAR(B113),MONTH(B113)+1,1),"")</f>
        <v>49310</v>
      </c>
      <c r="C114" s="180">
        <f ca="1">IF(A114&lt;=Simulasi!$B$11,'Rumus Plafond + Atrib PP10 (2)'!P102,"")</f>
        <v>262236962.29043451</v>
      </c>
      <c r="D114" s="180">
        <f ca="1">IFERROR('Rumus Plafond + Atrib PP10 (2)'!R102,"")</f>
        <v>2391086.8748834538</v>
      </c>
      <c r="E114" s="181">
        <f t="shared" ca="1" si="8"/>
        <v>0.41989843689370981</v>
      </c>
      <c r="F114" s="181">
        <f t="shared" ca="1" si="9"/>
        <v>0.58010156310629013</v>
      </c>
      <c r="G114" s="180">
        <f ca="1">IFERROR('Rumus Plafond + Atrib PP10 (2)'!R102,"")</f>
        <v>2391086.8748834538</v>
      </c>
      <c r="H114" s="180">
        <f ca="1">IFERROR('Rumus Plafond + Atrib PP10 (2)'!Q102,"")</f>
        <v>3303354.1251165462</v>
      </c>
      <c r="I114" s="181">
        <f t="shared" ca="1" si="10"/>
        <v>0.74924846368695575</v>
      </c>
      <c r="J114" s="181">
        <f t="shared" ca="1" si="11"/>
        <v>0.25075153631304425</v>
      </c>
      <c r="K114" s="180">
        <f ca="1">IFERROR('Rumus Plafond + Atrib PP10 (2)'!S102,"")</f>
        <v>5694441</v>
      </c>
      <c r="O114" s="182">
        <f t="shared" si="12"/>
        <v>99</v>
      </c>
      <c r="P114" s="183">
        <f t="shared" ca="1" si="12"/>
        <v>49310</v>
      </c>
      <c r="Q114" s="184">
        <f t="shared" ca="1" si="13"/>
        <v>5694441</v>
      </c>
      <c r="R114" s="185">
        <f t="shared" ca="1" si="14"/>
        <v>2391086.8748834538</v>
      </c>
      <c r="S114" s="185">
        <f t="shared" ca="1" si="14"/>
        <v>3303354.1251165462</v>
      </c>
      <c r="T114" s="185">
        <f t="shared" ca="1" si="15"/>
        <v>262236962.29043451</v>
      </c>
    </row>
    <row r="115" spans="1:20" x14ac:dyDescent="0.3">
      <c r="A115" s="175">
        <f>'Rumus Plafond + Atrib PP10 (2)'!O103</f>
        <v>100</v>
      </c>
      <c r="B115" s="179">
        <f ca="1">IF(A115&lt;=Simulasi!$B$11,DATE(YEAR(B114),MONTH(B114)+1,1),"")</f>
        <v>49341</v>
      </c>
      <c r="C115" s="180">
        <f ca="1">IF(A115&lt;=Simulasi!$B$11,'Rumus Plafond + Atrib PP10 (2)'!P103,"")</f>
        <v>258903862.75114402</v>
      </c>
      <c r="D115" s="180">
        <f ca="1">IFERROR('Rumus Plafond + Atrib PP10 (2)'!R103,"")</f>
        <v>2361341.4607095183</v>
      </c>
      <c r="E115" s="181">
        <f t="shared" ca="1" si="8"/>
        <v>0.41467484880597028</v>
      </c>
      <c r="F115" s="181">
        <f t="shared" ca="1" si="9"/>
        <v>0.58532515119402972</v>
      </c>
      <c r="G115" s="180">
        <f ca="1">IFERROR('Rumus Plafond + Atrib PP10 (2)'!R103,"")</f>
        <v>2361341.4607095183</v>
      </c>
      <c r="H115" s="180">
        <f ca="1">IFERROR('Rumus Plafond + Atrib PP10 (2)'!Q103,"")</f>
        <v>3333099.5392904817</v>
      </c>
      <c r="I115" s="181">
        <f t="shared" ca="1" si="10"/>
        <v>0.73972532214612574</v>
      </c>
      <c r="J115" s="181">
        <f t="shared" ca="1" si="11"/>
        <v>0.2602746778538742</v>
      </c>
      <c r="K115" s="180">
        <f ca="1">IFERROR('Rumus Plafond + Atrib PP10 (2)'!S103,"")</f>
        <v>5694441</v>
      </c>
      <c r="O115" s="182">
        <f t="shared" si="12"/>
        <v>100</v>
      </c>
      <c r="P115" s="183">
        <f t="shared" ca="1" si="12"/>
        <v>49341</v>
      </c>
      <c r="Q115" s="184">
        <f t="shared" ca="1" si="13"/>
        <v>5694441</v>
      </c>
      <c r="R115" s="185">
        <f t="shared" ca="1" si="14"/>
        <v>2361341.4607095183</v>
      </c>
      <c r="S115" s="185">
        <f t="shared" ca="1" si="14"/>
        <v>3333099.5392904817</v>
      </c>
      <c r="T115" s="185">
        <f t="shared" ca="1" si="15"/>
        <v>258903862.75114402</v>
      </c>
    </row>
    <row r="116" spans="1:20" x14ac:dyDescent="0.3">
      <c r="A116" s="175">
        <f>'Rumus Plafond + Atrib PP10 (2)'!O104</f>
        <v>101</v>
      </c>
      <c r="B116" s="179">
        <f ca="1">IF(A116&lt;=Simulasi!$B$11,DATE(YEAR(B115),MONTH(B115)+1,1),"")</f>
        <v>49369</v>
      </c>
      <c r="C116" s="180">
        <f ca="1">IF(A116&lt;=Simulasi!$B$11,'Rumus Plafond + Atrib PP10 (2)'!P104,"")</f>
        <v>255540749.95183843</v>
      </c>
      <c r="D116" s="180">
        <f ca="1">IFERROR('Rumus Plafond + Atrib PP10 (2)'!R104,"")</f>
        <v>2331328.2006943971</v>
      </c>
      <c r="E116" s="181">
        <f t="shared" ca="1" si="8"/>
        <v>0.40940422434693713</v>
      </c>
      <c r="F116" s="181">
        <f t="shared" ca="1" si="9"/>
        <v>0.59059577565306287</v>
      </c>
      <c r="G116" s="180">
        <f ca="1">IFERROR('Rumus Plafond + Atrib PP10 (2)'!R104,"")</f>
        <v>2331328.2006943971</v>
      </c>
      <c r="H116" s="180">
        <f ca="1">IFERROR('Rumus Plafond + Atrib PP10 (2)'!Q104,"")</f>
        <v>3363112.7993056029</v>
      </c>
      <c r="I116" s="181">
        <f t="shared" ca="1" si="10"/>
        <v>0.73011642843382407</v>
      </c>
      <c r="J116" s="181">
        <f t="shared" ca="1" si="11"/>
        <v>0.26988357156617593</v>
      </c>
      <c r="K116" s="180">
        <f ca="1">IFERROR('Rumus Plafond + Atrib PP10 (2)'!S104,"")</f>
        <v>5694441</v>
      </c>
      <c r="O116" s="182">
        <f t="shared" si="12"/>
        <v>101</v>
      </c>
      <c r="P116" s="183">
        <f t="shared" ca="1" si="12"/>
        <v>49369</v>
      </c>
      <c r="Q116" s="184">
        <f t="shared" ca="1" si="13"/>
        <v>5694441</v>
      </c>
      <c r="R116" s="185">
        <f t="shared" ca="1" si="14"/>
        <v>2331328.2006943971</v>
      </c>
      <c r="S116" s="185">
        <f t="shared" ca="1" si="14"/>
        <v>3363112.7993056029</v>
      </c>
      <c r="T116" s="185">
        <f t="shared" ca="1" si="15"/>
        <v>255540749.95183843</v>
      </c>
    </row>
    <row r="117" spans="1:20" x14ac:dyDescent="0.3">
      <c r="A117" s="175">
        <f>'Rumus Plafond + Atrib PP10 (2)'!O105</f>
        <v>102</v>
      </c>
      <c r="B117" s="179">
        <f ca="1">IF(A117&lt;=Simulasi!$B$11,DATE(YEAR(B116),MONTH(B116)+1,1),"")</f>
        <v>49400</v>
      </c>
      <c r="C117" s="180">
        <f ca="1">IF(A117&lt;=Simulasi!$B$11,'Rumus Plafond + Atrib PP10 (2)'!P105,"")</f>
        <v>252147353.63482928</v>
      </c>
      <c r="D117" s="180">
        <f ca="1">IFERROR('Rumus Plafond + Atrib PP10 (2)'!R105,"")</f>
        <v>2301044.6829908639</v>
      </c>
      <c r="E117" s="181">
        <f t="shared" ca="1" si="8"/>
        <v>0.40408613997245102</v>
      </c>
      <c r="F117" s="181">
        <f t="shared" ca="1" si="9"/>
        <v>0.59591386002754898</v>
      </c>
      <c r="G117" s="180">
        <f ca="1">IFERROR('Rumus Plafond + Atrib PP10 (2)'!R105,"")</f>
        <v>2301044.6829908639</v>
      </c>
      <c r="H117" s="180">
        <f ca="1">IFERROR('Rumus Plafond + Atrib PP10 (2)'!Q105,"")</f>
        <v>3393396.3170091361</v>
      </c>
      <c r="I117" s="181">
        <f t="shared" ca="1" si="10"/>
        <v>0.72042101038522655</v>
      </c>
      <c r="J117" s="181">
        <f t="shared" ca="1" si="11"/>
        <v>0.27957898961477345</v>
      </c>
      <c r="K117" s="180">
        <f ca="1">IFERROR('Rumus Plafond + Atrib PP10 (2)'!S105,"")</f>
        <v>5694441</v>
      </c>
      <c r="O117" s="182">
        <f t="shared" si="12"/>
        <v>102</v>
      </c>
      <c r="P117" s="183">
        <f t="shared" ca="1" si="12"/>
        <v>49400</v>
      </c>
      <c r="Q117" s="184">
        <f t="shared" ca="1" si="13"/>
        <v>5694441</v>
      </c>
      <c r="R117" s="185">
        <f t="shared" ca="1" si="14"/>
        <v>2301044.6829908639</v>
      </c>
      <c r="S117" s="185">
        <f t="shared" ca="1" si="14"/>
        <v>3393396.3170091361</v>
      </c>
      <c r="T117" s="185">
        <f t="shared" ca="1" si="15"/>
        <v>252147353.63482928</v>
      </c>
    </row>
    <row r="118" spans="1:20" x14ac:dyDescent="0.3">
      <c r="A118" s="175">
        <f>'Rumus Plafond + Atrib PP10 (2)'!O106</f>
        <v>103</v>
      </c>
      <c r="B118" s="179">
        <f ca="1">IF(A118&lt;=Simulasi!$B$11,DATE(YEAR(B117),MONTH(B117)+1,1),"")</f>
        <v>49430</v>
      </c>
      <c r="C118" s="180">
        <f ca="1">IF(A118&lt;=Simulasi!$B$11,'Rumus Plafond + Atrib PP10 (2)'!P106,"")</f>
        <v>248723401.10886323</v>
      </c>
      <c r="D118" s="180">
        <f ca="1">IFERROR('Rumus Plafond + Atrib PP10 (2)'!R106,"")</f>
        <v>2270488.4740339504</v>
      </c>
      <c r="E118" s="181">
        <f t="shared" ca="1" si="8"/>
        <v>0.39872016832450285</v>
      </c>
      <c r="F118" s="181">
        <f t="shared" ca="1" si="9"/>
        <v>0.60127983167549715</v>
      </c>
      <c r="G118" s="180">
        <f ca="1">IFERROR('Rumus Plafond + Atrib PP10 (2)'!R106,"")</f>
        <v>2270488.4740339504</v>
      </c>
      <c r="H118" s="180">
        <f ca="1">IFERROR('Rumus Plafond + Atrib PP10 (2)'!Q106,"")</f>
        <v>3423952.5259660496</v>
      </c>
      <c r="I118" s="181">
        <f t="shared" ca="1" si="10"/>
        <v>0.71063828888246638</v>
      </c>
      <c r="J118" s="181">
        <f t="shared" ca="1" si="11"/>
        <v>0.28936171111753362</v>
      </c>
      <c r="K118" s="180">
        <f ca="1">IFERROR('Rumus Plafond + Atrib PP10 (2)'!S106,"")</f>
        <v>5694441</v>
      </c>
      <c r="O118" s="182">
        <f t="shared" si="12"/>
        <v>103</v>
      </c>
      <c r="P118" s="183">
        <f t="shared" ca="1" si="12"/>
        <v>49430</v>
      </c>
      <c r="Q118" s="184">
        <f t="shared" ca="1" si="13"/>
        <v>5694441</v>
      </c>
      <c r="R118" s="185">
        <f t="shared" ca="1" si="14"/>
        <v>2270488.4740339504</v>
      </c>
      <c r="S118" s="185">
        <f t="shared" ca="1" si="14"/>
        <v>3423952.5259660496</v>
      </c>
      <c r="T118" s="185">
        <f t="shared" ca="1" si="15"/>
        <v>248723401.10886323</v>
      </c>
    </row>
    <row r="119" spans="1:20" x14ac:dyDescent="0.3">
      <c r="A119" s="175">
        <f>'Rumus Plafond + Atrib PP10 (2)'!O107</f>
        <v>104</v>
      </c>
      <c r="B119" s="179">
        <f ca="1">IF(A119&lt;=Simulasi!$B$11,DATE(YEAR(B118),MONTH(B118)+1,1),"")</f>
        <v>49461</v>
      </c>
      <c r="C119" s="180">
        <f ca="1">IF(A119&lt;=Simulasi!$B$11,'Rumus Plafond + Atrib PP10 (2)'!P107,"")</f>
        <v>245268617.22720861</v>
      </c>
      <c r="D119" s="180">
        <f ca="1">IFERROR('Rumus Plafond + Atrib PP10 (2)'!R107,"")</f>
        <v>2239657.1183453877</v>
      </c>
      <c r="E119" s="181">
        <f t="shared" ca="1" si="8"/>
        <v>0.393305878196892</v>
      </c>
      <c r="F119" s="181">
        <f t="shared" ca="1" si="9"/>
        <v>0.606694121803108</v>
      </c>
      <c r="G119" s="180">
        <f ca="1">IFERROR('Rumus Plafond + Atrib PP10 (2)'!R107,"")</f>
        <v>2239657.1183453877</v>
      </c>
      <c r="H119" s="180">
        <f ca="1">IFERROR('Rumus Plafond + Atrib PP10 (2)'!Q107,"")</f>
        <v>3454783.8816546123</v>
      </c>
      <c r="I119" s="181">
        <f t="shared" ca="1" si="10"/>
        <v>0.70076747779202464</v>
      </c>
      <c r="J119" s="181">
        <f t="shared" ca="1" si="11"/>
        <v>0.29923252220797536</v>
      </c>
      <c r="K119" s="180">
        <f ca="1">IFERROR('Rumus Plafond + Atrib PP10 (2)'!S107,"")</f>
        <v>5694441</v>
      </c>
      <c r="O119" s="182">
        <f t="shared" si="12"/>
        <v>104</v>
      </c>
      <c r="P119" s="183">
        <f t="shared" ca="1" si="12"/>
        <v>49461</v>
      </c>
      <c r="Q119" s="184">
        <f t="shared" ca="1" si="13"/>
        <v>5694441</v>
      </c>
      <c r="R119" s="185">
        <f t="shared" ca="1" si="14"/>
        <v>2239657.1183453877</v>
      </c>
      <c r="S119" s="185">
        <f t="shared" ca="1" si="14"/>
        <v>3454783.8816546123</v>
      </c>
      <c r="T119" s="185">
        <f t="shared" ca="1" si="15"/>
        <v>245268617.22720861</v>
      </c>
    </row>
    <row r="120" spans="1:20" x14ac:dyDescent="0.3">
      <c r="A120" s="175">
        <f>'Rumus Plafond + Atrib PP10 (2)'!O108</f>
        <v>105</v>
      </c>
      <c r="B120" s="179">
        <f ca="1">IF(A120&lt;=Simulasi!$B$11,DATE(YEAR(B119),MONTH(B119)+1,1),"")</f>
        <v>49491</v>
      </c>
      <c r="C120" s="180">
        <f ca="1">IF(A120&lt;=Simulasi!$B$11,'Rumus Plafond + Atrib PP10 (2)'!P108,"")</f>
        <v>241782724.36554489</v>
      </c>
      <c r="D120" s="180">
        <f ca="1">IFERROR('Rumus Plafond + Atrib PP10 (2)'!R108,"")</f>
        <v>2208548.1383362808</v>
      </c>
      <c r="E120" s="181">
        <f t="shared" ca="1" si="8"/>
        <v>0.38784283450057361</v>
      </c>
      <c r="F120" s="181">
        <f t="shared" ca="1" si="9"/>
        <v>0.61215716549942645</v>
      </c>
      <c r="G120" s="180">
        <f ca="1">IFERROR('Rumus Plafond + Atrib PP10 (2)'!R108,"")</f>
        <v>2208548.1383362808</v>
      </c>
      <c r="H120" s="180">
        <f ca="1">IFERROR('Rumus Plafond + Atrib PP10 (2)'!Q108,"")</f>
        <v>3485892.8616637192</v>
      </c>
      <c r="I120" s="181">
        <f t="shared" ca="1" si="10"/>
        <v>0.69080778390155684</v>
      </c>
      <c r="J120" s="181">
        <f t="shared" ca="1" si="11"/>
        <v>0.30919221609844316</v>
      </c>
      <c r="K120" s="180">
        <f ca="1">IFERROR('Rumus Plafond + Atrib PP10 (2)'!S108,"")</f>
        <v>5694441</v>
      </c>
      <c r="O120" s="182">
        <f t="shared" si="12"/>
        <v>105</v>
      </c>
      <c r="P120" s="183">
        <f t="shared" ca="1" si="12"/>
        <v>49491</v>
      </c>
      <c r="Q120" s="184">
        <f t="shared" ca="1" si="13"/>
        <v>5694441</v>
      </c>
      <c r="R120" s="185">
        <f t="shared" ca="1" si="14"/>
        <v>2208548.1383362808</v>
      </c>
      <c r="S120" s="185">
        <f t="shared" ca="1" si="14"/>
        <v>3485892.8616637192</v>
      </c>
      <c r="T120" s="185">
        <f t="shared" ca="1" si="15"/>
        <v>241782724.36554489</v>
      </c>
    </row>
    <row r="121" spans="1:20" x14ac:dyDescent="0.3">
      <c r="A121" s="175">
        <f>'Rumus Plafond + Atrib PP10 (2)'!O109</f>
        <v>106</v>
      </c>
      <c r="B121" s="179">
        <f ca="1">IF(A121&lt;=Simulasi!$B$11,DATE(YEAR(B120),MONTH(B120)+1,1),"")</f>
        <v>49522</v>
      </c>
      <c r="C121" s="180">
        <f ca="1">IF(A121&lt;=Simulasi!$B$11,'Rumus Plafond + Atrib PP10 (2)'!P109,"")</f>
        <v>238265442.3996529</v>
      </c>
      <c r="D121" s="180">
        <f ca="1">IFERROR('Rumus Plafond + Atrib PP10 (2)'!R109,"")</f>
        <v>2177159.0341080162</v>
      </c>
      <c r="E121" s="181">
        <f t="shared" ca="1" si="8"/>
        <v>0.38233059822869642</v>
      </c>
      <c r="F121" s="181">
        <f t="shared" ca="1" si="9"/>
        <v>0.61766940177130358</v>
      </c>
      <c r="G121" s="180">
        <f ca="1">IFERROR('Rumus Plafond + Atrib PP10 (2)'!R109,"")</f>
        <v>2177159.0341080162</v>
      </c>
      <c r="H121" s="180">
        <f ca="1">IFERROR('Rumus Plafond + Atrib PP10 (2)'!Q109,"")</f>
        <v>3517281.9658919838</v>
      </c>
      <c r="I121" s="181">
        <f t="shared" ca="1" si="10"/>
        <v>0.68075840685615119</v>
      </c>
      <c r="J121" s="181">
        <f t="shared" ca="1" si="11"/>
        <v>0.31924159314384887</v>
      </c>
      <c r="K121" s="180">
        <f ca="1">IFERROR('Rumus Plafond + Atrib PP10 (2)'!S109,"")</f>
        <v>5694441</v>
      </c>
      <c r="O121" s="182">
        <f t="shared" si="12"/>
        <v>106</v>
      </c>
      <c r="P121" s="183">
        <f t="shared" ca="1" si="12"/>
        <v>49522</v>
      </c>
      <c r="Q121" s="184">
        <f t="shared" ca="1" si="13"/>
        <v>5694441</v>
      </c>
      <c r="R121" s="185">
        <f t="shared" ca="1" si="14"/>
        <v>2177159.0341080162</v>
      </c>
      <c r="S121" s="185">
        <f t="shared" ca="1" si="14"/>
        <v>3517281.9658919838</v>
      </c>
      <c r="T121" s="185">
        <f t="shared" ca="1" si="15"/>
        <v>238265442.3996529</v>
      </c>
    </row>
    <row r="122" spans="1:20" x14ac:dyDescent="0.3">
      <c r="A122" s="175">
        <f>'Rumus Plafond + Atrib PP10 (2)'!O110</f>
        <v>107</v>
      </c>
      <c r="B122" s="179">
        <f ca="1">IF(A122&lt;=Simulasi!$B$11,DATE(YEAR(B121),MONTH(B121)+1,1),"")</f>
        <v>49553</v>
      </c>
      <c r="C122" s="180">
        <f ca="1">IF(A122&lt;=Simulasi!$B$11,'Rumus Plafond + Atrib PP10 (2)'!P110,"")</f>
        <v>234716488.68290427</v>
      </c>
      <c r="D122" s="180">
        <f ca="1">IFERROR('Rumus Plafond + Atrib PP10 (2)'!R110,"")</f>
        <v>2145487.2832513689</v>
      </c>
      <c r="E122" s="181">
        <f t="shared" ca="1" si="8"/>
        <v>0.3767687264213237</v>
      </c>
      <c r="F122" s="181">
        <f t="shared" ca="1" si="9"/>
        <v>0.62323127357867636</v>
      </c>
      <c r="G122" s="180">
        <f ca="1">IFERROR('Rumus Plafond + Atrib PP10 (2)'!R110,"")</f>
        <v>2145487.2832513689</v>
      </c>
      <c r="H122" s="180">
        <f ca="1">IFERROR('Rumus Plafond + Atrib PP10 (2)'!Q110,"")</f>
        <v>3548953.7167486311</v>
      </c>
      <c r="I122" s="181">
        <f t="shared" ca="1" si="10"/>
        <v>0.67061853909401226</v>
      </c>
      <c r="J122" s="181">
        <f t="shared" ca="1" si="11"/>
        <v>0.3293814609059878</v>
      </c>
      <c r="K122" s="180">
        <f ca="1">IFERROR('Rumus Plafond + Atrib PP10 (2)'!S110,"")</f>
        <v>5694441</v>
      </c>
      <c r="O122" s="182">
        <f t="shared" si="12"/>
        <v>107</v>
      </c>
      <c r="P122" s="183">
        <f t="shared" ca="1" si="12"/>
        <v>49553</v>
      </c>
      <c r="Q122" s="184">
        <f t="shared" ca="1" si="13"/>
        <v>5694441</v>
      </c>
      <c r="R122" s="185">
        <f t="shared" ca="1" si="14"/>
        <v>2145487.2832513689</v>
      </c>
      <c r="S122" s="185">
        <f t="shared" ca="1" si="14"/>
        <v>3548953.7167486311</v>
      </c>
      <c r="T122" s="185">
        <f t="shared" ca="1" si="15"/>
        <v>234716488.68290427</v>
      </c>
    </row>
    <row r="123" spans="1:20" x14ac:dyDescent="0.3">
      <c r="A123" s="175">
        <f>'Rumus Plafond + Atrib PP10 (2)'!O111</f>
        <v>108</v>
      </c>
      <c r="B123" s="179">
        <f ca="1">IF(A123&lt;=Simulasi!$B$11,DATE(YEAR(B122),MONTH(B122)+1,1),"")</f>
        <v>49583</v>
      </c>
      <c r="C123" s="180">
        <f ca="1">IF(A123&lt;=Simulasi!$B$11,'Rumus Plafond + Atrib PP10 (2)'!P111,"")</f>
        <v>231135578.02354807</v>
      </c>
      <c r="D123" s="180">
        <f ca="1">IFERROR('Rumus Plafond + Atrib PP10 (2)'!R111,"")</f>
        <v>2113530.3406438036</v>
      </c>
      <c r="E123" s="181">
        <f t="shared" ca="1" si="8"/>
        <v>0.37115677212983744</v>
      </c>
      <c r="F123" s="181">
        <f t="shared" ca="1" si="9"/>
        <v>0.62884322787016256</v>
      </c>
      <c r="G123" s="180">
        <f ca="1">IFERROR('Rumus Plafond + Atrib PP10 (2)'!R111,"")</f>
        <v>2113530.3406438036</v>
      </c>
      <c r="H123" s="180">
        <f ca="1">IFERROR('Rumus Plafond + Atrib PP10 (2)'!Q111,"")</f>
        <v>3580910.6593561964</v>
      </c>
      <c r="I123" s="181">
        <f t="shared" ca="1" si="10"/>
        <v>0.66038736578156587</v>
      </c>
      <c r="J123" s="181">
        <f t="shared" ca="1" si="11"/>
        <v>0.33961263421843407</v>
      </c>
      <c r="K123" s="180">
        <f ca="1">IFERROR('Rumus Plafond + Atrib PP10 (2)'!S111,"")</f>
        <v>5694441</v>
      </c>
      <c r="O123" s="182">
        <f t="shared" si="12"/>
        <v>108</v>
      </c>
      <c r="P123" s="183">
        <f t="shared" ca="1" si="12"/>
        <v>49583</v>
      </c>
      <c r="Q123" s="184">
        <f t="shared" ca="1" si="13"/>
        <v>5694441</v>
      </c>
      <c r="R123" s="185">
        <f t="shared" ca="1" si="14"/>
        <v>2113530.3406438036</v>
      </c>
      <c r="S123" s="185">
        <f t="shared" ca="1" si="14"/>
        <v>3580910.6593561964</v>
      </c>
      <c r="T123" s="185">
        <f t="shared" ca="1" si="15"/>
        <v>231135578.02354807</v>
      </c>
    </row>
    <row r="124" spans="1:20" x14ac:dyDescent="0.3">
      <c r="A124" s="175">
        <f>'Rumus Plafond + Atrib PP10 (2)'!O112</f>
        <v>109</v>
      </c>
      <c r="B124" s="179">
        <f ca="1">IF(A124&lt;=Simulasi!$B$11,DATE(YEAR(B123),MONTH(B123)+1,1),"")</f>
        <v>49614</v>
      </c>
      <c r="C124" s="180">
        <f ca="1">IF(A124&lt;=Simulasi!$B$11,'Rumus Plafond + Atrib PP10 (2)'!P112,"")</f>
        <v>227522422.66179302</v>
      </c>
      <c r="D124" s="180">
        <f ca="1">IFERROR('Rumus Plafond + Atrib PP10 (2)'!R112,"")</f>
        <v>2081285.63824495</v>
      </c>
      <c r="E124" s="181">
        <f t="shared" ca="1" si="8"/>
        <v>0.36549428438102177</v>
      </c>
      <c r="F124" s="181">
        <f t="shared" ca="1" si="9"/>
        <v>0.63450571561897817</v>
      </c>
      <c r="G124" s="180">
        <f ca="1">IFERROR('Rumus Plafond + Atrib PP10 (2)'!R112,"")</f>
        <v>2081285.63824495</v>
      </c>
      <c r="H124" s="180">
        <f ca="1">IFERROR('Rumus Plafond + Atrib PP10 (2)'!Q112,"")</f>
        <v>3613155.3617550498</v>
      </c>
      <c r="I124" s="181">
        <f t="shared" ca="1" si="10"/>
        <v>0.65006406474798006</v>
      </c>
      <c r="J124" s="181">
        <f t="shared" ca="1" si="11"/>
        <v>0.34993593525201994</v>
      </c>
      <c r="K124" s="180">
        <f ca="1">IFERROR('Rumus Plafond + Atrib PP10 (2)'!S112,"")</f>
        <v>5694441</v>
      </c>
      <c r="O124" s="182">
        <f t="shared" si="12"/>
        <v>109</v>
      </c>
      <c r="P124" s="183">
        <f t="shared" ca="1" si="12"/>
        <v>49614</v>
      </c>
      <c r="Q124" s="184">
        <f t="shared" ca="1" si="13"/>
        <v>5694441</v>
      </c>
      <c r="R124" s="185">
        <f t="shared" ca="1" si="14"/>
        <v>2081285.63824495</v>
      </c>
      <c r="S124" s="185">
        <f t="shared" ca="1" si="14"/>
        <v>3613155.3617550498</v>
      </c>
      <c r="T124" s="185">
        <f t="shared" ca="1" si="15"/>
        <v>227522422.66179302</v>
      </c>
    </row>
    <row r="125" spans="1:20" x14ac:dyDescent="0.3">
      <c r="A125" s="175">
        <f>'Rumus Plafond + Atrib PP10 (2)'!O113</f>
        <v>110</v>
      </c>
      <c r="B125" s="179">
        <f ca="1">IF(A125&lt;=Simulasi!$B$11,DATE(YEAR(B124),MONTH(B124)+1,1),"")</f>
        <v>49644</v>
      </c>
      <c r="C125" s="180">
        <f ca="1">IF(A125&lt;=Simulasi!$B$11,'Rumus Plafond + Atrib PP10 (2)'!P113,"")</f>
        <v>223876732.24668327</v>
      </c>
      <c r="D125" s="180">
        <f ca="1">IFERROR('Rumus Plafond + Atrib PP10 (2)'!R113,"")</f>
        <v>2048750.5848902373</v>
      </c>
      <c r="E125" s="181">
        <f t="shared" ca="1" si="8"/>
        <v>0.35978080814082319</v>
      </c>
      <c r="F125" s="181">
        <f t="shared" ca="1" si="9"/>
        <v>0.64021919185917686</v>
      </c>
      <c r="G125" s="180">
        <f ca="1">IFERROR('Rumus Plafond + Atrib PP10 (2)'!R113,"")</f>
        <v>2048750.5848902373</v>
      </c>
      <c r="H125" s="180">
        <f ca="1">IFERROR('Rumus Plafond + Atrib PP10 (2)'!Q113,"")</f>
        <v>3645690.4151097629</v>
      </c>
      <c r="I125" s="181">
        <f t="shared" ca="1" si="10"/>
        <v>0.63964780641909502</v>
      </c>
      <c r="J125" s="181">
        <f t="shared" ca="1" si="11"/>
        <v>0.36035219358090492</v>
      </c>
      <c r="K125" s="180">
        <f ca="1">IFERROR('Rumus Plafond + Atrib PP10 (2)'!S113,"")</f>
        <v>5694441</v>
      </c>
      <c r="O125" s="182">
        <f t="shared" si="12"/>
        <v>110</v>
      </c>
      <c r="P125" s="183">
        <f t="shared" ca="1" si="12"/>
        <v>49644</v>
      </c>
      <c r="Q125" s="184">
        <f t="shared" ca="1" si="13"/>
        <v>5694441</v>
      </c>
      <c r="R125" s="185">
        <f t="shared" ca="1" si="14"/>
        <v>2048750.5848902373</v>
      </c>
      <c r="S125" s="185">
        <f t="shared" ca="1" si="14"/>
        <v>3645690.4151097629</v>
      </c>
      <c r="T125" s="185">
        <f t="shared" ca="1" si="15"/>
        <v>223876732.24668327</v>
      </c>
    </row>
    <row r="126" spans="1:20" x14ac:dyDescent="0.3">
      <c r="A126" s="175">
        <f>'Rumus Plafond + Atrib PP10 (2)'!O114</f>
        <v>111</v>
      </c>
      <c r="B126" s="179">
        <f ca="1">IF(A126&lt;=Simulasi!$B$11,DATE(YEAR(B125),MONTH(B125)+1,1),"")</f>
        <v>49675</v>
      </c>
      <c r="C126" s="180">
        <f ca="1">IF(A126&lt;=Simulasi!$B$11,'Rumus Plafond + Atrib PP10 (2)'!P114,"")</f>
        <v>220198213.81276593</v>
      </c>
      <c r="D126" s="180">
        <f ca="1">IFERROR('Rumus Plafond + Atrib PP10 (2)'!R114,"")</f>
        <v>2015922.5660826692</v>
      </c>
      <c r="E126" s="181">
        <f t="shared" ca="1" si="8"/>
        <v>0.35401588427778408</v>
      </c>
      <c r="F126" s="181">
        <f t="shared" ca="1" si="9"/>
        <v>0.64598411572221581</v>
      </c>
      <c r="G126" s="180">
        <f ca="1">IFERROR('Rumus Plafond + Atrib PP10 (2)'!R114,"")</f>
        <v>2015922.5660826692</v>
      </c>
      <c r="H126" s="180">
        <f ca="1">IFERROR('Rumus Plafond + Atrib PP10 (2)'!Q114,"")</f>
        <v>3678518.4339173306</v>
      </c>
      <c r="I126" s="181">
        <f t="shared" ca="1" si="10"/>
        <v>0.62913775375075975</v>
      </c>
      <c r="J126" s="181">
        <f t="shared" ca="1" si="11"/>
        <v>0.37086224624924019</v>
      </c>
      <c r="K126" s="180">
        <f ca="1">IFERROR('Rumus Plafond + Atrib PP10 (2)'!S114,"")</f>
        <v>5694441</v>
      </c>
      <c r="O126" s="182">
        <f t="shared" si="12"/>
        <v>111</v>
      </c>
      <c r="P126" s="183">
        <f t="shared" ca="1" si="12"/>
        <v>49675</v>
      </c>
      <c r="Q126" s="184">
        <f t="shared" ca="1" si="13"/>
        <v>5694441</v>
      </c>
      <c r="R126" s="185">
        <f t="shared" ca="1" si="14"/>
        <v>2015922.5660826692</v>
      </c>
      <c r="S126" s="185">
        <f t="shared" ca="1" si="14"/>
        <v>3678518.4339173306</v>
      </c>
      <c r="T126" s="185">
        <f t="shared" ca="1" si="15"/>
        <v>220198213.81276593</v>
      </c>
    </row>
    <row r="127" spans="1:20" x14ac:dyDescent="0.3">
      <c r="A127" s="175">
        <f>'Rumus Plafond + Atrib PP10 (2)'!O115</f>
        <v>112</v>
      </c>
      <c r="B127" s="179">
        <f ca="1">IF(A127&lt;=Simulasi!$B$11,DATE(YEAR(B126),MONTH(B126)+1,1),"")</f>
        <v>49706</v>
      </c>
      <c r="C127" s="180">
        <f ca="1">IF(A127&lt;=Simulasi!$B$11,'Rumus Plafond + Atrib PP10 (2)'!P115,"")</f>
        <v>216486571.75654864</v>
      </c>
      <c r="D127" s="180">
        <f ca="1">IFERROR('Rumus Plafond + Atrib PP10 (2)'!R115,"")</f>
        <v>1982798.9437827242</v>
      </c>
      <c r="E127" s="181">
        <f t="shared" ca="1" si="8"/>
        <v>0.34819904952614739</v>
      </c>
      <c r="F127" s="181">
        <f t="shared" ca="1" si="9"/>
        <v>0.65180095047385256</v>
      </c>
      <c r="G127" s="180">
        <f ca="1">IFERROR('Rumus Plafond + Atrib PP10 (2)'!R115,"")</f>
        <v>1982798.9437827242</v>
      </c>
      <c r="H127" s="180">
        <f ca="1">IFERROR('Rumus Plafond + Atrib PP10 (2)'!Q115,"")</f>
        <v>3711642.0562172756</v>
      </c>
      <c r="I127" s="181">
        <f t="shared" ca="1" si="10"/>
        <v>0.61853306216156756</v>
      </c>
      <c r="J127" s="181">
        <f t="shared" ca="1" si="11"/>
        <v>0.38146693783843244</v>
      </c>
      <c r="K127" s="180">
        <f ca="1">IFERROR('Rumus Plafond + Atrib PP10 (2)'!S115,"")</f>
        <v>5694441</v>
      </c>
      <c r="O127" s="182">
        <f t="shared" si="12"/>
        <v>112</v>
      </c>
      <c r="P127" s="183">
        <f t="shared" ca="1" si="12"/>
        <v>49706</v>
      </c>
      <c r="Q127" s="184">
        <f t="shared" ca="1" si="13"/>
        <v>5694441</v>
      </c>
      <c r="R127" s="185">
        <f t="shared" ca="1" si="14"/>
        <v>1982798.9437827242</v>
      </c>
      <c r="S127" s="185">
        <f t="shared" ca="1" si="14"/>
        <v>3711642.0562172756</v>
      </c>
      <c r="T127" s="185">
        <f t="shared" ca="1" si="15"/>
        <v>216486571.75654864</v>
      </c>
    </row>
    <row r="128" spans="1:20" x14ac:dyDescent="0.3">
      <c r="A128" s="175">
        <f>'Rumus Plafond + Atrib PP10 (2)'!O116</f>
        <v>113</v>
      </c>
      <c r="B128" s="179">
        <f ca="1">IF(A128&lt;=Simulasi!$B$11,DATE(YEAR(B127),MONTH(B127)+1,1),"")</f>
        <v>49735</v>
      </c>
      <c r="C128" s="180">
        <f ca="1">IF(A128&lt;=Simulasi!$B$11,'Rumus Plafond + Atrib PP10 (2)'!P116,"")</f>
        <v>212741507.812745</v>
      </c>
      <c r="D128" s="180">
        <f ca="1">IFERROR('Rumus Plafond + Atrib PP10 (2)'!R116,"")</f>
        <v>1949377.0561963655</v>
      </c>
      <c r="E128" s="181">
        <f t="shared" ca="1" si="8"/>
        <v>0.34232983644862869</v>
      </c>
      <c r="F128" s="181">
        <f t="shared" ca="1" si="9"/>
        <v>0.65767016355137131</v>
      </c>
      <c r="G128" s="180">
        <f ca="1">IFERROR('Rumus Plafond + Atrib PP10 (2)'!R116,"")</f>
        <v>1949377.0561963655</v>
      </c>
      <c r="H128" s="180">
        <f ca="1">IFERROR('Rumus Plafond + Atrib PP10 (2)'!Q116,"")</f>
        <v>3745063.9438036345</v>
      </c>
      <c r="I128" s="181">
        <f t="shared" ca="1" si="10"/>
        <v>0.60783287946498576</v>
      </c>
      <c r="J128" s="181">
        <f t="shared" ca="1" si="11"/>
        <v>0.39216712053501429</v>
      </c>
      <c r="K128" s="180">
        <f ca="1">IFERROR('Rumus Plafond + Atrib PP10 (2)'!S116,"")</f>
        <v>5694441</v>
      </c>
      <c r="O128" s="182">
        <f t="shared" si="12"/>
        <v>113</v>
      </c>
      <c r="P128" s="183">
        <f t="shared" ca="1" si="12"/>
        <v>49735</v>
      </c>
      <c r="Q128" s="184">
        <f t="shared" ca="1" si="13"/>
        <v>5694441</v>
      </c>
      <c r="R128" s="185">
        <f t="shared" ca="1" si="14"/>
        <v>1949377.0561963655</v>
      </c>
      <c r="S128" s="185">
        <f t="shared" ca="1" si="14"/>
        <v>3745063.9438036345</v>
      </c>
      <c r="T128" s="185">
        <f t="shared" ca="1" si="15"/>
        <v>212741507.812745</v>
      </c>
    </row>
    <row r="129" spans="1:20" x14ac:dyDescent="0.3">
      <c r="A129" s="175">
        <f>'Rumus Plafond + Atrib PP10 (2)'!O117</f>
        <v>114</v>
      </c>
      <c r="B129" s="179">
        <f ca="1">IF(A129&lt;=Simulasi!$B$11,DATE(YEAR(B128),MONTH(B128)+1,1),"")</f>
        <v>49766</v>
      </c>
      <c r="C129" s="180">
        <f ca="1">IF(A129&lt;=Simulasi!$B$11,'Rumus Plafond + Atrib PP10 (2)'!P117,"")</f>
        <v>208962721.03030616</v>
      </c>
      <c r="D129" s="180">
        <f ca="1">IFERROR('Rumus Plafond + Atrib PP10 (2)'!R117,"")</f>
        <v>1915654.2175611409</v>
      </c>
      <c r="E129" s="181">
        <f t="shared" ca="1" si="8"/>
        <v>0.33640777339885353</v>
      </c>
      <c r="F129" s="181">
        <f t="shared" ca="1" si="9"/>
        <v>0.66359222660114647</v>
      </c>
      <c r="G129" s="180">
        <f ca="1">IFERROR('Rumus Plafond + Atrib PP10 (2)'!R117,"")</f>
        <v>1915654.2175611409</v>
      </c>
      <c r="H129" s="180">
        <f ca="1">IFERROR('Rumus Plafond + Atrib PP10 (2)'!Q117,"")</f>
        <v>3778786.7824388593</v>
      </c>
      <c r="I129" s="181">
        <f t="shared" ca="1" si="10"/>
        <v>0.59703634580087472</v>
      </c>
      <c r="J129" s="181">
        <f t="shared" ca="1" si="11"/>
        <v>0.40296365419912528</v>
      </c>
      <c r="K129" s="180">
        <f ca="1">IFERROR('Rumus Plafond + Atrib PP10 (2)'!S117,"")</f>
        <v>5694441</v>
      </c>
      <c r="O129" s="182">
        <f t="shared" si="12"/>
        <v>114</v>
      </c>
      <c r="P129" s="183">
        <f t="shared" ca="1" si="12"/>
        <v>49766</v>
      </c>
      <c r="Q129" s="184">
        <f t="shared" ca="1" si="13"/>
        <v>5694441</v>
      </c>
      <c r="R129" s="185">
        <f t="shared" ca="1" si="14"/>
        <v>1915654.2175611409</v>
      </c>
      <c r="S129" s="185">
        <f t="shared" ca="1" si="14"/>
        <v>3778786.7824388593</v>
      </c>
      <c r="T129" s="185">
        <f t="shared" ca="1" si="15"/>
        <v>208962721.03030616</v>
      </c>
    </row>
    <row r="130" spans="1:20" x14ac:dyDescent="0.3">
      <c r="A130" s="175">
        <f>'Rumus Plafond + Atrib PP10 (2)'!O118</f>
        <v>115</v>
      </c>
      <c r="B130" s="179">
        <f ca="1">IF(A130&lt;=Simulasi!$B$11,DATE(YEAR(B129),MONTH(B129)+1,1),"")</f>
        <v>49796</v>
      </c>
      <c r="C130" s="180">
        <f ca="1">IF(A130&lt;=Simulasi!$B$11,'Rumus Plafond + Atrib PP10 (2)'!P118,"")</f>
        <v>205149907.74823651</v>
      </c>
      <c r="D130" s="180">
        <f ca="1">IFERROR('Rumus Plafond + Atrib PP10 (2)'!R118,"")</f>
        <v>1881627.7179303549</v>
      </c>
      <c r="E130" s="181">
        <f t="shared" ca="1" si="8"/>
        <v>0.33043238448345585</v>
      </c>
      <c r="F130" s="181">
        <f t="shared" ca="1" si="9"/>
        <v>0.66956761551654409</v>
      </c>
      <c r="G130" s="180">
        <f ca="1">IFERROR('Rumus Plafond + Atrib PP10 (2)'!R118,"")</f>
        <v>1881627.7179303549</v>
      </c>
      <c r="H130" s="180">
        <f ca="1">IFERROR('Rumus Plafond + Atrib PP10 (2)'!Q118,"")</f>
        <v>3812813.2820696449</v>
      </c>
      <c r="I130" s="181">
        <f t="shared" ca="1" si="10"/>
        <v>0.58614259356638998</v>
      </c>
      <c r="J130" s="181">
        <f t="shared" ca="1" si="11"/>
        <v>0.41385740643360996</v>
      </c>
      <c r="K130" s="180">
        <f ca="1">IFERROR('Rumus Plafond + Atrib PP10 (2)'!S118,"")</f>
        <v>5694441</v>
      </c>
      <c r="O130" s="182">
        <f t="shared" si="12"/>
        <v>115</v>
      </c>
      <c r="P130" s="183">
        <f t="shared" ca="1" si="12"/>
        <v>49796</v>
      </c>
      <c r="Q130" s="184">
        <f t="shared" ca="1" si="13"/>
        <v>5694441</v>
      </c>
      <c r="R130" s="185">
        <f t="shared" ca="1" si="14"/>
        <v>1881627.7179303549</v>
      </c>
      <c r="S130" s="185">
        <f t="shared" ca="1" si="14"/>
        <v>3812813.2820696449</v>
      </c>
      <c r="T130" s="185">
        <f t="shared" ca="1" si="15"/>
        <v>205149907.74823651</v>
      </c>
    </row>
    <row r="131" spans="1:20" x14ac:dyDescent="0.3">
      <c r="A131" s="175">
        <f>'Rumus Plafond + Atrib PP10 (2)'!O119</f>
        <v>116</v>
      </c>
      <c r="B131" s="179">
        <f ca="1">IF(A131&lt;=Simulasi!$B$11,DATE(YEAR(B130),MONTH(B130)+1,1),"")</f>
        <v>49827</v>
      </c>
      <c r="C131" s="180">
        <f ca="1">IF(A131&lt;=Simulasi!$B$11,'Rumus Plafond + Atrib PP10 (2)'!P119,"")</f>
        <v>201302761.57119182</v>
      </c>
      <c r="D131" s="180">
        <f ca="1">IFERROR('Rumus Plafond + Atrib PP10 (2)'!R119,"")</f>
        <v>1847294.8229552994</v>
      </c>
      <c r="E131" s="181">
        <f t="shared" ca="1" si="8"/>
        <v>0.32440318952383551</v>
      </c>
      <c r="F131" s="181">
        <f t="shared" ca="1" si="9"/>
        <v>0.67559681047616449</v>
      </c>
      <c r="G131" s="180">
        <f ca="1">IFERROR('Rumus Plafond + Atrib PP10 (2)'!R119,"")</f>
        <v>1847294.8229552994</v>
      </c>
      <c r="H131" s="180">
        <f ca="1">IFERROR('Rumus Plafond + Atrib PP10 (2)'!Q119,"")</f>
        <v>3847146.1770447008</v>
      </c>
      <c r="I131" s="181">
        <f t="shared" ca="1" si="10"/>
        <v>0.57515074734626237</v>
      </c>
      <c r="J131" s="181">
        <f t="shared" ca="1" si="11"/>
        <v>0.42484925265373769</v>
      </c>
      <c r="K131" s="180">
        <f ca="1">IFERROR('Rumus Plafond + Atrib PP10 (2)'!S119,"")</f>
        <v>5694441</v>
      </c>
      <c r="O131" s="182">
        <f t="shared" si="12"/>
        <v>116</v>
      </c>
      <c r="P131" s="183">
        <f t="shared" ca="1" si="12"/>
        <v>49827</v>
      </c>
      <c r="Q131" s="184">
        <f t="shared" ca="1" si="13"/>
        <v>5694441</v>
      </c>
      <c r="R131" s="185">
        <f t="shared" ca="1" si="14"/>
        <v>1847294.8229552994</v>
      </c>
      <c r="S131" s="185">
        <f t="shared" ca="1" si="14"/>
        <v>3847146.1770447008</v>
      </c>
      <c r="T131" s="185">
        <f t="shared" ca="1" si="15"/>
        <v>201302761.57119182</v>
      </c>
    </row>
    <row r="132" spans="1:20" x14ac:dyDescent="0.3">
      <c r="A132" s="175">
        <f>'Rumus Plafond + Atrib PP10 (2)'!O120</f>
        <v>117</v>
      </c>
      <c r="B132" s="179">
        <f ca="1">IF(A132&lt;=Simulasi!$B$11,DATE(YEAR(B131),MONTH(B131)+1,1),"")</f>
        <v>49857</v>
      </c>
      <c r="C132" s="180">
        <f ca="1">IF(A132&lt;=Simulasi!$B$11,'Rumus Plafond + Atrib PP10 (2)'!P120,"")</f>
        <v>197420973.34485734</v>
      </c>
      <c r="D132" s="180">
        <f ca="1">IFERROR('Rumus Plafond + Atrib PP10 (2)'!R120,"")</f>
        <v>1812652.773665526</v>
      </c>
      <c r="E132" s="181">
        <f t="shared" ca="1" si="8"/>
        <v>0.31831970401757187</v>
      </c>
      <c r="F132" s="181">
        <f t="shared" ca="1" si="9"/>
        <v>0.68168029598242819</v>
      </c>
      <c r="G132" s="180">
        <f ca="1">IFERROR('Rumus Plafond + Atrib PP10 (2)'!R120,"")</f>
        <v>1812652.773665526</v>
      </c>
      <c r="H132" s="180">
        <f ca="1">IFERROR('Rumus Plafond + Atrib PP10 (2)'!Q120,"")</f>
        <v>3881788.226334474</v>
      </c>
      <c r="I132" s="181">
        <f t="shared" ca="1" si="10"/>
        <v>0.56405992384244952</v>
      </c>
      <c r="J132" s="181">
        <f t="shared" ca="1" si="11"/>
        <v>0.43594007615755048</v>
      </c>
      <c r="K132" s="180">
        <f ca="1">IFERROR('Rumus Plafond + Atrib PP10 (2)'!S120,"")</f>
        <v>5694441</v>
      </c>
      <c r="O132" s="182">
        <f t="shared" si="12"/>
        <v>117</v>
      </c>
      <c r="P132" s="183">
        <f t="shared" ca="1" si="12"/>
        <v>49857</v>
      </c>
      <c r="Q132" s="184">
        <f t="shared" ca="1" si="13"/>
        <v>5694441</v>
      </c>
      <c r="R132" s="185">
        <f t="shared" ca="1" si="14"/>
        <v>1812652.773665526</v>
      </c>
      <c r="S132" s="185">
        <f t="shared" ca="1" si="14"/>
        <v>3881788.226334474</v>
      </c>
      <c r="T132" s="185">
        <f t="shared" ca="1" si="15"/>
        <v>197420973.34485734</v>
      </c>
    </row>
    <row r="133" spans="1:20" x14ac:dyDescent="0.3">
      <c r="A133" s="175">
        <f>'Rumus Plafond + Atrib PP10 (2)'!O121</f>
        <v>118</v>
      </c>
      <c r="B133" s="179">
        <f ca="1">IF(A133&lt;=Simulasi!$B$11,DATE(YEAR(B132),MONTH(B132)+1,1),"")</f>
        <v>49888</v>
      </c>
      <c r="C133" s="180">
        <f ca="1">IF(A133&lt;=Simulasi!$B$11,'Rumus Plafond + Atrib PP10 (2)'!P121,"")</f>
        <v>193504231.13110447</v>
      </c>
      <c r="D133" s="180">
        <f ca="1">IFERROR('Rumus Plafond + Atrib PP10 (2)'!R121,"")</f>
        <v>1777698.7862471321</v>
      </c>
      <c r="E133" s="181">
        <f t="shared" ca="1" si="8"/>
        <v>0.31218143909948881</v>
      </c>
      <c r="F133" s="181">
        <f t="shared" ca="1" si="9"/>
        <v>0.68781856090051119</v>
      </c>
      <c r="G133" s="180">
        <f ca="1">IFERROR('Rumus Plafond + Atrib PP10 (2)'!R121,"")</f>
        <v>1777698.7862471321</v>
      </c>
      <c r="H133" s="180">
        <f ca="1">IFERROR('Rumus Plafond + Atrib PP10 (2)'!Q121,"")</f>
        <v>3916742.2137528677</v>
      </c>
      <c r="I133" s="181">
        <f t="shared" ca="1" si="10"/>
        <v>0.55286923180315561</v>
      </c>
      <c r="J133" s="181">
        <f t="shared" ca="1" si="11"/>
        <v>0.44713076819684439</v>
      </c>
      <c r="K133" s="180">
        <f ca="1">IFERROR('Rumus Plafond + Atrib PP10 (2)'!S121,"")</f>
        <v>5694441</v>
      </c>
      <c r="O133" s="182">
        <f t="shared" si="12"/>
        <v>118</v>
      </c>
      <c r="P133" s="183">
        <f t="shared" ca="1" si="12"/>
        <v>49888</v>
      </c>
      <c r="Q133" s="184">
        <f t="shared" ca="1" si="13"/>
        <v>5694441</v>
      </c>
      <c r="R133" s="185">
        <f t="shared" ca="1" si="14"/>
        <v>1777698.7862471321</v>
      </c>
      <c r="S133" s="185">
        <f t="shared" ca="1" si="14"/>
        <v>3916742.2137528677</v>
      </c>
      <c r="T133" s="185">
        <f t="shared" ca="1" si="15"/>
        <v>193504231.13110447</v>
      </c>
    </row>
    <row r="134" spans="1:20" x14ac:dyDescent="0.3">
      <c r="A134" s="175">
        <f>'Rumus Plafond + Atrib PP10 (2)'!O122</f>
        <v>119</v>
      </c>
      <c r="B134" s="179">
        <f ca="1">IF(A134&lt;=Simulasi!$B$11,DATE(YEAR(B133),MONTH(B133)+1,1),"")</f>
        <v>49919</v>
      </c>
      <c r="C134" s="180">
        <f ca="1">IF(A134&lt;=Simulasi!$B$11,'Rumus Plafond + Atrib PP10 (2)'!P122,"")</f>
        <v>189552220.18292353</v>
      </c>
      <c r="D134" s="180">
        <f ca="1">IFERROR('Rumus Plafond + Atrib PP10 (2)'!R122,"")</f>
        <v>1742430.0518190593</v>
      </c>
      <c r="E134" s="181">
        <f t="shared" ca="1" si="8"/>
        <v>0.30598790150237037</v>
      </c>
      <c r="F134" s="181">
        <f t="shared" ca="1" si="9"/>
        <v>0.69401209849762968</v>
      </c>
      <c r="G134" s="180">
        <f ca="1">IFERROR('Rumus Plafond + Atrib PP10 (2)'!R122,"")</f>
        <v>1742430.0518190593</v>
      </c>
      <c r="H134" s="180">
        <f ca="1">IFERROR('Rumus Plafond + Atrib PP10 (2)'!Q122,"")</f>
        <v>3952010.9481809409</v>
      </c>
      <c r="I134" s="181">
        <f t="shared" ca="1" si="10"/>
        <v>0.54157777195121004</v>
      </c>
      <c r="J134" s="181">
        <f t="shared" ca="1" si="11"/>
        <v>0.4584222280487899</v>
      </c>
      <c r="K134" s="180">
        <f ca="1">IFERROR('Rumus Plafond + Atrib PP10 (2)'!S122,"")</f>
        <v>5694441</v>
      </c>
      <c r="O134" s="182">
        <f t="shared" si="12"/>
        <v>119</v>
      </c>
      <c r="P134" s="183">
        <f t="shared" ca="1" si="12"/>
        <v>49919</v>
      </c>
      <c r="Q134" s="184">
        <f t="shared" ca="1" si="13"/>
        <v>5694441</v>
      </c>
      <c r="R134" s="185">
        <f t="shared" ca="1" si="14"/>
        <v>1742430.0518190593</v>
      </c>
      <c r="S134" s="185">
        <f t="shared" ca="1" si="14"/>
        <v>3952010.9481809409</v>
      </c>
      <c r="T134" s="185">
        <f t="shared" ca="1" si="15"/>
        <v>189552220.18292353</v>
      </c>
    </row>
    <row r="135" spans="1:20" x14ac:dyDescent="0.3">
      <c r="A135" s="175">
        <f>'Rumus Plafond + Atrib PP10 (2)'!O123</f>
        <v>120</v>
      </c>
      <c r="B135" s="179">
        <f ca="1">IF(A135&lt;=Simulasi!$B$11,DATE(YEAR(B134),MONTH(B134)+1,1),"")</f>
        <v>49949</v>
      </c>
      <c r="C135" s="180">
        <f ca="1">IF(A135&lt;=Simulasi!$B$11,'Rumus Plafond + Atrib PP10 (2)'!P123,"")</f>
        <v>185564622.91913089</v>
      </c>
      <c r="D135" s="180">
        <f ca="1">IFERROR('Rumus Plafond + Atrib PP10 (2)'!R123,"")</f>
        <v>1706843.7362073718</v>
      </c>
      <c r="E135" s="181">
        <f t="shared" ca="1" si="8"/>
        <v>0.29973859351732185</v>
      </c>
      <c r="F135" s="181">
        <f t="shared" ca="1" si="9"/>
        <v>0.70026140648267821</v>
      </c>
      <c r="G135" s="180">
        <f ca="1">IFERROR('Rumus Plafond + Atrib PP10 (2)'!R123,"")</f>
        <v>1706843.7362073718</v>
      </c>
      <c r="H135" s="180">
        <f ca="1">IFERROR('Rumus Plafond + Atrib PP10 (2)'!Q123,"")</f>
        <v>3987597.2637926284</v>
      </c>
      <c r="I135" s="181">
        <f t="shared" ca="1" si="10"/>
        <v>0.53018463691180251</v>
      </c>
      <c r="J135" s="181">
        <f t="shared" ca="1" si="11"/>
        <v>0.46981536308819744</v>
      </c>
      <c r="K135" s="180">
        <f ca="1">IFERROR('Rumus Plafond + Atrib PP10 (2)'!S123,"")</f>
        <v>5694441</v>
      </c>
      <c r="O135" s="182">
        <f t="shared" si="12"/>
        <v>120</v>
      </c>
      <c r="P135" s="183">
        <f t="shared" ca="1" si="12"/>
        <v>49949</v>
      </c>
      <c r="Q135" s="184">
        <f t="shared" ca="1" si="13"/>
        <v>5694441</v>
      </c>
      <c r="R135" s="185">
        <f t="shared" ca="1" si="14"/>
        <v>1706843.7362073718</v>
      </c>
      <c r="S135" s="185">
        <f t="shared" ca="1" si="14"/>
        <v>3987597.2637926284</v>
      </c>
      <c r="T135" s="185">
        <f t="shared" ca="1" si="15"/>
        <v>185564622.91913089</v>
      </c>
    </row>
    <row r="136" spans="1:20" x14ac:dyDescent="0.3">
      <c r="A136" s="175">
        <f>'Rumus Plafond + Atrib PP10 (2)'!O124</f>
        <v>121</v>
      </c>
      <c r="B136" s="179">
        <f ca="1">IF(A136&lt;=Simulasi!$B$11,DATE(YEAR(B135),MONTH(B135)+1,1),"")</f>
        <v>49980</v>
      </c>
      <c r="C136" s="180">
        <f ca="1">IF(A136&lt;=Simulasi!$B$11,'Rumus Plafond + Atrib PP10 (2)'!P124,"")</f>
        <v>183288649.2464433</v>
      </c>
      <c r="D136" s="180">
        <f ca="1">IFERROR('Rumus Plafond + Atrib PP10 (2)'!R124,"")</f>
        <v>1845903.0449868396</v>
      </c>
      <c r="E136" s="181">
        <f t="shared" ca="1" si="8"/>
        <v>0.44783072649205774</v>
      </c>
      <c r="F136" s="181">
        <f t="shared" ca="1" si="9"/>
        <v>0.5521692735079422</v>
      </c>
      <c r="G136" s="180">
        <f ca="1">IFERROR('Rumus Plafond + Atrib PP10 (2)'!R124,"")</f>
        <v>1845903.0449868396</v>
      </c>
      <c r="H136" s="180">
        <f ca="1">IFERROR('Rumus Plafond + Atrib PP10 (2)'!Q124,"")</f>
        <v>2275973.6726875929</v>
      </c>
      <c r="I136" s="181">
        <f t="shared" ca="1" si="10"/>
        <v>0.52368185498983799</v>
      </c>
      <c r="J136" s="181">
        <f t="shared" ca="1" si="11"/>
        <v>0.47631814501016201</v>
      </c>
      <c r="K136" s="180">
        <f ca="1">IFERROR('Rumus Plafond + Atrib PP10 (2)'!S124,"")</f>
        <v>4121876.7176744328</v>
      </c>
      <c r="O136" s="182">
        <f t="shared" si="12"/>
        <v>121</v>
      </c>
      <c r="P136" s="183">
        <f t="shared" ca="1" si="12"/>
        <v>49980</v>
      </c>
      <c r="Q136" s="184">
        <f t="shared" ca="1" si="13"/>
        <v>4121876.7176744328</v>
      </c>
      <c r="R136" s="185">
        <f t="shared" ca="1" si="14"/>
        <v>1845903.0449868396</v>
      </c>
      <c r="S136" s="185">
        <f t="shared" ca="1" si="14"/>
        <v>2275973.6726875929</v>
      </c>
      <c r="T136" s="185">
        <f t="shared" ca="1" si="15"/>
        <v>183288649.2464433</v>
      </c>
    </row>
    <row r="137" spans="1:20" x14ac:dyDescent="0.3">
      <c r="A137" s="175">
        <f>'Rumus Plafond + Atrib PP10 (2)'!O125</f>
        <v>122</v>
      </c>
      <c r="B137" s="179">
        <f ca="1">IF(A137&lt;=Simulasi!$B$11,DATE(YEAR(B136),MONTH(B136)+1,1),"")</f>
        <v>50010</v>
      </c>
      <c r="C137" s="180">
        <f ca="1">IF(A137&lt;=Simulasi!$B$11,'Rumus Plafond + Atrib PP10 (2)'!P125,"")</f>
        <v>180990035.33842081</v>
      </c>
      <c r="D137" s="180">
        <f ca="1">IFERROR('Rumus Plafond + Atrib PP10 (2)'!R125,"")</f>
        <v>1823262.8096519245</v>
      </c>
      <c r="E137" s="181">
        <f t="shared" ca="1" si="8"/>
        <v>0.44233802574294639</v>
      </c>
      <c r="F137" s="181">
        <f t="shared" ca="1" si="9"/>
        <v>0.55766197425705355</v>
      </c>
      <c r="G137" s="180">
        <f ca="1">IFERROR('Rumus Plafond + Atrib PP10 (2)'!R125,"")</f>
        <v>1823262.8096519245</v>
      </c>
      <c r="H137" s="180">
        <f ca="1">IFERROR('Rumus Plafond + Atrib PP10 (2)'!Q125,"")</f>
        <v>2298613.908022508</v>
      </c>
      <c r="I137" s="181">
        <f t="shared" ca="1" si="10"/>
        <v>0.51711438668120235</v>
      </c>
      <c r="J137" s="181">
        <f t="shared" ca="1" si="11"/>
        <v>0.4828856133187977</v>
      </c>
      <c r="K137" s="180">
        <f ca="1">IFERROR('Rumus Plafond + Atrib PP10 (2)'!S125,"")</f>
        <v>4121876.7176744328</v>
      </c>
      <c r="O137" s="182">
        <f t="shared" si="12"/>
        <v>122</v>
      </c>
      <c r="P137" s="183">
        <f t="shared" ca="1" si="12"/>
        <v>50010</v>
      </c>
      <c r="Q137" s="184">
        <f t="shared" ca="1" si="13"/>
        <v>4121876.7176744328</v>
      </c>
      <c r="R137" s="185">
        <f t="shared" ca="1" si="14"/>
        <v>1823262.8096519245</v>
      </c>
      <c r="S137" s="185">
        <f t="shared" ca="1" si="14"/>
        <v>2298613.908022508</v>
      </c>
      <c r="T137" s="185">
        <f t="shared" ca="1" si="15"/>
        <v>180990035.33842081</v>
      </c>
    </row>
    <row r="138" spans="1:20" x14ac:dyDescent="0.3">
      <c r="A138" s="175">
        <f>'Rumus Plafond + Atrib PP10 (2)'!O126</f>
        <v>123</v>
      </c>
      <c r="B138" s="179">
        <f ca="1">IF(A138&lt;=Simulasi!$B$11,DATE(YEAR(B137),MONTH(B137)+1,1),"")</f>
        <v>50041</v>
      </c>
      <c r="C138" s="180">
        <f ca="1">IF(A138&lt;=Simulasi!$B$11,'Rumus Plafond + Atrib PP10 (2)'!P126,"")</f>
        <v>178668555.98144946</v>
      </c>
      <c r="D138" s="180">
        <f ca="1">IFERROR('Rumus Plafond + Atrib PP10 (2)'!R126,"")</f>
        <v>1800397.3607030865</v>
      </c>
      <c r="E138" s="181">
        <f t="shared" ca="1" si="8"/>
        <v>0.43679068638396168</v>
      </c>
      <c r="F138" s="181">
        <f t="shared" ca="1" si="9"/>
        <v>0.56320931361603832</v>
      </c>
      <c r="G138" s="180">
        <f ca="1">IFERROR('Rumus Plafond + Atrib PP10 (2)'!R126,"")</f>
        <v>1800397.3607030865</v>
      </c>
      <c r="H138" s="180">
        <f ca="1">IFERROR('Rumus Plafond + Atrib PP10 (2)'!Q126,"")</f>
        <v>2321479.3569713463</v>
      </c>
      <c r="I138" s="181">
        <f t="shared" ca="1" si="10"/>
        <v>0.51048158851842707</v>
      </c>
      <c r="J138" s="181">
        <f t="shared" ca="1" si="11"/>
        <v>0.48951841148157299</v>
      </c>
      <c r="K138" s="180">
        <f ca="1">IFERROR('Rumus Plafond + Atrib PP10 (2)'!S126,"")</f>
        <v>4121876.7176744328</v>
      </c>
      <c r="O138" s="182">
        <f t="shared" si="12"/>
        <v>123</v>
      </c>
      <c r="P138" s="183">
        <f t="shared" ca="1" si="12"/>
        <v>50041</v>
      </c>
      <c r="Q138" s="184">
        <f t="shared" ca="1" si="13"/>
        <v>4121876.7176744328</v>
      </c>
      <c r="R138" s="185">
        <f t="shared" ca="1" si="14"/>
        <v>1800397.3607030865</v>
      </c>
      <c r="S138" s="185">
        <f t="shared" ca="1" si="14"/>
        <v>2321479.3569713463</v>
      </c>
      <c r="T138" s="185">
        <f t="shared" ca="1" si="15"/>
        <v>178668555.98144946</v>
      </c>
    </row>
    <row r="139" spans="1:20" x14ac:dyDescent="0.3">
      <c r="A139" s="175">
        <f>'Rumus Plafond + Atrib PP10 (2)'!O127</f>
        <v>124</v>
      </c>
      <c r="B139" s="179">
        <f ca="1">IF(A139&lt;=Simulasi!$B$11,DATE(YEAR(B138),MONTH(B138)+1,1),"")</f>
        <v>50072</v>
      </c>
      <c r="C139" s="180">
        <f ca="1">IF(A139&lt;=Simulasi!$B$11,'Rumus Plafond + Atrib PP10 (2)'!P127,"")</f>
        <v>176323983.7216042</v>
      </c>
      <c r="D139" s="180">
        <f ca="1">IFERROR('Rumus Plafond + Atrib PP10 (2)'!R127,"")</f>
        <v>1777304.4578291641</v>
      </c>
      <c r="E139" s="181">
        <f t="shared" ca="1" si="8"/>
        <v>0.4311881648978384</v>
      </c>
      <c r="F139" s="181">
        <f t="shared" ca="1" si="9"/>
        <v>0.56881183510216171</v>
      </c>
      <c r="G139" s="180">
        <f ca="1">IFERROR('Rumus Plafond + Atrib PP10 (2)'!R127,"")</f>
        <v>1777304.4578291641</v>
      </c>
      <c r="H139" s="180">
        <f ca="1">IFERROR('Rumus Plafond + Atrib PP10 (2)'!Q127,"")</f>
        <v>2344572.2598452689</v>
      </c>
      <c r="I139" s="181">
        <f t="shared" ca="1" si="10"/>
        <v>0.50378281063315489</v>
      </c>
      <c r="J139" s="181">
        <f t="shared" ca="1" si="11"/>
        <v>0.49621718936684517</v>
      </c>
      <c r="K139" s="180">
        <f ca="1">IFERROR('Rumus Plafond + Atrib PP10 (2)'!S127,"")</f>
        <v>4121876.7176744328</v>
      </c>
      <c r="O139" s="182">
        <f t="shared" si="12"/>
        <v>124</v>
      </c>
      <c r="P139" s="183">
        <f t="shared" ca="1" si="12"/>
        <v>50072</v>
      </c>
      <c r="Q139" s="184">
        <f t="shared" ca="1" si="13"/>
        <v>4121876.7176744328</v>
      </c>
      <c r="R139" s="185">
        <f t="shared" ca="1" si="14"/>
        <v>1777304.4578291641</v>
      </c>
      <c r="S139" s="185">
        <f t="shared" ca="1" si="14"/>
        <v>2344572.2598452689</v>
      </c>
      <c r="T139" s="185">
        <f t="shared" ca="1" si="15"/>
        <v>176323983.7216042</v>
      </c>
    </row>
    <row r="140" spans="1:20" x14ac:dyDescent="0.3">
      <c r="A140" s="175">
        <f>'Rumus Plafond + Atrib PP10 (2)'!O128</f>
        <v>125</v>
      </c>
      <c r="B140" s="179">
        <f ca="1">IF(A140&lt;=Simulasi!$B$11,DATE(YEAR(B139),MONTH(B139)+1,1),"")</f>
        <v>50100</v>
      </c>
      <c r="C140" s="180">
        <f ca="1">IF(A140&lt;=Simulasi!$B$11,'Rumus Plafond + Atrib PP10 (2)'!P128,"")</f>
        <v>173956088.84236327</v>
      </c>
      <c r="D140" s="180">
        <f ca="1">IFERROR('Rumus Plafond + Atrib PP10 (2)'!R128,"")</f>
        <v>1753981.838433515</v>
      </c>
      <c r="E140" s="181">
        <f t="shared" ca="1" si="8"/>
        <v>0.42552991236067667</v>
      </c>
      <c r="F140" s="181">
        <f t="shared" ca="1" si="9"/>
        <v>0.57447008763932339</v>
      </c>
      <c r="G140" s="180">
        <f ca="1">IFERROR('Rumus Plafond + Atrib PP10 (2)'!R128,"")</f>
        <v>1753981.838433515</v>
      </c>
      <c r="H140" s="180">
        <f ca="1">IFERROR('Rumus Plafond + Atrib PP10 (2)'!Q128,"")</f>
        <v>2367894.879240918</v>
      </c>
      <c r="I140" s="181">
        <f t="shared" ca="1" si="10"/>
        <v>0.49701739669246647</v>
      </c>
      <c r="J140" s="181">
        <f t="shared" ca="1" si="11"/>
        <v>0.50298260330753353</v>
      </c>
      <c r="K140" s="180">
        <f ca="1">IFERROR('Rumus Plafond + Atrib PP10 (2)'!S128,"")</f>
        <v>4121876.7176744328</v>
      </c>
      <c r="O140" s="182">
        <f t="shared" si="12"/>
        <v>125</v>
      </c>
      <c r="P140" s="183">
        <f t="shared" ca="1" si="12"/>
        <v>50100</v>
      </c>
      <c r="Q140" s="184">
        <f t="shared" ca="1" si="13"/>
        <v>4121876.7176744328</v>
      </c>
      <c r="R140" s="185">
        <f t="shared" ca="1" si="14"/>
        <v>1753981.838433515</v>
      </c>
      <c r="S140" s="185">
        <f t="shared" ca="1" si="14"/>
        <v>2367894.879240918</v>
      </c>
      <c r="T140" s="185">
        <f t="shared" ca="1" si="15"/>
        <v>173956088.84236327</v>
      </c>
    </row>
    <row r="141" spans="1:20" x14ac:dyDescent="0.3">
      <c r="A141" s="175">
        <f>'Rumus Plafond + Atrib PP10 (2)'!O129</f>
        <v>126</v>
      </c>
      <c r="B141" s="179">
        <f ca="1">IF(A141&lt;=Simulasi!$B$11,DATE(YEAR(B140),MONTH(B140)+1,1),"")</f>
        <v>50131</v>
      </c>
      <c r="C141" s="180">
        <f ca="1">IF(A141&lt;=Simulasi!$B$11,'Rumus Plafond + Atrib PP10 (2)'!P129,"")</f>
        <v>171564639.34210116</v>
      </c>
      <c r="D141" s="180">
        <f ca="1">IFERROR('Rumus Plafond + Atrib PP10 (2)'!R129,"")</f>
        <v>1730427.2174123281</v>
      </c>
      <c r="E141" s="181">
        <f t="shared" ca="1" si="8"/>
        <v>0.41981537438815902</v>
      </c>
      <c r="F141" s="181">
        <f t="shared" ca="1" si="9"/>
        <v>0.58018462561184103</v>
      </c>
      <c r="G141" s="180">
        <f ca="1">IFERROR('Rumus Plafond + Atrib PP10 (2)'!R129,"")</f>
        <v>1730427.2174123281</v>
      </c>
      <c r="H141" s="180">
        <f ca="1">IFERROR('Rumus Plafond + Atrib PP10 (2)'!Q129,"")</f>
        <v>2391449.5002621049</v>
      </c>
      <c r="I141" s="181">
        <f t="shared" ca="1" si="10"/>
        <v>0.49018468383457475</v>
      </c>
      <c r="J141" s="181">
        <f t="shared" ca="1" si="11"/>
        <v>0.5098153161654253</v>
      </c>
      <c r="K141" s="180">
        <f ca="1">IFERROR('Rumus Plafond + Atrib PP10 (2)'!S129,"")</f>
        <v>4121876.7176744328</v>
      </c>
      <c r="O141" s="182">
        <f t="shared" si="12"/>
        <v>126</v>
      </c>
      <c r="P141" s="183">
        <f t="shared" ca="1" si="12"/>
        <v>50131</v>
      </c>
      <c r="Q141" s="184">
        <f t="shared" ca="1" si="13"/>
        <v>4121876.7176744328</v>
      </c>
      <c r="R141" s="185">
        <f t="shared" ca="1" si="14"/>
        <v>1730427.2174123281</v>
      </c>
      <c r="S141" s="185">
        <f t="shared" ca="1" si="14"/>
        <v>2391449.5002621049</v>
      </c>
      <c r="T141" s="185">
        <f t="shared" ca="1" si="15"/>
        <v>171564639.34210116</v>
      </c>
    </row>
    <row r="142" spans="1:20" x14ac:dyDescent="0.3">
      <c r="A142" s="175">
        <f>'Rumus Plafond + Atrib PP10 (2)'!O130</f>
        <v>127</v>
      </c>
      <c r="B142" s="179">
        <f ca="1">IF(A142&lt;=Simulasi!$B$11,DATE(YEAR(B141),MONTH(B141)+1,1),"")</f>
        <v>50161</v>
      </c>
      <c r="C142" s="180">
        <f ca="1">IF(A142&lt;=Simulasi!$B$11,'Rumus Plafond + Atrib PP10 (2)'!P130,"")</f>
        <v>169149400.91135746</v>
      </c>
      <c r="D142" s="180">
        <f ca="1">IFERROR('Rumus Plafond + Atrib PP10 (2)'!R130,"")</f>
        <v>1706638.2869307359</v>
      </c>
      <c r="E142" s="181">
        <f t="shared" ca="1" si="8"/>
        <v>0.4140439910812333</v>
      </c>
      <c r="F142" s="181">
        <f t="shared" ca="1" si="9"/>
        <v>0.58595600891876676</v>
      </c>
      <c r="G142" s="180">
        <f ca="1">IFERROR('Rumus Plafond + Atrib PP10 (2)'!R130,"")</f>
        <v>1706638.2869307359</v>
      </c>
      <c r="H142" s="180">
        <f ca="1">IFERROR('Rumus Plafond + Atrib PP10 (2)'!Q130,"")</f>
        <v>2415238.4307436971</v>
      </c>
      <c r="I142" s="181">
        <f t="shared" ca="1" si="10"/>
        <v>0.48328400260387844</v>
      </c>
      <c r="J142" s="181">
        <f t="shared" ca="1" si="11"/>
        <v>0.51671599739612151</v>
      </c>
      <c r="K142" s="180">
        <f ca="1">IFERROR('Rumus Plafond + Atrib PP10 (2)'!S130,"")</f>
        <v>4121876.7176744328</v>
      </c>
      <c r="O142" s="182">
        <f t="shared" si="12"/>
        <v>127</v>
      </c>
      <c r="P142" s="183">
        <f t="shared" ca="1" si="12"/>
        <v>50161</v>
      </c>
      <c r="Q142" s="184">
        <f t="shared" ca="1" si="13"/>
        <v>4121876.7176744328</v>
      </c>
      <c r="R142" s="185">
        <f t="shared" ca="1" si="14"/>
        <v>1706638.2869307359</v>
      </c>
      <c r="S142" s="185">
        <f t="shared" ca="1" si="14"/>
        <v>2415238.4307436971</v>
      </c>
      <c r="T142" s="185">
        <f t="shared" ca="1" si="15"/>
        <v>169149400.91135746</v>
      </c>
    </row>
    <row r="143" spans="1:20" x14ac:dyDescent="0.3">
      <c r="A143" s="175">
        <f>'Rumus Plafond + Atrib PP10 (2)'!O131</f>
        <v>128</v>
      </c>
      <c r="B143" s="179">
        <f ca="1">IF(A143&lt;=Simulasi!$B$11,DATE(YEAR(B142),MONTH(B142)+1,1),"")</f>
        <v>50192</v>
      </c>
      <c r="C143" s="180">
        <f ca="1">IF(A143&lt;=Simulasi!$B$11,'Rumus Plafond + Atrib PP10 (2)'!P131,"")</f>
        <v>166710136.90987971</v>
      </c>
      <c r="D143" s="180">
        <f ca="1">IFERROR('Rumus Plafond + Atrib PP10 (2)'!R131,"")</f>
        <v>1682612.716196696</v>
      </c>
      <c r="E143" s="181">
        <f t="shared" ca="1" si="8"/>
        <v>0.40821519697125436</v>
      </c>
      <c r="F143" s="181">
        <f t="shared" ca="1" si="9"/>
        <v>0.5917848030287457</v>
      </c>
      <c r="G143" s="180">
        <f ca="1">IFERROR('Rumus Plafond + Atrib PP10 (2)'!R131,"")</f>
        <v>1682612.716196696</v>
      </c>
      <c r="H143" s="180">
        <f ca="1">IFERROR('Rumus Plafond + Atrib PP10 (2)'!Q131,"")</f>
        <v>2439264.001477737</v>
      </c>
      <c r="I143" s="181">
        <f t="shared" ca="1" si="10"/>
        <v>0.4763146768853706</v>
      </c>
      <c r="J143" s="181">
        <f t="shared" ca="1" si="11"/>
        <v>0.52368532311462934</v>
      </c>
      <c r="K143" s="180">
        <f ca="1">IFERROR('Rumus Plafond + Atrib PP10 (2)'!S131,"")</f>
        <v>4121876.7176744328</v>
      </c>
      <c r="O143" s="182">
        <f t="shared" si="12"/>
        <v>128</v>
      </c>
      <c r="P143" s="183">
        <f t="shared" ca="1" si="12"/>
        <v>50192</v>
      </c>
      <c r="Q143" s="184">
        <f t="shared" ca="1" si="13"/>
        <v>4121876.7176744328</v>
      </c>
      <c r="R143" s="185">
        <f t="shared" ca="1" si="14"/>
        <v>1682612.716196696</v>
      </c>
      <c r="S143" s="185">
        <f t="shared" ca="1" si="14"/>
        <v>2439264.001477737</v>
      </c>
      <c r="T143" s="185">
        <f t="shared" ca="1" si="15"/>
        <v>166710136.90987971</v>
      </c>
    </row>
    <row r="144" spans="1:20" x14ac:dyDescent="0.3">
      <c r="A144" s="175">
        <f>'Rumus Plafond + Atrib PP10 (2)'!O132</f>
        <v>129</v>
      </c>
      <c r="B144" s="179">
        <f ca="1">IF(A144&lt;=Simulasi!$B$11,DATE(YEAR(B143),MONTH(B143)+1,1),"")</f>
        <v>50222</v>
      </c>
      <c r="C144" s="180">
        <f ca="1">IF(A144&lt;=Simulasi!$B$11,'Rumus Plafond + Atrib PP10 (2)'!P132,"")</f>
        <v>164246608.34343791</v>
      </c>
      <c r="D144" s="180">
        <f ca="1">IFERROR('Rumus Plafond + Atrib PP10 (2)'!R132,"")</f>
        <v>1658348.1512326251</v>
      </c>
      <c r="E144" s="181">
        <f t="shared" ca="1" si="8"/>
        <v>0.40232842096458116</v>
      </c>
      <c r="F144" s="181">
        <f t="shared" ca="1" si="9"/>
        <v>0.5976715790354189</v>
      </c>
      <c r="G144" s="180">
        <f ca="1">IFERROR('Rumus Plafond + Atrib PP10 (2)'!R132,"")</f>
        <v>1658348.1512326251</v>
      </c>
      <c r="H144" s="180">
        <f ca="1">IFERROR('Rumus Plafond + Atrib PP10 (2)'!Q132,"")</f>
        <v>2463528.5664418079</v>
      </c>
      <c r="I144" s="181">
        <f t="shared" ca="1" si="10"/>
        <v>0.46927602383839401</v>
      </c>
      <c r="J144" s="181">
        <f t="shared" ca="1" si="11"/>
        <v>0.53072397616160594</v>
      </c>
      <c r="K144" s="180">
        <f ca="1">IFERROR('Rumus Plafond + Atrib PP10 (2)'!S132,"")</f>
        <v>4121876.7176744328</v>
      </c>
      <c r="O144" s="182">
        <f t="shared" si="12"/>
        <v>129</v>
      </c>
      <c r="P144" s="183">
        <f t="shared" ca="1" si="12"/>
        <v>50222</v>
      </c>
      <c r="Q144" s="184">
        <f t="shared" ca="1" si="13"/>
        <v>4121876.7176744328</v>
      </c>
      <c r="R144" s="185">
        <f t="shared" ca="1" si="14"/>
        <v>1658348.1512326251</v>
      </c>
      <c r="S144" s="185">
        <f t="shared" ca="1" si="14"/>
        <v>2463528.5664418079</v>
      </c>
      <c r="T144" s="185">
        <f t="shared" ca="1" si="15"/>
        <v>164246608.34343791</v>
      </c>
    </row>
    <row r="145" spans="1:20" x14ac:dyDescent="0.3">
      <c r="A145" s="175">
        <f>'Rumus Plafond + Atrib PP10 (2)'!O133</f>
        <v>130</v>
      </c>
      <c r="B145" s="179">
        <f ca="1">IF(A145&lt;=Simulasi!$B$11,DATE(YEAR(B144),MONTH(B144)+1,1),"")</f>
        <v>50253</v>
      </c>
      <c r="C145" s="180">
        <f ca="1">IF(A145&lt;=Simulasi!$B$11,'Rumus Plafond + Atrib PP10 (2)'!P133,"")</f>
        <v>161758573.84040824</v>
      </c>
      <c r="D145" s="180">
        <f ca="1">IFERROR('Rumus Plafond + Atrib PP10 (2)'!R133,"")</f>
        <v>1633842.2146447618</v>
      </c>
      <c r="E145" s="181">
        <f t="shared" ref="E145:E195" ca="1" si="16">IFERROR(G145/K145,"")</f>
        <v>0.39638308628662172</v>
      </c>
      <c r="F145" s="181">
        <f t="shared" ref="F145:F195" ca="1" si="17">IFERROR(H145/K145,"")</f>
        <v>0.60361691371337833</v>
      </c>
      <c r="G145" s="180">
        <f ca="1">IFERROR('Rumus Plafond + Atrib PP10 (2)'!R133,"")</f>
        <v>1633842.2146447618</v>
      </c>
      <c r="H145" s="180">
        <f ca="1">IFERROR('Rumus Plafond + Atrib PP10 (2)'!Q133,"")</f>
        <v>2488034.503029671</v>
      </c>
      <c r="I145" s="181">
        <f t="shared" ref="I145:I195" ca="1" si="18">IFERROR(C145/$D$7,"")</f>
        <v>0.46216735382973784</v>
      </c>
      <c r="J145" s="181">
        <f t="shared" ref="J145:J195" ca="1" si="19">IFERROR(($D$7-C145)/$D$7,"")</f>
        <v>0.53783264617026216</v>
      </c>
      <c r="K145" s="180">
        <f ca="1">IFERROR('Rumus Plafond + Atrib PP10 (2)'!S133,"")</f>
        <v>4121876.7176744328</v>
      </c>
      <c r="O145" s="182">
        <f t="shared" ref="O145:P195" si="20">A145</f>
        <v>130</v>
      </c>
      <c r="P145" s="183">
        <f t="shared" ca="1" si="20"/>
        <v>50253</v>
      </c>
      <c r="Q145" s="184">
        <f t="shared" ref="Q145:Q195" ca="1" si="21">K145</f>
        <v>4121876.7176744328</v>
      </c>
      <c r="R145" s="185">
        <f t="shared" ref="R145:S195" ca="1" si="22">G145</f>
        <v>1633842.2146447618</v>
      </c>
      <c r="S145" s="185">
        <f t="shared" ca="1" si="22"/>
        <v>2488034.503029671</v>
      </c>
      <c r="T145" s="185">
        <f t="shared" ref="T145:T195" ca="1" si="23">C145</f>
        <v>161758573.84040824</v>
      </c>
    </row>
    <row r="146" spans="1:20" x14ac:dyDescent="0.3">
      <c r="A146" s="175">
        <f>'Rumus Plafond + Atrib PP10 (2)'!O134</f>
        <v>131</v>
      </c>
      <c r="B146" s="179">
        <f ca="1">IF(A146&lt;=Simulasi!$B$11,DATE(YEAR(B145),MONTH(B145)+1,1),"")</f>
        <v>50284</v>
      </c>
      <c r="C146" s="180">
        <f ca="1">IF(A146&lt;=Simulasi!$B$11,'Rumus Plafond + Atrib PP10 (2)'!P134,"")</f>
        <v>159245789.62812403</v>
      </c>
      <c r="D146" s="180">
        <f ca="1">IFERROR('Rumus Plafond + Atrib PP10 (2)'!R134,"")</f>
        <v>1609092.5053902327</v>
      </c>
      <c r="E146" s="181">
        <f t="shared" ca="1" si="16"/>
        <v>0.39037861042532207</v>
      </c>
      <c r="F146" s="181">
        <f t="shared" ca="1" si="17"/>
        <v>0.60962138957467782</v>
      </c>
      <c r="G146" s="180">
        <f ca="1">IFERROR('Rumus Plafond + Atrib PP10 (2)'!R134,"")</f>
        <v>1609092.5053902327</v>
      </c>
      <c r="H146" s="180">
        <f ca="1">IFERROR('Rumus Plafond + Atrib PP10 (2)'!Q134,"")</f>
        <v>2512784.2122841999</v>
      </c>
      <c r="I146" s="181">
        <f t="shared" ca="1" si="18"/>
        <v>0.45498797036606864</v>
      </c>
      <c r="J146" s="181">
        <f t="shared" ca="1" si="19"/>
        <v>0.54501202963393136</v>
      </c>
      <c r="K146" s="180">
        <f ca="1">IFERROR('Rumus Plafond + Atrib PP10 (2)'!S134,"")</f>
        <v>4121876.7176744328</v>
      </c>
      <c r="O146" s="182">
        <f t="shared" si="20"/>
        <v>131</v>
      </c>
      <c r="P146" s="183">
        <f t="shared" ca="1" si="20"/>
        <v>50284</v>
      </c>
      <c r="Q146" s="184">
        <f t="shared" ca="1" si="21"/>
        <v>4121876.7176744328</v>
      </c>
      <c r="R146" s="185">
        <f t="shared" ca="1" si="22"/>
        <v>1609092.5053902327</v>
      </c>
      <c r="S146" s="185">
        <f t="shared" ca="1" si="22"/>
        <v>2512784.2122841999</v>
      </c>
      <c r="T146" s="185">
        <f t="shared" ca="1" si="23"/>
        <v>159245789.62812403</v>
      </c>
    </row>
    <row r="147" spans="1:20" x14ac:dyDescent="0.3">
      <c r="A147" s="175">
        <f>'Rumus Plafond + Atrib PP10 (2)'!O135</f>
        <v>132</v>
      </c>
      <c r="B147" s="179">
        <f ca="1">IF(A147&lt;=Simulasi!$B$11,DATE(YEAR(B146),MONTH(B146)+1,1),"")</f>
        <v>50314</v>
      </c>
      <c r="C147" s="180">
        <f ca="1">IF(A147&lt;=Simulasi!$B$11,'Rumus Plafond + Atrib PP10 (2)'!P135,"")</f>
        <v>156708009.50899139</v>
      </c>
      <c r="D147" s="180">
        <f ca="1">IFERROR('Rumus Plafond + Atrib PP10 (2)'!R135,"")</f>
        <v>1584096.5985418046</v>
      </c>
      <c r="E147" s="181">
        <f t="shared" ca="1" si="16"/>
        <v>0.38431440507409292</v>
      </c>
      <c r="F147" s="181">
        <f t="shared" ca="1" si="17"/>
        <v>0.61568559492590702</v>
      </c>
      <c r="G147" s="180">
        <f ca="1">IFERROR('Rumus Plafond + Atrib PP10 (2)'!R135,"")</f>
        <v>1584096.5985418046</v>
      </c>
      <c r="H147" s="180">
        <f ca="1">IFERROR('Rumus Plafond + Atrib PP10 (2)'!Q135,"")</f>
        <v>2537780.1191326282</v>
      </c>
      <c r="I147" s="181">
        <f t="shared" ca="1" si="18"/>
        <v>0.44773717002568969</v>
      </c>
      <c r="J147" s="181">
        <f t="shared" ca="1" si="19"/>
        <v>0.55226282997431031</v>
      </c>
      <c r="K147" s="180">
        <f ca="1">IFERROR('Rumus Plafond + Atrib PP10 (2)'!S135,"")</f>
        <v>4121876.7176744328</v>
      </c>
      <c r="O147" s="182">
        <f t="shared" si="20"/>
        <v>132</v>
      </c>
      <c r="P147" s="183">
        <f t="shared" ca="1" si="20"/>
        <v>50314</v>
      </c>
      <c r="Q147" s="184">
        <f t="shared" ca="1" si="21"/>
        <v>4121876.7176744328</v>
      </c>
      <c r="R147" s="185">
        <f t="shared" ca="1" si="22"/>
        <v>1584096.5985418046</v>
      </c>
      <c r="S147" s="185">
        <f t="shared" ca="1" si="22"/>
        <v>2537780.1191326282</v>
      </c>
      <c r="T147" s="185">
        <f t="shared" ca="1" si="23"/>
        <v>156708009.50899139</v>
      </c>
    </row>
    <row r="148" spans="1:20" x14ac:dyDescent="0.3">
      <c r="A148" s="175">
        <f>'Rumus Plafond + Atrib PP10 (2)'!O136</f>
        <v>133</v>
      </c>
      <c r="B148" s="179">
        <f ca="1">IF(A148&lt;=Simulasi!$B$11,DATE(YEAR(B147),MONTH(B147)+1,1),"")</f>
        <v>50345</v>
      </c>
      <c r="C148" s="180">
        <f ca="1">IF(A148&lt;=Simulasi!$B$11,'Rumus Plafond + Atrib PP10 (2)'!P136,"")</f>
        <v>154144984.83636725</v>
      </c>
      <c r="D148" s="180">
        <f ca="1">IFERROR('Rumus Plafond + Atrib PP10 (2)'!R136,"")</f>
        <v>1558852.0450502941</v>
      </c>
      <c r="E148" s="181">
        <f t="shared" ca="1" si="16"/>
        <v>0.37818987607416849</v>
      </c>
      <c r="F148" s="181">
        <f t="shared" ca="1" si="17"/>
        <v>0.62181012392583146</v>
      </c>
      <c r="G148" s="180">
        <f ca="1">IFERROR('Rumus Plafond + Atrib PP10 (2)'!R136,"")</f>
        <v>1558852.0450502941</v>
      </c>
      <c r="H148" s="180">
        <f ca="1">IFERROR('Rumus Plafond + Atrib PP10 (2)'!Q136,"")</f>
        <v>2563024.6726241386</v>
      </c>
      <c r="I148" s="181">
        <f t="shared" ca="1" si="18"/>
        <v>0.44041424238962074</v>
      </c>
      <c r="J148" s="181">
        <f t="shared" ca="1" si="19"/>
        <v>0.55958575761037932</v>
      </c>
      <c r="K148" s="180">
        <f ca="1">IFERROR('Rumus Plafond + Atrib PP10 (2)'!S136,"")</f>
        <v>4121876.7176744328</v>
      </c>
      <c r="O148" s="182">
        <f t="shared" si="20"/>
        <v>133</v>
      </c>
      <c r="P148" s="183">
        <f t="shared" ca="1" si="20"/>
        <v>50345</v>
      </c>
      <c r="Q148" s="184">
        <f t="shared" ca="1" si="21"/>
        <v>4121876.7176744328</v>
      </c>
      <c r="R148" s="185">
        <f t="shared" ca="1" si="22"/>
        <v>1558852.0450502941</v>
      </c>
      <c r="S148" s="185">
        <f t="shared" ca="1" si="22"/>
        <v>2563024.6726241386</v>
      </c>
      <c r="T148" s="185">
        <f t="shared" ca="1" si="23"/>
        <v>154144984.83636725</v>
      </c>
    </row>
    <row r="149" spans="1:20" x14ac:dyDescent="0.3">
      <c r="A149" s="175">
        <f>'Rumus Plafond + Atrib PP10 (2)'!O137</f>
        <v>134</v>
      </c>
      <c r="B149" s="179">
        <f ca="1">IF(A149&lt;=Simulasi!$B$11,DATE(YEAR(B148),MONTH(B148)+1,1),"")</f>
        <v>50375</v>
      </c>
      <c r="C149" s="180">
        <f ca="1">IF(A149&lt;=Simulasi!$B$11,'Rumus Plafond + Atrib PP10 (2)'!P137,"")</f>
        <v>151556464.49019742</v>
      </c>
      <c r="D149" s="180">
        <f ca="1">IFERROR('Rumus Plafond + Atrib PP10 (2)'!R137,"")</f>
        <v>1533356.3715046144</v>
      </c>
      <c r="E149" s="181">
        <f t="shared" ca="1" si="16"/>
        <v>0.37200442335639183</v>
      </c>
      <c r="F149" s="181">
        <f t="shared" ca="1" si="17"/>
        <v>0.62799557664360817</v>
      </c>
      <c r="G149" s="180">
        <f ca="1">IFERROR('Rumus Plafond + Atrib PP10 (2)'!R137,"")</f>
        <v>1533356.3715046144</v>
      </c>
      <c r="H149" s="180">
        <f ca="1">IFERROR('Rumus Plafond + Atrib PP10 (2)'!Q137,"")</f>
        <v>2588520.3461698182</v>
      </c>
      <c r="I149" s="181">
        <f t="shared" ca="1" si="18"/>
        <v>0.43301846997199261</v>
      </c>
      <c r="J149" s="181">
        <f t="shared" ca="1" si="19"/>
        <v>0.56698153002800733</v>
      </c>
      <c r="K149" s="180">
        <f ca="1">IFERROR('Rumus Plafond + Atrib PP10 (2)'!S137,"")</f>
        <v>4121876.7176744328</v>
      </c>
      <c r="O149" s="182">
        <f t="shared" si="20"/>
        <v>134</v>
      </c>
      <c r="P149" s="183">
        <f t="shared" ca="1" si="20"/>
        <v>50375</v>
      </c>
      <c r="Q149" s="184">
        <f t="shared" ca="1" si="21"/>
        <v>4121876.7176744328</v>
      </c>
      <c r="R149" s="185">
        <f t="shared" ca="1" si="22"/>
        <v>1533356.3715046144</v>
      </c>
      <c r="S149" s="185">
        <f t="shared" ca="1" si="22"/>
        <v>2588520.3461698182</v>
      </c>
      <c r="T149" s="185">
        <f t="shared" ca="1" si="23"/>
        <v>151556464.49019742</v>
      </c>
    </row>
    <row r="150" spans="1:20" x14ac:dyDescent="0.3">
      <c r="A150" s="175">
        <f>'Rumus Plafond + Atrib PP10 (2)'!O138</f>
        <v>135</v>
      </c>
      <c r="B150" s="179">
        <f ca="1">IF(A150&lt;=Simulasi!$B$11,DATE(YEAR(B149),MONTH(B149)+1,1),"")</f>
        <v>50406</v>
      </c>
      <c r="C150" s="180">
        <f ca="1">IF(A150&lt;=Simulasi!$B$11,'Rumus Plafond + Atrib PP10 (2)'!P138,"")</f>
        <v>148942194.85241243</v>
      </c>
      <c r="D150" s="180">
        <f ca="1">IFERROR('Rumus Plafond + Atrib PP10 (2)'!R138,"")</f>
        <v>1507607.0798894363</v>
      </c>
      <c r="E150" s="181">
        <f t="shared" ca="1" si="16"/>
        <v>0.36575744088242157</v>
      </c>
      <c r="F150" s="181">
        <f t="shared" ca="1" si="17"/>
        <v>0.63424255911757843</v>
      </c>
      <c r="G150" s="180">
        <f ca="1">IFERROR('Rumus Plafond + Atrib PP10 (2)'!R138,"")</f>
        <v>1507607.0798894363</v>
      </c>
      <c r="H150" s="180">
        <f ca="1">IFERROR('Rumus Plafond + Atrib PP10 (2)'!Q138,"")</f>
        <v>2614269.6377849965</v>
      </c>
      <c r="I150" s="181">
        <f t="shared" ca="1" si="18"/>
        <v>0.42554912814974982</v>
      </c>
      <c r="J150" s="181">
        <f t="shared" ca="1" si="19"/>
        <v>0.57445087185025023</v>
      </c>
      <c r="K150" s="180">
        <f ca="1">IFERROR('Rumus Plafond + Atrib PP10 (2)'!S138,"")</f>
        <v>4121876.7176744328</v>
      </c>
      <c r="O150" s="182">
        <f t="shared" si="20"/>
        <v>135</v>
      </c>
      <c r="P150" s="183">
        <f t="shared" ca="1" si="20"/>
        <v>50406</v>
      </c>
      <c r="Q150" s="184">
        <f t="shared" ca="1" si="21"/>
        <v>4121876.7176744328</v>
      </c>
      <c r="R150" s="185">
        <f t="shared" ca="1" si="22"/>
        <v>1507607.0798894363</v>
      </c>
      <c r="S150" s="185">
        <f t="shared" ca="1" si="22"/>
        <v>2614269.6377849965</v>
      </c>
      <c r="T150" s="185">
        <f t="shared" ca="1" si="23"/>
        <v>148942194.85241243</v>
      </c>
    </row>
    <row r="151" spans="1:20" x14ac:dyDescent="0.3">
      <c r="A151" s="175">
        <f>'Rumus Plafond + Atrib PP10 (2)'!O139</f>
        <v>136</v>
      </c>
      <c r="B151" s="179">
        <f ca="1">IF(A151&lt;=Simulasi!$B$11,DATE(YEAR(B150),MONTH(B150)+1,1),"")</f>
        <v>50437</v>
      </c>
      <c r="C151" s="180">
        <f ca="1">IF(A151&lt;=Simulasi!$B$11,'Rumus Plafond + Atrib PP10 (2)'!P139,"")</f>
        <v>146301919.78207844</v>
      </c>
      <c r="D151" s="180">
        <f ca="1">IFERROR('Rumus Plafond + Atrib PP10 (2)'!R139,"")</f>
        <v>1481601.6473404372</v>
      </c>
      <c r="E151" s="181">
        <f t="shared" ca="1" si="16"/>
        <v>0.35944831658535348</v>
      </c>
      <c r="F151" s="181">
        <f t="shared" ca="1" si="17"/>
        <v>0.64055168341464663</v>
      </c>
      <c r="G151" s="180">
        <f ca="1">IFERROR('Rumus Plafond + Atrib PP10 (2)'!R139,"")</f>
        <v>1481601.6473404372</v>
      </c>
      <c r="H151" s="180">
        <f ca="1">IFERROR('Rumus Plafond + Atrib PP10 (2)'!Q139,"")</f>
        <v>2640275.0703339959</v>
      </c>
      <c r="I151" s="181">
        <f t="shared" ca="1" si="18"/>
        <v>0.4180054850916527</v>
      </c>
      <c r="J151" s="181">
        <f t="shared" ca="1" si="19"/>
        <v>0.5819945149083473</v>
      </c>
      <c r="K151" s="180">
        <f ca="1">IFERROR('Rumus Plafond + Atrib PP10 (2)'!S139,"")</f>
        <v>4121876.7176744328</v>
      </c>
      <c r="O151" s="182">
        <f t="shared" si="20"/>
        <v>136</v>
      </c>
      <c r="P151" s="183">
        <f t="shared" ca="1" si="20"/>
        <v>50437</v>
      </c>
      <c r="Q151" s="184">
        <f t="shared" ca="1" si="21"/>
        <v>4121876.7176744328</v>
      </c>
      <c r="R151" s="185">
        <f t="shared" ca="1" si="22"/>
        <v>1481601.6473404372</v>
      </c>
      <c r="S151" s="185">
        <f t="shared" ca="1" si="22"/>
        <v>2640275.0703339959</v>
      </c>
      <c r="T151" s="185">
        <f t="shared" ca="1" si="23"/>
        <v>146301919.78207844</v>
      </c>
    </row>
    <row r="152" spans="1:20" x14ac:dyDescent="0.3">
      <c r="A152" s="175">
        <f>'Rumus Plafond + Atrib PP10 (2)'!O140</f>
        <v>137</v>
      </c>
      <c r="B152" s="179">
        <f ca="1">IF(A152&lt;=Simulasi!$B$11,DATE(YEAR(B151),MONTH(B151)+1,1),"")</f>
        <v>50465</v>
      </c>
      <c r="C152" s="180">
        <f ca="1">IF(A152&lt;=Simulasi!$B$11,'Rumus Plafond + Atrib PP10 (2)'!P140,"")</f>
        <v>143635380.59030113</v>
      </c>
      <c r="D152" s="180">
        <f ca="1">IFERROR('Rumus Plafond + Atrib PP10 (2)'!R140,"")</f>
        <v>1455337.5258971148</v>
      </c>
      <c r="E152" s="181">
        <f t="shared" ca="1" si="16"/>
        <v>0.35307643230975083</v>
      </c>
      <c r="F152" s="181">
        <f t="shared" ca="1" si="17"/>
        <v>0.64692356769024917</v>
      </c>
      <c r="G152" s="180">
        <f ca="1">IFERROR('Rumus Plafond + Atrib PP10 (2)'!R140,"")</f>
        <v>1455337.5258971148</v>
      </c>
      <c r="H152" s="180">
        <f ca="1">IFERROR('Rumus Plafond + Atrib PP10 (2)'!Q140,"")</f>
        <v>2666539.1917773178</v>
      </c>
      <c r="I152" s="181">
        <f t="shared" ca="1" si="18"/>
        <v>0.41038680168657465</v>
      </c>
      <c r="J152" s="181">
        <f t="shared" ca="1" si="19"/>
        <v>0.5896131983134254</v>
      </c>
      <c r="K152" s="180">
        <f ca="1">IFERROR('Rumus Plafond + Atrib PP10 (2)'!S140,"")</f>
        <v>4121876.7176744328</v>
      </c>
      <c r="O152" s="182">
        <f t="shared" si="20"/>
        <v>137</v>
      </c>
      <c r="P152" s="183">
        <f t="shared" ca="1" si="20"/>
        <v>50465</v>
      </c>
      <c r="Q152" s="184">
        <f t="shared" ca="1" si="21"/>
        <v>4121876.7176744328</v>
      </c>
      <c r="R152" s="185">
        <f t="shared" ca="1" si="22"/>
        <v>1455337.5258971148</v>
      </c>
      <c r="S152" s="185">
        <f t="shared" ca="1" si="22"/>
        <v>2666539.1917773178</v>
      </c>
      <c r="T152" s="185">
        <f t="shared" ca="1" si="23"/>
        <v>143635380.59030113</v>
      </c>
    </row>
    <row r="153" spans="1:20" x14ac:dyDescent="0.3">
      <c r="A153" s="175">
        <f>'Rumus Plafond + Atrib PP10 (2)'!O141</f>
        <v>138</v>
      </c>
      <c r="B153" s="179">
        <f ca="1">IF(A153&lt;=Simulasi!$B$11,DATE(YEAR(B152),MONTH(B152)+1,1),"")</f>
        <v>50496</v>
      </c>
      <c r="C153" s="180">
        <f ca="1">IF(A153&lt;=Simulasi!$B$11,'Rumus Plafond + Atrib PP10 (2)'!P141,"")</f>
        <v>140942316.01487985</v>
      </c>
      <c r="D153" s="180">
        <f ca="1">IFERROR('Rumus Plafond + Atrib PP10 (2)'!R141,"")</f>
        <v>1428812.1422531453</v>
      </c>
      <c r="E153" s="181">
        <f t="shared" ca="1" si="16"/>
        <v>0.34664116375107956</v>
      </c>
      <c r="F153" s="181">
        <f t="shared" ca="1" si="17"/>
        <v>0.65335883624892055</v>
      </c>
      <c r="G153" s="180">
        <f ca="1">IFERROR('Rumus Plafond + Atrib PP10 (2)'!R141,"")</f>
        <v>1428812.1422531453</v>
      </c>
      <c r="H153" s="180">
        <f ca="1">IFERROR('Rumus Plafond + Atrib PP10 (2)'!Q141,"")</f>
        <v>2693064.5754212877</v>
      </c>
      <c r="I153" s="181">
        <f t="shared" ca="1" si="18"/>
        <v>0.4026923314710853</v>
      </c>
      <c r="J153" s="181">
        <f t="shared" ca="1" si="19"/>
        <v>0.5973076685289147</v>
      </c>
      <c r="K153" s="180">
        <f ca="1">IFERROR('Rumus Plafond + Atrib PP10 (2)'!S141,"")</f>
        <v>4121876.7176744328</v>
      </c>
      <c r="O153" s="182">
        <f t="shared" si="20"/>
        <v>138</v>
      </c>
      <c r="P153" s="183">
        <f t="shared" ca="1" si="20"/>
        <v>50496</v>
      </c>
      <c r="Q153" s="184">
        <f t="shared" ca="1" si="21"/>
        <v>4121876.7176744328</v>
      </c>
      <c r="R153" s="185">
        <f t="shared" ca="1" si="22"/>
        <v>1428812.1422531453</v>
      </c>
      <c r="S153" s="185">
        <f t="shared" ca="1" si="22"/>
        <v>2693064.5754212877</v>
      </c>
      <c r="T153" s="185">
        <f t="shared" ca="1" si="23"/>
        <v>140942316.01487985</v>
      </c>
    </row>
    <row r="154" spans="1:20" x14ac:dyDescent="0.3">
      <c r="A154" s="175">
        <f>'Rumus Plafond + Atrib PP10 (2)'!O142</f>
        <v>139</v>
      </c>
      <c r="B154" s="179">
        <f ca="1">IF(A154&lt;=Simulasi!$B$11,DATE(YEAR(B153),MONTH(B153)+1,1),"")</f>
        <v>50526</v>
      </c>
      <c r="C154" s="180">
        <f ca="1">IF(A154&lt;=Simulasi!$B$11,'Rumus Plafond + Atrib PP10 (2)'!P142,"")</f>
        <v>138222462.19470966</v>
      </c>
      <c r="D154" s="180">
        <f ca="1">IFERROR('Rumus Plafond + Atrib PP10 (2)'!R142,"")</f>
        <v>1402022.897504254</v>
      </c>
      <c r="E154" s="181">
        <f t="shared" ca="1" si="16"/>
        <v>0.34014188039453952</v>
      </c>
      <c r="F154" s="181">
        <f t="shared" ca="1" si="17"/>
        <v>0.65985811960546059</v>
      </c>
      <c r="G154" s="180">
        <f ca="1">IFERROR('Rumus Plafond + Atrib PP10 (2)'!R142,"")</f>
        <v>1402022.897504254</v>
      </c>
      <c r="H154" s="180">
        <f ca="1">IFERROR('Rumus Plafond + Atrib PP10 (2)'!Q142,"")</f>
        <v>2719853.820170179</v>
      </c>
      <c r="I154" s="181">
        <f t="shared" ca="1" si="18"/>
        <v>0.39492132055631329</v>
      </c>
      <c r="J154" s="181">
        <f t="shared" ca="1" si="19"/>
        <v>0.60507867944368665</v>
      </c>
      <c r="K154" s="180">
        <f ca="1">IFERROR('Rumus Plafond + Atrib PP10 (2)'!S142,"")</f>
        <v>4121876.7176744328</v>
      </c>
      <c r="O154" s="182">
        <f t="shared" si="20"/>
        <v>139</v>
      </c>
      <c r="P154" s="183">
        <f t="shared" ca="1" si="20"/>
        <v>50526</v>
      </c>
      <c r="Q154" s="184">
        <f t="shared" ca="1" si="21"/>
        <v>4121876.7176744328</v>
      </c>
      <c r="R154" s="185">
        <f t="shared" ca="1" si="22"/>
        <v>1402022.897504254</v>
      </c>
      <c r="S154" s="185">
        <f t="shared" ca="1" si="22"/>
        <v>2719853.820170179</v>
      </c>
      <c r="T154" s="185">
        <f t="shared" ca="1" si="23"/>
        <v>138222462.19470966</v>
      </c>
    </row>
    <row r="155" spans="1:20" x14ac:dyDescent="0.3">
      <c r="A155" s="175">
        <f>'Rumus Plafond + Atrib PP10 (2)'!O143</f>
        <v>140</v>
      </c>
      <c r="B155" s="179">
        <f ca="1">IF(A155&lt;=Simulasi!$B$11,DATE(YEAR(B154),MONTH(B154)+1,1),"")</f>
        <v>50557</v>
      </c>
      <c r="C155" s="180">
        <f ca="1">IF(A155&lt;=Simulasi!$B$11,'Rumus Plafond + Atrib PP10 (2)'!P143,"")</f>
        <v>135475552.6439288</v>
      </c>
      <c r="D155" s="180">
        <f ca="1">IFERROR('Rumus Plafond + Atrib PP10 (2)'!R143,"")</f>
        <v>1374967.1668935802</v>
      </c>
      <c r="E155" s="181">
        <f t="shared" ca="1" si="16"/>
        <v>0.33357794545328812</v>
      </c>
      <c r="F155" s="181">
        <f t="shared" ca="1" si="17"/>
        <v>0.66642205454671177</v>
      </c>
      <c r="G155" s="180">
        <f ca="1">IFERROR('Rumus Plafond + Atrib PP10 (2)'!R143,"")</f>
        <v>1374967.1668935802</v>
      </c>
      <c r="H155" s="180">
        <f ca="1">IFERROR('Rumus Plafond + Atrib PP10 (2)'!Q143,"")</f>
        <v>2746909.5507808523</v>
      </c>
      <c r="I155" s="181">
        <f t="shared" ca="1" si="18"/>
        <v>0.38707300755408225</v>
      </c>
      <c r="J155" s="181">
        <f t="shared" ca="1" si="19"/>
        <v>0.61292699244591775</v>
      </c>
      <c r="K155" s="180">
        <f ca="1">IFERROR('Rumus Plafond + Atrib PP10 (2)'!S143,"")</f>
        <v>4121876.7176744328</v>
      </c>
      <c r="O155" s="182">
        <f t="shared" si="20"/>
        <v>140</v>
      </c>
      <c r="P155" s="183">
        <f t="shared" ca="1" si="20"/>
        <v>50557</v>
      </c>
      <c r="Q155" s="184">
        <f t="shared" ca="1" si="21"/>
        <v>4121876.7176744328</v>
      </c>
      <c r="R155" s="185">
        <f t="shared" ca="1" si="22"/>
        <v>1374967.1668935802</v>
      </c>
      <c r="S155" s="185">
        <f t="shared" ca="1" si="22"/>
        <v>2746909.5507808523</v>
      </c>
      <c r="T155" s="185">
        <f t="shared" ca="1" si="23"/>
        <v>135475552.6439288</v>
      </c>
    </row>
    <row r="156" spans="1:20" x14ac:dyDescent="0.3">
      <c r="A156" s="175">
        <f>'Rumus Plafond + Atrib PP10 (2)'!O144</f>
        <v>141</v>
      </c>
      <c r="B156" s="179">
        <f ca="1">IF(A156&lt;=Simulasi!$B$11,DATE(YEAR(B155),MONTH(B155)+1,1),"")</f>
        <v>50587</v>
      </c>
      <c r="C156" s="180">
        <f ca="1">IF(A156&lt;=Simulasi!$B$11,'Rumus Plafond + Atrib PP10 (2)'!P144,"")</f>
        <v>132701318.22580887</v>
      </c>
      <c r="D156" s="180">
        <f ca="1">IFERROR('Rumus Plafond + Atrib PP10 (2)'!R144,"")</f>
        <v>1347642.29955451</v>
      </c>
      <c r="E156" s="181">
        <f t="shared" ca="1" si="16"/>
        <v>0.32694871580604945</v>
      </c>
      <c r="F156" s="181">
        <f t="shared" ca="1" si="17"/>
        <v>0.67305128419395055</v>
      </c>
      <c r="G156" s="180">
        <f ca="1">IFERROR('Rumus Plafond + Atrib PP10 (2)'!R144,"")</f>
        <v>1347642.29955451</v>
      </c>
      <c r="H156" s="180">
        <f ca="1">IFERROR('Rumus Plafond + Atrib PP10 (2)'!Q144,"")</f>
        <v>2774234.4181199227</v>
      </c>
      <c r="I156" s="181">
        <f t="shared" ca="1" si="18"/>
        <v>0.37914662350231104</v>
      </c>
      <c r="J156" s="181">
        <f t="shared" ca="1" si="19"/>
        <v>0.62085337649768901</v>
      </c>
      <c r="K156" s="180">
        <f ca="1">IFERROR('Rumus Plafond + Atrib PP10 (2)'!S144,"")</f>
        <v>4121876.7176744328</v>
      </c>
      <c r="O156" s="182">
        <f t="shared" si="20"/>
        <v>141</v>
      </c>
      <c r="P156" s="183">
        <f t="shared" ca="1" si="20"/>
        <v>50587</v>
      </c>
      <c r="Q156" s="184">
        <f t="shared" ca="1" si="21"/>
        <v>4121876.7176744328</v>
      </c>
      <c r="R156" s="185">
        <f t="shared" ca="1" si="22"/>
        <v>1347642.29955451</v>
      </c>
      <c r="S156" s="185">
        <f t="shared" ca="1" si="22"/>
        <v>2774234.4181199227</v>
      </c>
      <c r="T156" s="185">
        <f t="shared" ca="1" si="23"/>
        <v>132701318.22580887</v>
      </c>
    </row>
    <row r="157" spans="1:20" x14ac:dyDescent="0.3">
      <c r="A157" s="175">
        <f>'Rumus Plafond + Atrib PP10 (2)'!O145</f>
        <v>142</v>
      </c>
      <c r="B157" s="179">
        <f ca="1">IF(A157&lt;=Simulasi!$B$11,DATE(YEAR(B156),MONTH(B156)+1,1),"")</f>
        <v>50618</v>
      </c>
      <c r="C157" s="180">
        <f ca="1">IF(A157&lt;=Simulasi!$B$11,'Rumus Plafond + Atrib PP10 (2)'!P145,"")</f>
        <v>129899487.12638539</v>
      </c>
      <c r="D157" s="180">
        <f ca="1">IFERROR('Rumus Plafond + Atrib PP10 (2)'!R145,"")</f>
        <v>1320045.6182509481</v>
      </c>
      <c r="E157" s="181">
        <f t="shared" ca="1" si="16"/>
        <v>0.3202535419341021</v>
      </c>
      <c r="F157" s="181">
        <f t="shared" ca="1" si="17"/>
        <v>0.67974645806589795</v>
      </c>
      <c r="G157" s="180">
        <f ca="1">IFERROR('Rumus Plafond + Atrib PP10 (2)'!R145,"")</f>
        <v>1320045.6182509481</v>
      </c>
      <c r="H157" s="180">
        <f ca="1">IFERROR('Rumus Plafond + Atrib PP10 (2)'!Q145,"")</f>
        <v>2801831.0994234849</v>
      </c>
      <c r="I157" s="181">
        <f t="shared" ca="1" si="18"/>
        <v>0.37114139178967254</v>
      </c>
      <c r="J157" s="181">
        <f t="shared" ca="1" si="19"/>
        <v>0.62885860821032746</v>
      </c>
      <c r="K157" s="180">
        <f ca="1">IFERROR('Rumus Plafond + Atrib PP10 (2)'!S145,"")</f>
        <v>4121876.7176744328</v>
      </c>
      <c r="O157" s="182">
        <f t="shared" si="20"/>
        <v>142</v>
      </c>
      <c r="P157" s="183">
        <f t="shared" ca="1" si="20"/>
        <v>50618</v>
      </c>
      <c r="Q157" s="184">
        <f t="shared" ca="1" si="21"/>
        <v>4121876.7176744328</v>
      </c>
      <c r="R157" s="185">
        <f t="shared" ca="1" si="22"/>
        <v>1320045.6182509481</v>
      </c>
      <c r="S157" s="185">
        <f t="shared" ca="1" si="22"/>
        <v>2801831.0994234849</v>
      </c>
      <c r="T157" s="185">
        <f t="shared" ca="1" si="23"/>
        <v>129899487.12638539</v>
      </c>
    </row>
    <row r="158" spans="1:20" x14ac:dyDescent="0.3">
      <c r="A158" s="175">
        <f>'Rumus Plafond + Atrib PP10 (2)'!O146</f>
        <v>143</v>
      </c>
      <c r="B158" s="179">
        <f ca="1">IF(A158&lt;=Simulasi!$B$11,DATE(YEAR(B157),MONTH(B157)+1,1),"")</f>
        <v>50649</v>
      </c>
      <c r="C158" s="180">
        <f ca="1">IF(A158&lt;=Simulasi!$B$11,'Rumus Plafond + Atrib PP10 (2)'!P146,"")</f>
        <v>127069784.82782596</v>
      </c>
      <c r="D158" s="180">
        <f ca="1">IFERROR('Rumus Plafond + Atrib PP10 (2)'!R146,"")</f>
        <v>1292174.4191150088</v>
      </c>
      <c r="E158" s="181">
        <f t="shared" ca="1" si="16"/>
        <v>0.31349176785764105</v>
      </c>
      <c r="F158" s="181">
        <f t="shared" ca="1" si="17"/>
        <v>0.6865082321423589</v>
      </c>
      <c r="G158" s="180">
        <f ca="1">IFERROR('Rumus Plafond + Atrib PP10 (2)'!R146,"")</f>
        <v>1292174.4191150088</v>
      </c>
      <c r="H158" s="180">
        <f ca="1">IFERROR('Rumus Plafond + Atrib PP10 (2)'!Q146,"")</f>
        <v>2829702.298559424</v>
      </c>
      <c r="I158" s="181">
        <f t="shared" ca="1" si="18"/>
        <v>0.36305652807950273</v>
      </c>
      <c r="J158" s="181">
        <f t="shared" ca="1" si="19"/>
        <v>0.63694347192049727</v>
      </c>
      <c r="K158" s="180">
        <f ca="1">IFERROR('Rumus Plafond + Atrib PP10 (2)'!S146,"")</f>
        <v>4121876.7176744328</v>
      </c>
      <c r="O158" s="182">
        <f t="shared" si="20"/>
        <v>143</v>
      </c>
      <c r="P158" s="183">
        <f t="shared" ca="1" si="20"/>
        <v>50649</v>
      </c>
      <c r="Q158" s="184">
        <f t="shared" ca="1" si="21"/>
        <v>4121876.7176744328</v>
      </c>
      <c r="R158" s="185">
        <f t="shared" ca="1" si="22"/>
        <v>1292174.4191150088</v>
      </c>
      <c r="S158" s="185">
        <f t="shared" ca="1" si="22"/>
        <v>2829702.298559424</v>
      </c>
      <c r="T158" s="185">
        <f t="shared" ca="1" si="23"/>
        <v>127069784.82782596</v>
      </c>
    </row>
    <row r="159" spans="1:20" x14ac:dyDescent="0.3">
      <c r="A159" s="175">
        <f>'Rumus Plafond + Atrib PP10 (2)'!O147</f>
        <v>144</v>
      </c>
      <c r="B159" s="179">
        <f ca="1">IF(A159&lt;=Simulasi!$B$11,DATE(YEAR(B158),MONTH(B158)+1,1),"")</f>
        <v>50679</v>
      </c>
      <c r="C159" s="180">
        <f ca="1">IF(A159&lt;=Simulasi!$B$11,'Rumus Plafond + Atrib PP10 (2)'!P147,"")</f>
        <v>124211934.08153363</v>
      </c>
      <c r="D159" s="180">
        <f ca="1">IFERROR('Rumus Plafond + Atrib PP10 (2)'!R147,"")</f>
        <v>1264025.9713820943</v>
      </c>
      <c r="E159" s="181">
        <f t="shared" ca="1" si="16"/>
        <v>0.30666273107150549</v>
      </c>
      <c r="F159" s="181">
        <f t="shared" ca="1" si="17"/>
        <v>0.69333726892849457</v>
      </c>
      <c r="G159" s="180">
        <f ca="1">IFERROR('Rumus Plafond + Atrib PP10 (2)'!R147,"")</f>
        <v>1264025.9713820943</v>
      </c>
      <c r="H159" s="180">
        <f ca="1">IFERROR('Rumus Plafond + Atrib PP10 (2)'!Q147,"")</f>
        <v>2857850.7462923387</v>
      </c>
      <c r="I159" s="181">
        <f t="shared" ca="1" si="18"/>
        <v>0.35489124023295321</v>
      </c>
      <c r="J159" s="181">
        <f t="shared" ca="1" si="19"/>
        <v>0.64510875976704685</v>
      </c>
      <c r="K159" s="180">
        <f ca="1">IFERROR('Rumus Plafond + Atrib PP10 (2)'!S147,"")</f>
        <v>4121876.7176744328</v>
      </c>
      <c r="O159" s="182">
        <f t="shared" si="20"/>
        <v>144</v>
      </c>
      <c r="P159" s="183">
        <f t="shared" ca="1" si="20"/>
        <v>50679</v>
      </c>
      <c r="Q159" s="184">
        <f t="shared" ca="1" si="21"/>
        <v>4121876.7176744328</v>
      </c>
      <c r="R159" s="185">
        <f t="shared" ca="1" si="22"/>
        <v>1264025.9713820943</v>
      </c>
      <c r="S159" s="185">
        <f t="shared" ca="1" si="22"/>
        <v>2857850.7462923387</v>
      </c>
      <c r="T159" s="185">
        <f t="shared" ca="1" si="23"/>
        <v>124211934.08153363</v>
      </c>
    </row>
    <row r="160" spans="1:20" x14ac:dyDescent="0.3">
      <c r="A160" s="175">
        <f>'Rumus Plafond + Atrib PP10 (2)'!O148</f>
        <v>145</v>
      </c>
      <c r="B160" s="179">
        <f ca="1">IF(A160&lt;=Simulasi!$B$11,DATE(YEAR(B159),MONTH(B159)+1,1),"")</f>
        <v>50710</v>
      </c>
      <c r="C160" s="180">
        <f ca="1">IF(A160&lt;=Simulasi!$B$11,'Rumus Plafond + Atrib PP10 (2)'!P148,"")</f>
        <v>121325654.88098253</v>
      </c>
      <c r="D160" s="180">
        <f ca="1">IFERROR('Rumus Plafond + Atrib PP10 (2)'!R148,"")</f>
        <v>1235597.5171233432</v>
      </c>
      <c r="E160" s="181">
        <f t="shared" ca="1" si="16"/>
        <v>0.29976576248026859</v>
      </c>
      <c r="F160" s="181">
        <f t="shared" ca="1" si="17"/>
        <v>0.70023423751973146</v>
      </c>
      <c r="G160" s="180">
        <f ca="1">IFERROR('Rumus Plafond + Atrib PP10 (2)'!R148,"")</f>
        <v>1235597.5171233432</v>
      </c>
      <c r="H160" s="180">
        <f ca="1">IFERROR('Rumus Plafond + Atrib PP10 (2)'!Q148,"")</f>
        <v>2886279.2005510898</v>
      </c>
      <c r="I160" s="181">
        <f t="shared" ca="1" si="18"/>
        <v>0.34664472823137865</v>
      </c>
      <c r="J160" s="181">
        <f t="shared" ca="1" si="19"/>
        <v>0.6533552717686214</v>
      </c>
      <c r="K160" s="180">
        <f ca="1">IFERROR('Rumus Plafond + Atrib PP10 (2)'!S148,"")</f>
        <v>4121876.7176744328</v>
      </c>
      <c r="O160" s="182">
        <f t="shared" si="20"/>
        <v>145</v>
      </c>
      <c r="P160" s="183">
        <f t="shared" ca="1" si="20"/>
        <v>50710</v>
      </c>
      <c r="Q160" s="184">
        <f t="shared" ca="1" si="21"/>
        <v>4121876.7176744328</v>
      </c>
      <c r="R160" s="185">
        <f t="shared" ca="1" si="22"/>
        <v>1235597.5171233432</v>
      </c>
      <c r="S160" s="185">
        <f t="shared" ca="1" si="22"/>
        <v>2886279.2005510898</v>
      </c>
      <c r="T160" s="185">
        <f t="shared" ca="1" si="23"/>
        <v>121325654.88098253</v>
      </c>
    </row>
    <row r="161" spans="1:20" x14ac:dyDescent="0.3">
      <c r="A161" s="175">
        <f>'Rumus Plafond + Atrib PP10 (2)'!O149</f>
        <v>146</v>
      </c>
      <c r="B161" s="179">
        <f ca="1">IF(A161&lt;=Simulasi!$B$11,DATE(YEAR(B160),MONTH(B160)+1,1),"")</f>
        <v>50740</v>
      </c>
      <c r="C161" s="180">
        <f ca="1">IF(A161&lt;=Simulasi!$B$11,'Rumus Plafond + Atrib PP10 (2)'!P149,"")</f>
        <v>118410664.43428351</v>
      </c>
      <c r="D161" s="180">
        <f ca="1">IFERROR('Rumus Plafond + Atrib PP10 (2)'!R149,"")</f>
        <v>1206886.2709754107</v>
      </c>
      <c r="E161" s="181">
        <f t="shared" ca="1" si="16"/>
        <v>0.29280018633268035</v>
      </c>
      <c r="F161" s="181">
        <f t="shared" ca="1" si="17"/>
        <v>0.70719981366731977</v>
      </c>
      <c r="G161" s="180">
        <f ca="1">IFERROR('Rumus Plafond + Atrib PP10 (2)'!R149,"")</f>
        <v>1206886.2709754107</v>
      </c>
      <c r="H161" s="180">
        <f ca="1">IFERROR('Rumus Plafond + Atrib PP10 (2)'!Q149,"")</f>
        <v>2914990.4466990223</v>
      </c>
      <c r="I161" s="181">
        <f t="shared" ca="1" si="18"/>
        <v>0.33831618409795289</v>
      </c>
      <c r="J161" s="181">
        <f t="shared" ca="1" si="19"/>
        <v>0.66168381590204717</v>
      </c>
      <c r="K161" s="180">
        <f ca="1">IFERROR('Rumus Plafond + Atrib PP10 (2)'!S149,"")</f>
        <v>4121876.7176744328</v>
      </c>
      <c r="O161" s="182">
        <f t="shared" si="20"/>
        <v>146</v>
      </c>
      <c r="P161" s="183">
        <f t="shared" ca="1" si="20"/>
        <v>50740</v>
      </c>
      <c r="Q161" s="184">
        <f t="shared" ca="1" si="21"/>
        <v>4121876.7176744328</v>
      </c>
      <c r="R161" s="185">
        <f t="shared" ca="1" si="22"/>
        <v>1206886.2709754107</v>
      </c>
      <c r="S161" s="185">
        <f t="shared" ca="1" si="22"/>
        <v>2914990.4466990223</v>
      </c>
      <c r="T161" s="185">
        <f t="shared" ca="1" si="23"/>
        <v>118410664.43428351</v>
      </c>
    </row>
    <row r="162" spans="1:20" x14ac:dyDescent="0.3">
      <c r="A162" s="175">
        <f>'Rumus Plafond + Atrib PP10 (2)'!O150</f>
        <v>147</v>
      </c>
      <c r="B162" s="179">
        <f ca="1">IF(A162&lt;=Simulasi!$B$11,DATE(YEAR(B161),MONTH(B161)+1,1),"")</f>
        <v>50771</v>
      </c>
      <c r="C162" s="180">
        <f ca="1">IF(A162&lt;=Simulasi!$B$11,'Rumus Plafond + Atrib PP10 (2)'!P150,"")</f>
        <v>115466677.13647664</v>
      </c>
      <c r="D162" s="180">
        <f ca="1">IFERROR('Rumus Plafond + Atrib PP10 (2)'!R150,"")</f>
        <v>1177889.4198675666</v>
      </c>
      <c r="E162" s="181">
        <f t="shared" ca="1" si="16"/>
        <v>0.28576532015545897</v>
      </c>
      <c r="F162" s="181">
        <f t="shared" ca="1" si="17"/>
        <v>0.71423467984454114</v>
      </c>
      <c r="G162" s="180">
        <f ca="1">IFERROR('Rumus Plafond + Atrib PP10 (2)'!R150,"")</f>
        <v>1177889.4198675666</v>
      </c>
      <c r="H162" s="180">
        <f ca="1">IFERROR('Rumus Plafond + Atrib PP10 (2)'!Q150,"")</f>
        <v>2943987.2978068665</v>
      </c>
      <c r="I162" s="181">
        <f t="shared" ca="1" si="18"/>
        <v>0.32990479181850468</v>
      </c>
      <c r="J162" s="181">
        <f t="shared" ca="1" si="19"/>
        <v>0.67009520818149537</v>
      </c>
      <c r="K162" s="180">
        <f ca="1">IFERROR('Rumus Plafond + Atrib PP10 (2)'!S150,"")</f>
        <v>4121876.7176744328</v>
      </c>
      <c r="O162" s="182">
        <f t="shared" si="20"/>
        <v>147</v>
      </c>
      <c r="P162" s="183">
        <f t="shared" ca="1" si="20"/>
        <v>50771</v>
      </c>
      <c r="Q162" s="184">
        <f t="shared" ca="1" si="21"/>
        <v>4121876.7176744328</v>
      </c>
      <c r="R162" s="185">
        <f t="shared" ca="1" si="22"/>
        <v>1177889.4198675666</v>
      </c>
      <c r="S162" s="185">
        <f t="shared" ca="1" si="22"/>
        <v>2943987.2978068665</v>
      </c>
      <c r="T162" s="185">
        <f t="shared" ca="1" si="23"/>
        <v>115466677.13647664</v>
      </c>
    </row>
    <row r="163" spans="1:20" x14ac:dyDescent="0.3">
      <c r="A163" s="175">
        <f>'Rumus Plafond + Atrib PP10 (2)'!O151</f>
        <v>148</v>
      </c>
      <c r="B163" s="179">
        <f ca="1">IF(A163&lt;=Simulasi!$B$11,DATE(YEAR(B162),MONTH(B162)+1,1),"")</f>
        <v>50802</v>
      </c>
      <c r="C163" s="180">
        <f ca="1">IF(A163&lt;=Simulasi!$B$11,'Rumus Plafond + Atrib PP10 (2)'!P151,"")</f>
        <v>112493404.54154828</v>
      </c>
      <c r="D163" s="180">
        <f ca="1">IFERROR('Rumus Plafond + Atrib PP10 (2)'!R151,"")</f>
        <v>1148604.122746075</v>
      </c>
      <c r="E163" s="181">
        <f t="shared" ca="1" si="16"/>
        <v>0.27866047468642358</v>
      </c>
      <c r="F163" s="181">
        <f t="shared" ca="1" si="17"/>
        <v>0.72133952531357637</v>
      </c>
      <c r="G163" s="180">
        <f ca="1">IFERROR('Rumus Plafond + Atrib PP10 (2)'!R151,"")</f>
        <v>1148604.122746075</v>
      </c>
      <c r="H163" s="180">
        <f ca="1">IFERROR('Rumus Plafond + Atrib PP10 (2)'!Q151,"")</f>
        <v>2973272.5949283578</v>
      </c>
      <c r="I163" s="181">
        <f t="shared" ca="1" si="18"/>
        <v>0.32140972726156652</v>
      </c>
      <c r="J163" s="181">
        <f t="shared" ca="1" si="19"/>
        <v>0.67859027273843353</v>
      </c>
      <c r="K163" s="180">
        <f ca="1">IFERROR('Rumus Plafond + Atrib PP10 (2)'!S151,"")</f>
        <v>4121876.7176744328</v>
      </c>
      <c r="O163" s="182">
        <f t="shared" si="20"/>
        <v>148</v>
      </c>
      <c r="P163" s="183">
        <f t="shared" ca="1" si="20"/>
        <v>50802</v>
      </c>
      <c r="Q163" s="184">
        <f t="shared" ca="1" si="21"/>
        <v>4121876.7176744328</v>
      </c>
      <c r="R163" s="185">
        <f t="shared" ca="1" si="22"/>
        <v>1148604.122746075</v>
      </c>
      <c r="S163" s="185">
        <f t="shared" ca="1" si="22"/>
        <v>2973272.5949283578</v>
      </c>
      <c r="T163" s="185">
        <f t="shared" ca="1" si="23"/>
        <v>112493404.54154828</v>
      </c>
    </row>
    <row r="164" spans="1:20" x14ac:dyDescent="0.3">
      <c r="A164" s="175">
        <f>'Rumus Plafond + Atrib PP10 (2)'!O152</f>
        <v>149</v>
      </c>
      <c r="B164" s="179">
        <f ca="1">IF(A164&lt;=Simulasi!$B$11,DATE(YEAR(B163),MONTH(B163)+1,1),"")</f>
        <v>50830</v>
      </c>
      <c r="C164" s="180">
        <f ca="1">IF(A164&lt;=Simulasi!$B$11,'Rumus Plafond + Atrib PP10 (2)'!P152,"")</f>
        <v>109490555.33416969</v>
      </c>
      <c r="D164" s="180">
        <f ca="1">IFERROR('Rumus Plafond + Atrib PP10 (2)'!R152,"")</f>
        <v>1119027.5102958344</v>
      </c>
      <c r="E164" s="181">
        <f t="shared" ca="1" si="16"/>
        <v>0.27148495380696175</v>
      </c>
      <c r="F164" s="181">
        <f t="shared" ca="1" si="17"/>
        <v>0.72851504619303831</v>
      </c>
      <c r="G164" s="180">
        <f ca="1">IFERROR('Rumus Plafond + Atrib PP10 (2)'!R152,"")</f>
        <v>1119027.5102958344</v>
      </c>
      <c r="H164" s="180">
        <f ca="1">IFERROR('Rumus Plafond + Atrib PP10 (2)'!Q152,"")</f>
        <v>3002849.2073785984</v>
      </c>
      <c r="I164" s="181">
        <f t="shared" ca="1" si="18"/>
        <v>0.31283015809762765</v>
      </c>
      <c r="J164" s="181">
        <f t="shared" ca="1" si="19"/>
        <v>0.68716984190237229</v>
      </c>
      <c r="K164" s="180">
        <f ca="1">IFERROR('Rumus Plafond + Atrib PP10 (2)'!S152,"")</f>
        <v>4121876.7176744328</v>
      </c>
      <c r="O164" s="182">
        <f t="shared" si="20"/>
        <v>149</v>
      </c>
      <c r="P164" s="183">
        <f t="shared" ca="1" si="20"/>
        <v>50830</v>
      </c>
      <c r="Q164" s="184">
        <f t="shared" ca="1" si="21"/>
        <v>4121876.7176744328</v>
      </c>
      <c r="R164" s="185">
        <f t="shared" ca="1" si="22"/>
        <v>1119027.5102958344</v>
      </c>
      <c r="S164" s="185">
        <f t="shared" ca="1" si="22"/>
        <v>3002849.2073785984</v>
      </c>
      <c r="T164" s="185">
        <f t="shared" ca="1" si="23"/>
        <v>109490555.33416969</v>
      </c>
    </row>
    <row r="165" spans="1:20" x14ac:dyDescent="0.3">
      <c r="A165" s="175">
        <f>'Rumus Plafond + Atrib PP10 (2)'!O153</f>
        <v>150</v>
      </c>
      <c r="B165" s="179">
        <f ca="1">IF(A165&lt;=Simulasi!$B$11,DATE(YEAR(B164),MONTH(B164)+1,1),"")</f>
        <v>50861</v>
      </c>
      <c r="C165" s="180">
        <f ca="1">IF(A165&lt;=Simulasi!$B$11,'Rumus Plafond + Atrib PP10 (2)'!P153,"")</f>
        <v>106457835.30115449</v>
      </c>
      <c r="D165" s="180">
        <f ca="1">IFERROR('Rumus Plafond + Atrib PP10 (2)'!R153,"")</f>
        <v>1089156.6846592468</v>
      </c>
      <c r="E165" s="181">
        <f t="shared" ca="1" si="16"/>
        <v>0.26423805447382476</v>
      </c>
      <c r="F165" s="181">
        <f t="shared" ca="1" si="17"/>
        <v>0.73576194552617524</v>
      </c>
      <c r="G165" s="180">
        <f ca="1">IFERROR('Rumus Plafond + Atrib PP10 (2)'!R153,"")</f>
        <v>1089156.6846592468</v>
      </c>
      <c r="H165" s="180">
        <f ca="1">IFERROR('Rumus Plafond + Atrib PP10 (2)'!Q153,"")</f>
        <v>3032720.033015186</v>
      </c>
      <c r="I165" s="181">
        <f t="shared" ca="1" si="18"/>
        <v>0.30416524371758424</v>
      </c>
      <c r="J165" s="181">
        <f t="shared" ca="1" si="19"/>
        <v>0.69583475628241576</v>
      </c>
      <c r="K165" s="180">
        <f ca="1">IFERROR('Rumus Plafond + Atrib PP10 (2)'!S153,"")</f>
        <v>4121876.7176744328</v>
      </c>
      <c r="O165" s="182">
        <f t="shared" si="20"/>
        <v>150</v>
      </c>
      <c r="P165" s="183">
        <f t="shared" ca="1" si="20"/>
        <v>50861</v>
      </c>
      <c r="Q165" s="184">
        <f t="shared" ca="1" si="21"/>
        <v>4121876.7176744328</v>
      </c>
      <c r="R165" s="185">
        <f t="shared" ca="1" si="22"/>
        <v>1089156.6846592468</v>
      </c>
      <c r="S165" s="185">
        <f t="shared" ca="1" si="22"/>
        <v>3032720.033015186</v>
      </c>
      <c r="T165" s="185">
        <f t="shared" ca="1" si="23"/>
        <v>106457835.30115449</v>
      </c>
    </row>
    <row r="166" spans="1:20" x14ac:dyDescent="0.3">
      <c r="A166" s="175">
        <f>'Rumus Plafond + Atrib PP10 (2)'!O154</f>
        <v>151</v>
      </c>
      <c r="B166" s="179">
        <f ca="1">IF(A166&lt;=Simulasi!$B$11,DATE(YEAR(B165),MONTH(B165)+1,1),"")</f>
        <v>50891</v>
      </c>
      <c r="C166" s="180">
        <f ca="1">IF(A166&lt;=Simulasi!$B$11,'Rumus Plafond + Atrib PP10 (2)'!P154,"")</f>
        <v>103394947.30263236</v>
      </c>
      <c r="D166" s="180">
        <f ca="1">IFERROR('Rumus Plafond + Atrib PP10 (2)'!R154,"")</f>
        <v>1058988.7191522925</v>
      </c>
      <c r="E166" s="181">
        <f t="shared" ca="1" si="16"/>
        <v>0.25691906665024544</v>
      </c>
      <c r="F166" s="181">
        <f t="shared" ca="1" si="17"/>
        <v>0.74308093334975456</v>
      </c>
      <c r="G166" s="180">
        <f ca="1">IFERROR('Rumus Plafond + Atrib PP10 (2)'!R154,"")</f>
        <v>1058988.7191522925</v>
      </c>
      <c r="H166" s="180">
        <f ca="1">IFERROR('Rumus Plafond + Atrib PP10 (2)'!Q154,"")</f>
        <v>3062887.9985221401</v>
      </c>
      <c r="I166" s="181">
        <f t="shared" ca="1" si="18"/>
        <v>0.29541413515037818</v>
      </c>
      <c r="J166" s="181">
        <f t="shared" ca="1" si="19"/>
        <v>0.70458586484962182</v>
      </c>
      <c r="K166" s="180">
        <f ca="1">IFERROR('Rumus Plafond + Atrib PP10 (2)'!S154,"")</f>
        <v>4121876.7176744328</v>
      </c>
      <c r="O166" s="182">
        <f t="shared" si="20"/>
        <v>151</v>
      </c>
      <c r="P166" s="183">
        <f t="shared" ca="1" si="20"/>
        <v>50891</v>
      </c>
      <c r="Q166" s="184">
        <f t="shared" ca="1" si="21"/>
        <v>4121876.7176744328</v>
      </c>
      <c r="R166" s="185">
        <f t="shared" ca="1" si="22"/>
        <v>1058988.7191522925</v>
      </c>
      <c r="S166" s="185">
        <f t="shared" ca="1" si="22"/>
        <v>3062887.9985221401</v>
      </c>
      <c r="T166" s="185">
        <f t="shared" ca="1" si="23"/>
        <v>103394947.30263236</v>
      </c>
    </row>
    <row r="167" spans="1:20" x14ac:dyDescent="0.3">
      <c r="A167" s="175">
        <f>'Rumus Plafond + Atrib PP10 (2)'!O155</f>
        <v>152</v>
      </c>
      <c r="B167" s="179">
        <f ca="1">IF(A167&lt;=Simulasi!$B$11,DATE(YEAR(B166),MONTH(B166)+1,1),"")</f>
        <v>50922</v>
      </c>
      <c r="C167" s="180">
        <f ca="1">IF(A167&lt;=Simulasi!$B$11,'Rumus Plafond + Atrib PP10 (2)'!P155,"")</f>
        <v>100301591.2429357</v>
      </c>
      <c r="D167" s="180">
        <f ca="1">IFERROR('Rumus Plafond + Atrib PP10 (2)'!R155,"")</f>
        <v>1028520.6579777788</v>
      </c>
      <c r="E167" s="181">
        <f t="shared" ca="1" si="16"/>
        <v>0.2495272732363697</v>
      </c>
      <c r="F167" s="181">
        <f t="shared" ca="1" si="17"/>
        <v>0.7504727267636303</v>
      </c>
      <c r="G167" s="180">
        <f ca="1">IFERROR('Rumus Plafond + Atrib PP10 (2)'!R155,"")</f>
        <v>1028520.6579777788</v>
      </c>
      <c r="H167" s="180">
        <f ca="1">IFERROR('Rumus Plafond + Atrib PP10 (2)'!Q155,"")</f>
        <v>3093356.0596966539</v>
      </c>
      <c r="I167" s="181">
        <f t="shared" ca="1" si="18"/>
        <v>0.28657597497981629</v>
      </c>
      <c r="J167" s="181">
        <f t="shared" ca="1" si="19"/>
        <v>0.71342402502018365</v>
      </c>
      <c r="K167" s="180">
        <f ca="1">IFERROR('Rumus Plafond + Atrib PP10 (2)'!S155,"")</f>
        <v>4121876.7176744328</v>
      </c>
      <c r="O167" s="182">
        <f t="shared" si="20"/>
        <v>152</v>
      </c>
      <c r="P167" s="183">
        <f t="shared" ca="1" si="20"/>
        <v>50922</v>
      </c>
      <c r="Q167" s="184">
        <f t="shared" ca="1" si="21"/>
        <v>4121876.7176744328</v>
      </c>
      <c r="R167" s="185">
        <f t="shared" ca="1" si="22"/>
        <v>1028520.6579777788</v>
      </c>
      <c r="S167" s="185">
        <f t="shared" ca="1" si="22"/>
        <v>3093356.0596966539</v>
      </c>
      <c r="T167" s="185">
        <f t="shared" ca="1" si="23"/>
        <v>100301591.2429357</v>
      </c>
    </row>
    <row r="168" spans="1:20" x14ac:dyDescent="0.3">
      <c r="A168" s="175">
        <f>'Rumus Plafond + Atrib PP10 (2)'!O156</f>
        <v>153</v>
      </c>
      <c r="B168" s="179">
        <f ca="1">IF(A168&lt;=Simulasi!$B$11,DATE(YEAR(B167),MONTH(B167)+1,1),"")</f>
        <v>50952</v>
      </c>
      <c r="C168" s="180">
        <f ca="1">IF(A168&lt;=Simulasi!$B$11,'Rumus Plafond + Atrib PP10 (2)'!P156,"")</f>
        <v>97177464.041197002</v>
      </c>
      <c r="D168" s="180">
        <f ca="1">IFERROR('Rumus Plafond + Atrib PP10 (2)'!R156,"")</f>
        <v>997749.51593573671</v>
      </c>
      <c r="E168" s="181">
        <f t="shared" ca="1" si="16"/>
        <v>0.24206194999899658</v>
      </c>
      <c r="F168" s="181">
        <f t="shared" ca="1" si="17"/>
        <v>0.75793805000100345</v>
      </c>
      <c r="G168" s="180">
        <f ca="1">IFERROR('Rumus Plafond + Atrib PP10 (2)'!R156,"")</f>
        <v>997749.51593573671</v>
      </c>
      <c r="H168" s="180">
        <f ca="1">IFERROR('Rumus Plafond + Atrib PP10 (2)'!Q156,"")</f>
        <v>3124127.2017386961</v>
      </c>
      <c r="I168" s="181">
        <f t="shared" ca="1" si="18"/>
        <v>0.27764989726056288</v>
      </c>
      <c r="J168" s="181">
        <f t="shared" ca="1" si="19"/>
        <v>0.72235010273943712</v>
      </c>
      <c r="K168" s="180">
        <f ca="1">IFERROR('Rumus Plafond + Atrib PP10 (2)'!S156,"")</f>
        <v>4121876.7176744328</v>
      </c>
      <c r="O168" s="182">
        <f t="shared" si="20"/>
        <v>153</v>
      </c>
      <c r="P168" s="183">
        <f t="shared" ca="1" si="20"/>
        <v>50952</v>
      </c>
      <c r="Q168" s="184">
        <f t="shared" ca="1" si="21"/>
        <v>4121876.7176744328</v>
      </c>
      <c r="R168" s="185">
        <f t="shared" ca="1" si="22"/>
        <v>997749.51593573671</v>
      </c>
      <c r="S168" s="185">
        <f t="shared" ca="1" si="22"/>
        <v>3124127.2017386961</v>
      </c>
      <c r="T168" s="185">
        <f t="shared" ca="1" si="23"/>
        <v>97177464.041197002</v>
      </c>
    </row>
    <row r="169" spans="1:20" x14ac:dyDescent="0.3">
      <c r="A169" s="175">
        <f>'Rumus Plafond + Atrib PP10 (2)'!O157</f>
        <v>154</v>
      </c>
      <c r="B169" s="179">
        <f ca="1">IF(A169&lt;=Simulasi!$B$11,DATE(YEAR(B168),MONTH(B168)+1,1),"")</f>
        <v>50983</v>
      </c>
      <c r="C169" s="180">
        <f ca="1">IF(A169&lt;=Simulasi!$B$11,'Rumus Plafond + Atrib PP10 (2)'!P157,"")</f>
        <v>94022259.601653501</v>
      </c>
      <c r="D169" s="180">
        <f ca="1">IFERROR('Rumus Plafond + Atrib PP10 (2)'!R157,"")</f>
        <v>966672.27813093772</v>
      </c>
      <c r="E169" s="181">
        <f t="shared" ca="1" si="16"/>
        <v>0.23452236550061964</v>
      </c>
      <c r="F169" s="181">
        <f t="shared" ca="1" si="17"/>
        <v>0.76547763449938033</v>
      </c>
      <c r="G169" s="180">
        <f ca="1">IFERROR('Rumus Plafond + Atrib PP10 (2)'!R157,"")</f>
        <v>966672.27813093772</v>
      </c>
      <c r="H169" s="180">
        <f ca="1">IFERROR('Rumus Plafond + Atrib PP10 (2)'!Q157,"")</f>
        <v>3155204.439543495</v>
      </c>
      <c r="I169" s="181">
        <f t="shared" ca="1" si="18"/>
        <v>0.2686350274332957</v>
      </c>
      <c r="J169" s="181">
        <f t="shared" ca="1" si="19"/>
        <v>0.73136497256670419</v>
      </c>
      <c r="K169" s="180">
        <f ca="1">IFERROR('Rumus Plafond + Atrib PP10 (2)'!S157,"")</f>
        <v>4121876.7176744328</v>
      </c>
      <c r="O169" s="182">
        <f t="shared" si="20"/>
        <v>154</v>
      </c>
      <c r="P169" s="183">
        <f t="shared" ca="1" si="20"/>
        <v>50983</v>
      </c>
      <c r="Q169" s="184">
        <f t="shared" ca="1" si="21"/>
        <v>4121876.7176744328</v>
      </c>
      <c r="R169" s="185">
        <f t="shared" ca="1" si="22"/>
        <v>966672.27813093772</v>
      </c>
      <c r="S169" s="185">
        <f t="shared" ca="1" si="22"/>
        <v>3155204.439543495</v>
      </c>
      <c r="T169" s="185">
        <f t="shared" ca="1" si="23"/>
        <v>94022259.601653501</v>
      </c>
    </row>
    <row r="170" spans="1:20" x14ac:dyDescent="0.3">
      <c r="A170" s="175">
        <f>'Rumus Plafond + Atrib PP10 (2)'!O158</f>
        <v>155</v>
      </c>
      <c r="B170" s="179">
        <f ca="1">IF(A170&lt;=Simulasi!$B$11,DATE(YEAR(B169),MONTH(B169)+1,1),"")</f>
        <v>51014</v>
      </c>
      <c r="C170" s="180">
        <f ca="1">IF(A170&lt;=Simulasi!$B$11,'Rumus Plafond + Atrib PP10 (2)'!P158,"")</f>
        <v>90835668.783656567</v>
      </c>
      <c r="D170" s="180">
        <f ca="1">IFERROR('Rumus Plafond + Atrib PP10 (2)'!R158,"")</f>
        <v>935285.89967749978</v>
      </c>
      <c r="E170" s="181">
        <f t="shared" ca="1" si="16"/>
        <v>0.2269077810277618</v>
      </c>
      <c r="F170" s="181">
        <f t="shared" ca="1" si="17"/>
        <v>0.77309221897223823</v>
      </c>
      <c r="G170" s="180">
        <f ca="1">IFERROR('Rumus Plafond + Atrib PP10 (2)'!R158,"")</f>
        <v>935285.89967749978</v>
      </c>
      <c r="H170" s="180">
        <f ca="1">IFERROR('Rumus Plafond + Atrib PP10 (2)'!Q158,"")</f>
        <v>3186590.8179969331</v>
      </c>
      <c r="I170" s="181">
        <f t="shared" ca="1" si="18"/>
        <v>0.25953048223901876</v>
      </c>
      <c r="J170" s="181">
        <f t="shared" ca="1" si="19"/>
        <v>0.74046951776098124</v>
      </c>
      <c r="K170" s="180">
        <f ca="1">IFERROR('Rumus Plafond + Atrib PP10 (2)'!S158,"")</f>
        <v>4121876.7176744328</v>
      </c>
      <c r="O170" s="182">
        <f t="shared" si="20"/>
        <v>155</v>
      </c>
      <c r="P170" s="183">
        <f t="shared" ca="1" si="20"/>
        <v>51014</v>
      </c>
      <c r="Q170" s="184">
        <f t="shared" ca="1" si="21"/>
        <v>4121876.7176744328</v>
      </c>
      <c r="R170" s="185">
        <f t="shared" ca="1" si="22"/>
        <v>935285.89967749978</v>
      </c>
      <c r="S170" s="185">
        <f t="shared" ca="1" si="22"/>
        <v>3186590.8179969331</v>
      </c>
      <c r="T170" s="185">
        <f t="shared" ca="1" si="23"/>
        <v>90835668.783656567</v>
      </c>
    </row>
    <row r="171" spans="1:20" x14ac:dyDescent="0.3">
      <c r="A171" s="175">
        <f>'Rumus Plafond + Atrib PP10 (2)'!O159</f>
        <v>156</v>
      </c>
      <c r="B171" s="179">
        <f ca="1">IF(A171&lt;=Simulasi!$B$11,DATE(YEAR(B170),MONTH(B170)+1,1),"")</f>
        <v>51044</v>
      </c>
      <c r="C171" s="180">
        <f ca="1">IF(A171&lt;=Simulasi!$B$11,'Rumus Plafond + Atrib PP10 (2)'!P159,"")</f>
        <v>87617379.371382684</v>
      </c>
      <c r="D171" s="180">
        <f ca="1">IFERROR('Rumus Plafond + Atrib PP10 (2)'!R159,"")</f>
        <v>903587.30540055584</v>
      </c>
      <c r="E171" s="181">
        <f t="shared" ca="1" si="16"/>
        <v>0.21921745051859792</v>
      </c>
      <c r="F171" s="181">
        <f t="shared" ca="1" si="17"/>
        <v>0.78078254948140202</v>
      </c>
      <c r="G171" s="180">
        <f ca="1">IFERROR('Rumus Plafond + Atrib PP10 (2)'!R159,"")</f>
        <v>903587.30540055584</v>
      </c>
      <c r="H171" s="180">
        <f ca="1">IFERROR('Rumus Plafond + Atrib PP10 (2)'!Q159,"")</f>
        <v>3218289.4122738768</v>
      </c>
      <c r="I171" s="181">
        <f t="shared" ca="1" si="18"/>
        <v>0.25033536963252195</v>
      </c>
      <c r="J171" s="181">
        <f t="shared" ca="1" si="19"/>
        <v>0.7496646303674781</v>
      </c>
      <c r="K171" s="180">
        <f ca="1">IFERROR('Rumus Plafond + Atrib PP10 (2)'!S159,"")</f>
        <v>4121876.7176744328</v>
      </c>
      <c r="O171" s="182">
        <f t="shared" si="20"/>
        <v>156</v>
      </c>
      <c r="P171" s="183">
        <f t="shared" ca="1" si="20"/>
        <v>51044</v>
      </c>
      <c r="Q171" s="184">
        <f t="shared" ca="1" si="21"/>
        <v>4121876.7176744328</v>
      </c>
      <c r="R171" s="185">
        <f t="shared" ca="1" si="22"/>
        <v>903587.30540055584</v>
      </c>
      <c r="S171" s="185">
        <f t="shared" ca="1" si="22"/>
        <v>3218289.4122738768</v>
      </c>
      <c r="T171" s="185">
        <f t="shared" ca="1" si="23"/>
        <v>87617379.371382684</v>
      </c>
    </row>
    <row r="172" spans="1:20" x14ac:dyDescent="0.3">
      <c r="A172" s="175">
        <f>'Rumus Plafond + Atrib PP10 (2)'!O160</f>
        <v>157</v>
      </c>
      <c r="B172" s="179">
        <f ca="1">IF(A172&lt;=Simulasi!$B$11,DATE(YEAR(B171),MONTH(B171)+1,1),"")</f>
        <v>51075</v>
      </c>
      <c r="C172" s="180">
        <f ca="1">IF(A172&lt;=Simulasi!$B$11,'Rumus Plafond + Atrib PP10 (2)'!P160,"")</f>
        <v>84367076.0432432</v>
      </c>
      <c r="D172" s="180">
        <f ca="1">IFERROR('Rumus Plafond + Atrib PP10 (2)'!R160,"")</f>
        <v>871573.38953495352</v>
      </c>
      <c r="E172" s="181">
        <f t="shared" ca="1" si="16"/>
        <v>0.21145062048985691</v>
      </c>
      <c r="F172" s="181">
        <f t="shared" ca="1" si="17"/>
        <v>0.78854937951014314</v>
      </c>
      <c r="G172" s="180">
        <f ca="1">IFERROR('Rumus Plafond + Atrib PP10 (2)'!R160,"")</f>
        <v>871573.38953495352</v>
      </c>
      <c r="H172" s="180">
        <f ca="1">IFERROR('Rumus Plafond + Atrib PP10 (2)'!Q160,"")</f>
        <v>3250303.3281394793</v>
      </c>
      <c r="I172" s="181">
        <f t="shared" ca="1" si="18"/>
        <v>0.24104878869498056</v>
      </c>
      <c r="J172" s="181">
        <f t="shared" ca="1" si="19"/>
        <v>0.75895121130501941</v>
      </c>
      <c r="K172" s="180">
        <f ca="1">IFERROR('Rumus Plafond + Atrib PP10 (2)'!S160,"")</f>
        <v>4121876.7176744328</v>
      </c>
      <c r="O172" s="182">
        <f t="shared" si="20"/>
        <v>157</v>
      </c>
      <c r="P172" s="183">
        <f t="shared" ca="1" si="20"/>
        <v>51075</v>
      </c>
      <c r="Q172" s="184">
        <f t="shared" ca="1" si="21"/>
        <v>4121876.7176744328</v>
      </c>
      <c r="R172" s="185">
        <f t="shared" ca="1" si="22"/>
        <v>871573.38953495352</v>
      </c>
      <c r="S172" s="185">
        <f t="shared" ca="1" si="22"/>
        <v>3250303.3281394793</v>
      </c>
      <c r="T172" s="185">
        <f t="shared" ca="1" si="23"/>
        <v>84367076.0432432</v>
      </c>
    </row>
    <row r="173" spans="1:20" x14ac:dyDescent="0.3">
      <c r="A173" s="175">
        <f>'Rumus Plafond + Atrib PP10 (2)'!O161</f>
        <v>158</v>
      </c>
      <c r="B173" s="179">
        <f ca="1">IF(A173&lt;=Simulasi!$B$11,DATE(YEAR(B172),MONTH(B172)+1,1),"")</f>
        <v>51105</v>
      </c>
      <c r="C173" s="180">
        <f ca="1">IF(A173&lt;=Simulasi!$B$11,'Rumus Plafond + Atrib PP10 (2)'!P161,"")</f>
        <v>81084440.340989724</v>
      </c>
      <c r="D173" s="180">
        <f ca="1">IFERROR('Rumus Plafond + Atrib PP10 (2)'!R161,"")</f>
        <v>839241.01542095968</v>
      </c>
      <c r="E173" s="181">
        <f t="shared" ca="1" si="16"/>
        <v>0.20360652996299713</v>
      </c>
      <c r="F173" s="181">
        <f t="shared" ca="1" si="17"/>
        <v>0.79639347003700278</v>
      </c>
      <c r="G173" s="180">
        <f ca="1">IFERROR('Rumus Plafond + Atrib PP10 (2)'!R161,"")</f>
        <v>839241.01542095968</v>
      </c>
      <c r="H173" s="180">
        <f ca="1">IFERROR('Rumus Plafond + Atrib PP10 (2)'!Q161,"")</f>
        <v>3282635.702253473</v>
      </c>
      <c r="I173" s="181">
        <f t="shared" ca="1" si="18"/>
        <v>0.23166982954568494</v>
      </c>
      <c r="J173" s="181">
        <f t="shared" ca="1" si="19"/>
        <v>0.76833017045431506</v>
      </c>
      <c r="K173" s="180">
        <f ca="1">IFERROR('Rumus Plafond + Atrib PP10 (2)'!S161,"")</f>
        <v>4121876.7176744328</v>
      </c>
      <c r="O173" s="182">
        <f t="shared" si="20"/>
        <v>158</v>
      </c>
      <c r="P173" s="183">
        <f t="shared" ca="1" si="20"/>
        <v>51105</v>
      </c>
      <c r="Q173" s="184">
        <f t="shared" ca="1" si="21"/>
        <v>4121876.7176744328</v>
      </c>
      <c r="R173" s="185">
        <f t="shared" ca="1" si="22"/>
        <v>839241.01542095968</v>
      </c>
      <c r="S173" s="185">
        <f t="shared" ca="1" si="22"/>
        <v>3282635.702253473</v>
      </c>
      <c r="T173" s="185">
        <f t="shared" ca="1" si="23"/>
        <v>81084440.340989724</v>
      </c>
    </row>
    <row r="174" spans="1:20" x14ac:dyDescent="0.3">
      <c r="A174" s="175">
        <f>'Rumus Plafond + Atrib PP10 (2)'!O162</f>
        <v>159</v>
      </c>
      <c r="B174" s="179">
        <f ca="1">IF(A174&lt;=Simulasi!$B$11,DATE(YEAR(B173),MONTH(B173)+1,1),"")</f>
        <v>51136</v>
      </c>
      <c r="C174" s="180">
        <f ca="1">IF(A174&lt;=Simulasi!$B$11,'Rumus Plafond + Atrib PP10 (2)'!P162,"")</f>
        <v>77769150.638512224</v>
      </c>
      <c r="D174" s="180">
        <f ca="1">IFERROR('Rumus Plafond + Atrib PP10 (2)'!R162,"")</f>
        <v>806587.01519693574</v>
      </c>
      <c r="E174" s="181">
        <f t="shared" ca="1" si="16"/>
        <v>0.19568441038964721</v>
      </c>
      <c r="F174" s="181">
        <f t="shared" ca="1" si="17"/>
        <v>0.80431558961035277</v>
      </c>
      <c r="G174" s="180">
        <f ca="1">IFERROR('Rumus Plafond + Atrib PP10 (2)'!R162,"")</f>
        <v>806587.01519693574</v>
      </c>
      <c r="H174" s="180">
        <f ca="1">IFERROR('Rumus Plafond + Atrib PP10 (2)'!Q162,"")</f>
        <v>3315289.702477497</v>
      </c>
      <c r="I174" s="181">
        <f t="shared" ca="1" si="18"/>
        <v>0.22219757325289208</v>
      </c>
      <c r="J174" s="181">
        <f t="shared" ca="1" si="19"/>
        <v>0.77780242674710787</v>
      </c>
      <c r="K174" s="180">
        <f ca="1">IFERROR('Rumus Plafond + Atrib PP10 (2)'!S162,"")</f>
        <v>4121876.7176744328</v>
      </c>
      <c r="O174" s="182">
        <f t="shared" si="20"/>
        <v>159</v>
      </c>
      <c r="P174" s="183">
        <f t="shared" ca="1" si="20"/>
        <v>51136</v>
      </c>
      <c r="Q174" s="184">
        <f t="shared" ca="1" si="21"/>
        <v>4121876.7176744328</v>
      </c>
      <c r="R174" s="185">
        <f t="shared" ca="1" si="22"/>
        <v>806587.01519693574</v>
      </c>
      <c r="S174" s="185">
        <f t="shared" ca="1" si="22"/>
        <v>3315289.702477497</v>
      </c>
      <c r="T174" s="185">
        <f t="shared" ca="1" si="23"/>
        <v>77769150.638512224</v>
      </c>
    </row>
    <row r="175" spans="1:20" x14ac:dyDescent="0.3">
      <c r="A175" s="175">
        <f>'Rumus Plafond + Atrib PP10 (2)'!O163</f>
        <v>160</v>
      </c>
      <c r="B175" s="179">
        <f ca="1">IF(A175&lt;=Simulasi!$B$11,DATE(YEAR(B174),MONTH(B174)+1,1),"")</f>
        <v>51167</v>
      </c>
      <c r="C175" s="180">
        <f ca="1">IF(A175&lt;=Simulasi!$B$11,'Rumus Plafond + Atrib PP10 (2)'!P163,"")</f>
        <v>74420882.110326752</v>
      </c>
      <c r="D175" s="180">
        <f ca="1">IFERROR('Rumus Plafond + Atrib PP10 (2)'!R163,"")</f>
        <v>773608.18948895752</v>
      </c>
      <c r="E175" s="181">
        <f t="shared" ca="1" si="16"/>
        <v>0.18768348557630518</v>
      </c>
      <c r="F175" s="181">
        <f t="shared" ca="1" si="17"/>
        <v>0.81231651442369479</v>
      </c>
      <c r="G175" s="180">
        <f ca="1">IFERROR('Rumus Plafond + Atrib PP10 (2)'!R163,"")</f>
        <v>773608.18948895752</v>
      </c>
      <c r="H175" s="180">
        <f ca="1">IFERROR('Rumus Plafond + Atrib PP10 (2)'!Q163,"")</f>
        <v>3348268.5281854752</v>
      </c>
      <c r="I175" s="181">
        <f t="shared" ca="1" si="18"/>
        <v>0.21263109174379072</v>
      </c>
      <c r="J175" s="181">
        <f t="shared" ca="1" si="19"/>
        <v>0.7873689082562092</v>
      </c>
      <c r="K175" s="180">
        <f ca="1">IFERROR('Rumus Plafond + Atrib PP10 (2)'!S163,"")</f>
        <v>4121876.7176744328</v>
      </c>
      <c r="O175" s="182">
        <f t="shared" si="20"/>
        <v>160</v>
      </c>
      <c r="P175" s="183">
        <f t="shared" ca="1" si="20"/>
        <v>51167</v>
      </c>
      <c r="Q175" s="184">
        <f t="shared" ca="1" si="21"/>
        <v>4121876.7176744328</v>
      </c>
      <c r="R175" s="185">
        <f t="shared" ca="1" si="22"/>
        <v>773608.18948895752</v>
      </c>
      <c r="S175" s="185">
        <f t="shared" ca="1" si="22"/>
        <v>3348268.5281854752</v>
      </c>
      <c r="T175" s="185">
        <f t="shared" ca="1" si="23"/>
        <v>74420882.110326752</v>
      </c>
    </row>
    <row r="176" spans="1:20" x14ac:dyDescent="0.3">
      <c r="A176" s="175">
        <f>'Rumus Plafond + Atrib PP10 (2)'!O164</f>
        <v>161</v>
      </c>
      <c r="B176" s="179">
        <f ca="1">IF(A176&lt;=Simulasi!$B$11,DATE(YEAR(B175),MONTH(B175)+1,1),"")</f>
        <v>51196</v>
      </c>
      <c r="C176" s="180">
        <f ca="1">IF(A176&lt;=Simulasi!$B$11,'Rumus Plafond + Atrib PP10 (2)'!P164,"")</f>
        <v>71039306.699749663</v>
      </c>
      <c r="D176" s="180">
        <f ca="1">IFERROR('Rumus Plafond + Atrib PP10 (2)'!R164,"")</f>
        <v>740301.30709734641</v>
      </c>
      <c r="E176" s="181">
        <f t="shared" ca="1" si="16"/>
        <v>0.17960297160828848</v>
      </c>
      <c r="F176" s="181">
        <f t="shared" ca="1" si="17"/>
        <v>0.82039702839171147</v>
      </c>
      <c r="G176" s="180">
        <f ca="1">IFERROR('Rumus Plafond + Atrib PP10 (2)'!R164,"")</f>
        <v>740301.30709734641</v>
      </c>
      <c r="H176" s="180">
        <f ca="1">IFERROR('Rumus Plafond + Atrib PP10 (2)'!Q164,"")</f>
        <v>3381575.4105770863</v>
      </c>
      <c r="I176" s="181">
        <f t="shared" ca="1" si="18"/>
        <v>0.20296944771357048</v>
      </c>
      <c r="J176" s="181">
        <f t="shared" ca="1" si="19"/>
        <v>0.79703055228642961</v>
      </c>
      <c r="K176" s="180">
        <f ca="1">IFERROR('Rumus Plafond + Atrib PP10 (2)'!S164,"")</f>
        <v>4121876.7176744328</v>
      </c>
      <c r="O176" s="182">
        <f t="shared" si="20"/>
        <v>161</v>
      </c>
      <c r="P176" s="183">
        <f t="shared" ca="1" si="20"/>
        <v>51196</v>
      </c>
      <c r="Q176" s="184">
        <f t="shared" ca="1" si="21"/>
        <v>4121876.7176744328</v>
      </c>
      <c r="R176" s="185">
        <f t="shared" ca="1" si="22"/>
        <v>740301.30709734641</v>
      </c>
      <c r="S176" s="185">
        <f t="shared" ca="1" si="22"/>
        <v>3381575.4105770863</v>
      </c>
      <c r="T176" s="185">
        <f t="shared" ca="1" si="23"/>
        <v>71039306.699749663</v>
      </c>
    </row>
    <row r="177" spans="1:20" x14ac:dyDescent="0.3">
      <c r="A177" s="175">
        <f>'Rumus Plafond + Atrib PP10 (2)'!O165</f>
        <v>162</v>
      </c>
      <c r="B177" s="179">
        <f ca="1">IF(A177&lt;=Simulasi!$B$11,DATE(YEAR(B176),MONTH(B176)+1,1),"")</f>
        <v>51227</v>
      </c>
      <c r="C177" s="180">
        <f ca="1">IF(A177&lt;=Simulasi!$B$11,'Rumus Plafond + Atrib PP10 (2)'!P165,"")</f>
        <v>67624093.08675532</v>
      </c>
      <c r="D177" s="180">
        <f ca="1">IFERROR('Rumus Plafond + Atrib PP10 (2)'!R165,"")</f>
        <v>706663.10468008288</v>
      </c>
      <c r="E177" s="181">
        <f t="shared" ca="1" si="16"/>
        <v>0.17144207677292758</v>
      </c>
      <c r="F177" s="181">
        <f t="shared" ca="1" si="17"/>
        <v>0.82855792322707245</v>
      </c>
      <c r="G177" s="180">
        <f ca="1">IFERROR('Rumus Plafond + Atrib PP10 (2)'!R165,"")</f>
        <v>706663.10468008288</v>
      </c>
      <c r="H177" s="180">
        <f ca="1">IFERROR('Rumus Plafond + Atrib PP10 (2)'!Q165,"")</f>
        <v>3415213.61299435</v>
      </c>
      <c r="I177" s="181">
        <f t="shared" ca="1" si="18"/>
        <v>0.19321169453358664</v>
      </c>
      <c r="J177" s="181">
        <f t="shared" ca="1" si="19"/>
        <v>0.80678830546641334</v>
      </c>
      <c r="K177" s="180">
        <f ca="1">IFERROR('Rumus Plafond + Atrib PP10 (2)'!S165,"")</f>
        <v>4121876.7176744328</v>
      </c>
      <c r="O177" s="182">
        <f t="shared" si="20"/>
        <v>162</v>
      </c>
      <c r="P177" s="183">
        <f t="shared" ca="1" si="20"/>
        <v>51227</v>
      </c>
      <c r="Q177" s="184">
        <f t="shared" ca="1" si="21"/>
        <v>4121876.7176744328</v>
      </c>
      <c r="R177" s="185">
        <f t="shared" ca="1" si="22"/>
        <v>706663.10468008288</v>
      </c>
      <c r="S177" s="185">
        <f t="shared" ca="1" si="22"/>
        <v>3415213.61299435</v>
      </c>
      <c r="T177" s="185">
        <f t="shared" ca="1" si="23"/>
        <v>67624093.08675532</v>
      </c>
    </row>
    <row r="178" spans="1:20" x14ac:dyDescent="0.3">
      <c r="A178" s="175">
        <f>'Rumus Plafond + Atrib PP10 (2)'!O166</f>
        <v>163</v>
      </c>
      <c r="B178" s="179">
        <f ca="1">IF(A178&lt;=Simulasi!$B$11,DATE(YEAR(B177),MONTH(B177)+1,1),"")</f>
        <v>51257</v>
      </c>
      <c r="C178" s="180">
        <f ca="1">IF(A178&lt;=Simulasi!$B$11,'Rumus Plafond + Atrib PP10 (2)'!P166,"")</f>
        <v>64174906.655513957</v>
      </c>
      <c r="D178" s="180">
        <f ca="1">IFERROR('Rumus Plafond + Atrib PP10 (2)'!R166,"")</f>
        <v>672690.28643307195</v>
      </c>
      <c r="E178" s="181">
        <f t="shared" ca="1" si="16"/>
        <v>0.16320000148199593</v>
      </c>
      <c r="F178" s="181">
        <f t="shared" ca="1" si="17"/>
        <v>0.83679999851800413</v>
      </c>
      <c r="G178" s="180">
        <f ca="1">IFERROR('Rumus Plafond + Atrib PP10 (2)'!R166,"")</f>
        <v>672690.28643307195</v>
      </c>
      <c r="H178" s="180">
        <f ca="1">IFERROR('Rumus Plafond + Atrib PP10 (2)'!Q166,"")</f>
        <v>3449186.431241361</v>
      </c>
      <c r="I178" s="181">
        <f t="shared" ca="1" si="18"/>
        <v>0.18335687615861129</v>
      </c>
      <c r="J178" s="181">
        <f t="shared" ca="1" si="19"/>
        <v>0.81664312384138871</v>
      </c>
      <c r="K178" s="180">
        <f ca="1">IFERROR('Rumus Plafond + Atrib PP10 (2)'!S166,"")</f>
        <v>4121876.7176744328</v>
      </c>
      <c r="O178" s="182">
        <f t="shared" si="20"/>
        <v>163</v>
      </c>
      <c r="P178" s="183">
        <f t="shared" ca="1" si="20"/>
        <v>51257</v>
      </c>
      <c r="Q178" s="184">
        <f t="shared" ca="1" si="21"/>
        <v>4121876.7176744328</v>
      </c>
      <c r="R178" s="185">
        <f t="shared" ca="1" si="22"/>
        <v>672690.28643307195</v>
      </c>
      <c r="S178" s="185">
        <f t="shared" ca="1" si="22"/>
        <v>3449186.431241361</v>
      </c>
      <c r="T178" s="185">
        <f t="shared" ca="1" si="23"/>
        <v>64174906.655513957</v>
      </c>
    </row>
    <row r="179" spans="1:20" x14ac:dyDescent="0.3">
      <c r="A179" s="175">
        <f>'Rumus Plafond + Atrib PP10 (2)'!O167</f>
        <v>164</v>
      </c>
      <c r="B179" s="179">
        <f ca="1">IF(A179&lt;=Simulasi!$B$11,DATE(YEAR(B178),MONTH(B178)+1,1),"")</f>
        <v>51288</v>
      </c>
      <c r="C179" s="180">
        <f ca="1">IF(A179&lt;=Simulasi!$B$11,'Rumus Plafond + Atrib PP10 (2)'!P167,"")</f>
        <v>60691409.461606748</v>
      </c>
      <c r="D179" s="180">
        <f ca="1">IFERROR('Rumus Plafond + Atrib PP10 (2)'!R167,"")</f>
        <v>638379.52376722486</v>
      </c>
      <c r="E179" s="181">
        <f t="shared" ca="1" si="16"/>
        <v>0.15487593819336723</v>
      </c>
      <c r="F179" s="181">
        <f t="shared" ca="1" si="17"/>
        <v>0.84512406180663269</v>
      </c>
      <c r="G179" s="180">
        <f ca="1">IFERROR('Rumus Plafond + Atrib PP10 (2)'!R167,"")</f>
        <v>638379.52376722486</v>
      </c>
      <c r="H179" s="180">
        <f ca="1">IFERROR('Rumus Plafond + Atrib PP10 (2)'!Q167,"")</f>
        <v>3483497.1939072078</v>
      </c>
      <c r="I179" s="181">
        <f t="shared" ca="1" si="18"/>
        <v>0.17340402703316213</v>
      </c>
      <c r="J179" s="181">
        <f t="shared" ca="1" si="19"/>
        <v>0.82659597296683784</v>
      </c>
      <c r="K179" s="180">
        <f ca="1">IFERROR('Rumus Plafond + Atrib PP10 (2)'!S167,"")</f>
        <v>4121876.7176744328</v>
      </c>
      <c r="O179" s="182">
        <f t="shared" si="20"/>
        <v>164</v>
      </c>
      <c r="P179" s="183">
        <f t="shared" ca="1" si="20"/>
        <v>51288</v>
      </c>
      <c r="Q179" s="184">
        <f t="shared" ca="1" si="21"/>
        <v>4121876.7176744328</v>
      </c>
      <c r="R179" s="185">
        <f t="shared" ca="1" si="22"/>
        <v>638379.52376722486</v>
      </c>
      <c r="S179" s="185">
        <f t="shared" ca="1" si="22"/>
        <v>3483497.1939072078</v>
      </c>
      <c r="T179" s="185">
        <f t="shared" ca="1" si="23"/>
        <v>60691409.461606748</v>
      </c>
    </row>
    <row r="180" spans="1:20" x14ac:dyDescent="0.3">
      <c r="A180" s="175">
        <f>'Rumus Plafond + Atrib PP10 (2)'!O168</f>
        <v>165</v>
      </c>
      <c r="B180" s="179">
        <f ca="1">IF(A180&lt;=Simulasi!$B$11,DATE(YEAR(B179),MONTH(B179)+1,1),"")</f>
        <v>51318</v>
      </c>
      <c r="C180" s="180">
        <f ca="1">IF(A180&lt;=Simulasi!$B$11,'Rumus Plafond + Atrib PP10 (2)'!P168,"")</f>
        <v>57173260.198914647</v>
      </c>
      <c r="D180" s="180">
        <f ca="1">IFERROR('Rumus Plafond + Atrib PP10 (2)'!R168,"")</f>
        <v>603727.45498233195</v>
      </c>
      <c r="E180" s="181">
        <f t="shared" ca="1" si="16"/>
        <v>0.14646907133189457</v>
      </c>
      <c r="F180" s="181">
        <f t="shared" ca="1" si="17"/>
        <v>0.85353092866810543</v>
      </c>
      <c r="G180" s="180">
        <f ca="1">IFERROR('Rumus Plafond + Atrib PP10 (2)'!R168,"")</f>
        <v>603727.45498233195</v>
      </c>
      <c r="H180" s="180">
        <f ca="1">IFERROR('Rumus Plafond + Atrib PP10 (2)'!Q168,"")</f>
        <v>3518149.2626921008</v>
      </c>
      <c r="I180" s="181">
        <f t="shared" ca="1" si="18"/>
        <v>0.163352171996899</v>
      </c>
      <c r="J180" s="181">
        <f t="shared" ca="1" si="19"/>
        <v>0.836647828003101</v>
      </c>
      <c r="K180" s="180">
        <f ca="1">IFERROR('Rumus Plafond + Atrib PP10 (2)'!S168,"")</f>
        <v>4121876.7176744328</v>
      </c>
      <c r="O180" s="182">
        <f t="shared" si="20"/>
        <v>165</v>
      </c>
      <c r="P180" s="183">
        <f t="shared" ca="1" si="20"/>
        <v>51318</v>
      </c>
      <c r="Q180" s="184">
        <f t="shared" ca="1" si="21"/>
        <v>4121876.7176744328</v>
      </c>
      <c r="R180" s="185">
        <f t="shared" ca="1" si="22"/>
        <v>603727.45498233195</v>
      </c>
      <c r="S180" s="185">
        <f t="shared" ca="1" si="22"/>
        <v>3518149.2626921008</v>
      </c>
      <c r="T180" s="185">
        <f t="shared" ca="1" si="23"/>
        <v>57173260.198914647</v>
      </c>
    </row>
    <row r="181" spans="1:20" x14ac:dyDescent="0.3">
      <c r="A181" s="175">
        <f>'Rumus Plafond + Atrib PP10 (2)'!O169</f>
        <v>166</v>
      </c>
      <c r="B181" s="179">
        <f ca="1">IF(A181&lt;=Simulasi!$B$11,DATE(YEAR(B180),MONTH(B180)+1,1),"")</f>
        <v>51349</v>
      </c>
      <c r="C181" s="180">
        <f ca="1">IF(A181&lt;=Simulasi!$B$11,'Rumus Plafond + Atrib PP10 (2)'!P169,"")</f>
        <v>53620114.166177906</v>
      </c>
      <c r="D181" s="180">
        <f ca="1">IFERROR('Rumus Plafond + Atrib PP10 (2)'!R169,"")</f>
        <v>568730.6849376898</v>
      </c>
      <c r="E181" s="181">
        <f t="shared" ca="1" si="16"/>
        <v>0.13797857720950185</v>
      </c>
      <c r="F181" s="181">
        <f t="shared" ca="1" si="17"/>
        <v>0.86202142279049809</v>
      </c>
      <c r="G181" s="180">
        <f ca="1">IFERROR('Rumus Plafond + Atrib PP10 (2)'!R169,"")</f>
        <v>568730.6849376898</v>
      </c>
      <c r="H181" s="180">
        <f ca="1">IFERROR('Rumus Plafond + Atrib PP10 (2)'!Q169,"")</f>
        <v>3553146.0327367429</v>
      </c>
      <c r="I181" s="181">
        <f t="shared" ca="1" si="18"/>
        <v>0.15320032618907972</v>
      </c>
      <c r="J181" s="181">
        <f t="shared" ca="1" si="19"/>
        <v>0.84679967381092025</v>
      </c>
      <c r="K181" s="180">
        <f ca="1">IFERROR('Rumus Plafond + Atrib PP10 (2)'!S169,"")</f>
        <v>4121876.7176744328</v>
      </c>
      <c r="O181" s="182">
        <f t="shared" si="20"/>
        <v>166</v>
      </c>
      <c r="P181" s="183">
        <f t="shared" ca="1" si="20"/>
        <v>51349</v>
      </c>
      <c r="Q181" s="184">
        <f t="shared" ca="1" si="21"/>
        <v>4121876.7176744328</v>
      </c>
      <c r="R181" s="185">
        <f t="shared" ca="1" si="22"/>
        <v>568730.6849376898</v>
      </c>
      <c r="S181" s="185">
        <f t="shared" ca="1" si="22"/>
        <v>3553146.0327367429</v>
      </c>
      <c r="T181" s="185">
        <f t="shared" ca="1" si="23"/>
        <v>53620114.166177906</v>
      </c>
    </row>
    <row r="182" spans="1:20" x14ac:dyDescent="0.3">
      <c r="A182" s="175">
        <f>'Rumus Plafond + Atrib PP10 (2)'!O170</f>
        <v>167</v>
      </c>
      <c r="B182" s="179">
        <f ca="1">IF(A182&lt;=Simulasi!$B$11,DATE(YEAR(B181),MONTH(B181)+1,1),"")</f>
        <v>51380</v>
      </c>
      <c r="C182" s="180">
        <f ca="1">IF(A182&lt;=Simulasi!$B$11,'Rumus Plafond + Atrib PP10 (2)'!P170,"")</f>
        <v>50031623.233222924</v>
      </c>
      <c r="D182" s="180">
        <f ca="1">IFERROR('Rumus Plafond + Atrib PP10 (2)'!R170,"")</f>
        <v>533385.78471945168</v>
      </c>
      <c r="E182" s="181">
        <f t="shared" ca="1" si="16"/>
        <v>0.12940362394448043</v>
      </c>
      <c r="F182" s="181">
        <f t="shared" ca="1" si="17"/>
        <v>0.87059637605551954</v>
      </c>
      <c r="G182" s="180">
        <f ca="1">IFERROR('Rumus Plafond + Atrib PP10 (2)'!R170,"")</f>
        <v>533385.78471945168</v>
      </c>
      <c r="H182" s="180">
        <f ca="1">IFERROR('Rumus Plafond + Atrib PP10 (2)'!Q170,"")</f>
        <v>3588490.932954981</v>
      </c>
      <c r="I182" s="181">
        <f t="shared" ca="1" si="18"/>
        <v>0.14294749495206549</v>
      </c>
      <c r="J182" s="181">
        <f t="shared" ca="1" si="19"/>
        <v>0.85705250504793462</v>
      </c>
      <c r="K182" s="180">
        <f ca="1">IFERROR('Rumus Plafond + Atrib PP10 (2)'!S170,"")</f>
        <v>4121876.7176744328</v>
      </c>
      <c r="O182" s="182">
        <f t="shared" si="20"/>
        <v>167</v>
      </c>
      <c r="P182" s="183">
        <f t="shared" ca="1" si="20"/>
        <v>51380</v>
      </c>
      <c r="Q182" s="184">
        <f t="shared" ca="1" si="21"/>
        <v>4121876.7176744328</v>
      </c>
      <c r="R182" s="185">
        <f t="shared" ca="1" si="22"/>
        <v>533385.78471945168</v>
      </c>
      <c r="S182" s="185">
        <f t="shared" ca="1" si="22"/>
        <v>3588490.932954981</v>
      </c>
      <c r="T182" s="185">
        <f t="shared" ca="1" si="23"/>
        <v>50031623.233222924</v>
      </c>
    </row>
    <row r="183" spans="1:20" x14ac:dyDescent="0.3">
      <c r="A183" s="175">
        <f>'Rumus Plafond + Atrib PP10 (2)'!O171</f>
        <v>168</v>
      </c>
      <c r="B183" s="179">
        <f ca="1">IF(A183&lt;=Simulasi!$B$11,DATE(YEAR(B182),MONTH(B182)+1,1),"")</f>
        <v>51410</v>
      </c>
      <c r="C183" s="180">
        <f ca="1">IF(A183&lt;=Simulasi!$B$11,'Rumus Plafond + Atrib PP10 (2)'!P171,"")</f>
        <v>46407435.80685316</v>
      </c>
      <c r="D183" s="180">
        <f ca="1">IFERROR('Rumus Plafond + Atrib PP10 (2)'!R171,"")</f>
        <v>497689.29130466963</v>
      </c>
      <c r="E183" s="181">
        <f t="shared" ca="1" si="16"/>
        <v>0.12074337137998306</v>
      </c>
      <c r="F183" s="181">
        <f t="shared" ca="1" si="17"/>
        <v>0.87925662862001686</v>
      </c>
      <c r="G183" s="180">
        <f ca="1">IFERROR('Rumus Plafond + Atrib PP10 (2)'!R171,"")</f>
        <v>497689.29130466963</v>
      </c>
      <c r="H183" s="180">
        <f ca="1">IFERROR('Rumus Plafond + Atrib PP10 (2)'!Q171,"")</f>
        <v>3624187.426369763</v>
      </c>
      <c r="I183" s="181">
        <f t="shared" ca="1" si="18"/>
        <v>0.13259267373386618</v>
      </c>
      <c r="J183" s="181">
        <f t="shared" ca="1" si="19"/>
        <v>0.86740732626613382</v>
      </c>
      <c r="K183" s="180">
        <f ca="1">IFERROR('Rumus Plafond + Atrib PP10 (2)'!S171,"")</f>
        <v>4121876.7176744328</v>
      </c>
      <c r="O183" s="182">
        <f t="shared" si="20"/>
        <v>168</v>
      </c>
      <c r="P183" s="183">
        <f t="shared" ca="1" si="20"/>
        <v>51410</v>
      </c>
      <c r="Q183" s="184">
        <f t="shared" ca="1" si="21"/>
        <v>4121876.7176744328</v>
      </c>
      <c r="R183" s="185">
        <f t="shared" ca="1" si="22"/>
        <v>497689.29130466963</v>
      </c>
      <c r="S183" s="185">
        <f t="shared" ca="1" si="22"/>
        <v>3624187.426369763</v>
      </c>
      <c r="T183" s="185">
        <f t="shared" ca="1" si="23"/>
        <v>46407435.80685316</v>
      </c>
    </row>
    <row r="184" spans="1:20" x14ac:dyDescent="0.3">
      <c r="A184" s="175">
        <f>'Rumus Plafond + Atrib PP10 (2)'!O172</f>
        <v>169</v>
      </c>
      <c r="B184" s="179">
        <f ca="1">IF(A184&lt;=Simulasi!$B$11,DATE(YEAR(B183),MONTH(B183)+1,1),"")</f>
        <v>51441</v>
      </c>
      <c r="C184" s="180">
        <f ca="1">IF(A184&lt;=Simulasi!$B$11,'Rumus Plafond + Atrib PP10 (2)'!P172,"")</f>
        <v>42747196.796400726</v>
      </c>
      <c r="D184" s="180">
        <f ca="1">IFERROR('Rumus Plafond + Atrib PP10 (2)'!R172,"")</f>
        <v>461637.70722199447</v>
      </c>
      <c r="E184" s="181">
        <f t="shared" ca="1" si="16"/>
        <v>0.11199697100170695</v>
      </c>
      <c r="F184" s="181">
        <f t="shared" ca="1" si="17"/>
        <v>0.88800302899829298</v>
      </c>
      <c r="G184" s="180">
        <f ca="1">IFERROR('Rumus Plafond + Atrib PP10 (2)'!R172,"")</f>
        <v>461637.70722199447</v>
      </c>
      <c r="H184" s="180">
        <f ca="1">IFERROR('Rumus Plafond + Atrib PP10 (2)'!Q172,"")</f>
        <v>3660239.0104524381</v>
      </c>
      <c r="I184" s="181">
        <f t="shared" ca="1" si="18"/>
        <v>0.12213484798971636</v>
      </c>
      <c r="J184" s="181">
        <f t="shared" ca="1" si="19"/>
        <v>0.87786515201028359</v>
      </c>
      <c r="K184" s="180">
        <f ca="1">IFERROR('Rumus Plafond + Atrib PP10 (2)'!S172,"")</f>
        <v>4121876.7176744328</v>
      </c>
      <c r="O184" s="182">
        <f t="shared" si="20"/>
        <v>169</v>
      </c>
      <c r="P184" s="183">
        <f t="shared" ca="1" si="20"/>
        <v>51441</v>
      </c>
      <c r="Q184" s="184">
        <f t="shared" ca="1" si="21"/>
        <v>4121876.7176744328</v>
      </c>
      <c r="R184" s="185">
        <f t="shared" ca="1" si="22"/>
        <v>461637.70722199447</v>
      </c>
      <c r="S184" s="185">
        <f t="shared" ca="1" si="22"/>
        <v>3660239.0104524381</v>
      </c>
      <c r="T184" s="185">
        <f t="shared" ca="1" si="23"/>
        <v>42747196.796400726</v>
      </c>
    </row>
    <row r="185" spans="1:20" x14ac:dyDescent="0.3">
      <c r="A185" s="175">
        <f>'Rumus Plafond + Atrib PP10 (2)'!O173</f>
        <v>170</v>
      </c>
      <c r="B185" s="179">
        <f ca="1">IF(A185&lt;=Simulasi!$B$11,DATE(YEAR(B184),MONTH(B184)+1,1),"")</f>
        <v>51471</v>
      </c>
      <c r="C185" s="180">
        <f ca="1">IF(A185&lt;=Simulasi!$B$11,'Rumus Plafond + Atrib PP10 (2)'!P173,"")</f>
        <v>39050547.578935295</v>
      </c>
      <c r="D185" s="180">
        <f ca="1">IFERROR('Rumus Plafond + Atrib PP10 (2)'!R173,"")</f>
        <v>425227.50020900025</v>
      </c>
      <c r="E185" s="181">
        <f t="shared" ca="1" si="16"/>
        <v>0.10316356585475804</v>
      </c>
      <c r="F185" s="181">
        <f t="shared" ca="1" si="17"/>
        <v>0.89683643414524195</v>
      </c>
      <c r="G185" s="180">
        <f ca="1">IFERROR('Rumus Plafond + Atrib PP10 (2)'!R173,"")</f>
        <v>425227.50020900025</v>
      </c>
      <c r="H185" s="180">
        <f ca="1">IFERROR('Rumus Plafond + Atrib PP10 (2)'!Q173,"")</f>
        <v>3696649.2174654324</v>
      </c>
      <c r="I185" s="181">
        <f t="shared" ca="1" si="18"/>
        <v>0.11157299308267227</v>
      </c>
      <c r="J185" s="181">
        <f t="shared" ca="1" si="19"/>
        <v>0.88842700691732779</v>
      </c>
      <c r="K185" s="180">
        <f ca="1">IFERROR('Rumus Plafond + Atrib PP10 (2)'!S173,"")</f>
        <v>4121876.7176744328</v>
      </c>
      <c r="O185" s="182">
        <f t="shared" si="20"/>
        <v>170</v>
      </c>
      <c r="P185" s="183">
        <f t="shared" ca="1" si="20"/>
        <v>51471</v>
      </c>
      <c r="Q185" s="184">
        <f t="shared" ca="1" si="21"/>
        <v>4121876.7176744328</v>
      </c>
      <c r="R185" s="185">
        <f t="shared" ca="1" si="22"/>
        <v>425227.50020900025</v>
      </c>
      <c r="S185" s="185">
        <f t="shared" ca="1" si="22"/>
        <v>3696649.2174654324</v>
      </c>
      <c r="T185" s="185">
        <f t="shared" ca="1" si="23"/>
        <v>39050547.578935295</v>
      </c>
    </row>
    <row r="186" spans="1:20" x14ac:dyDescent="0.3">
      <c r="A186" s="175">
        <f>'Rumus Plafond + Atrib PP10 (2)'!O174</f>
        <v>171</v>
      </c>
      <c r="B186" s="179">
        <f ca="1">IF(A186&lt;=Simulasi!$B$11,DATE(YEAR(B185),MONTH(B185)+1,1),"")</f>
        <v>51502</v>
      </c>
      <c r="C186" s="180">
        <f ca="1">IF(A186&lt;=Simulasi!$B$11,'Rumus Plafond + Atrib PP10 (2)'!P174,"")</f>
        <v>35317125.964126959</v>
      </c>
      <c r="D186" s="180">
        <f ca="1">IFERROR('Rumus Plafond + Atrib PP10 (2)'!R174,"")</f>
        <v>388455.10286610044</v>
      </c>
      <c r="E186" s="181">
        <f t="shared" ca="1" si="16"/>
        <v>9.424229045968828E-2</v>
      </c>
      <c r="F186" s="181">
        <f t="shared" ca="1" si="17"/>
        <v>0.90575770954031165</v>
      </c>
      <c r="G186" s="180">
        <f ca="1">IFERROR('Rumus Plafond + Atrib PP10 (2)'!R174,"")</f>
        <v>388455.10286610044</v>
      </c>
      <c r="H186" s="180">
        <f ca="1">IFERROR('Rumus Plafond + Atrib PP10 (2)'!Q174,"")</f>
        <v>3733421.6148083322</v>
      </c>
      <c r="I186" s="181">
        <f t="shared" ca="1" si="18"/>
        <v>0.10090607418321988</v>
      </c>
      <c r="J186" s="181">
        <f t="shared" ca="1" si="19"/>
        <v>0.89909392581678016</v>
      </c>
      <c r="K186" s="180">
        <f ca="1">IFERROR('Rumus Plafond + Atrib PP10 (2)'!S174,"")</f>
        <v>4121876.7176744328</v>
      </c>
      <c r="O186" s="182">
        <f t="shared" si="20"/>
        <v>171</v>
      </c>
      <c r="P186" s="183">
        <f t="shared" ca="1" si="20"/>
        <v>51502</v>
      </c>
      <c r="Q186" s="184">
        <f t="shared" ca="1" si="21"/>
        <v>4121876.7176744328</v>
      </c>
      <c r="R186" s="185">
        <f t="shared" ca="1" si="22"/>
        <v>388455.10286610044</v>
      </c>
      <c r="S186" s="185">
        <f t="shared" ca="1" si="22"/>
        <v>3733421.6148083322</v>
      </c>
      <c r="T186" s="185">
        <f t="shared" ca="1" si="23"/>
        <v>35317125.964126959</v>
      </c>
    </row>
    <row r="187" spans="1:20" x14ac:dyDescent="0.3">
      <c r="A187" s="175">
        <f>'Rumus Plafond + Atrib PP10 (2)'!O175</f>
        <v>172</v>
      </c>
      <c r="B187" s="179">
        <f ca="1">IF(A187&lt;=Simulasi!$B$11,DATE(YEAR(B186),MONTH(B186)+1,1),"")</f>
        <v>51533</v>
      </c>
      <c r="C187" s="180">
        <f ca="1">IF(A187&lt;=Simulasi!$B$11,'Rumus Plafond + Atrib PP10 (2)'!P175,"")</f>
        <v>31546566.158759549</v>
      </c>
      <c r="D187" s="180">
        <f ca="1">IFERROR('Rumus Plafond + Atrib PP10 (2)'!R175,"")</f>
        <v>351316.91230702103</v>
      </c>
      <c r="E187" s="181">
        <f t="shared" ca="1" si="16"/>
        <v>8.5232270727697651E-2</v>
      </c>
      <c r="F187" s="181">
        <f t="shared" ca="1" si="17"/>
        <v>0.91476772927230232</v>
      </c>
      <c r="G187" s="180">
        <f ca="1">IFERROR('Rumus Plafond + Atrib PP10 (2)'!R175,"")</f>
        <v>351316.91230702103</v>
      </c>
      <c r="H187" s="180">
        <f ca="1">IFERROR('Rumus Plafond + Atrib PP10 (2)'!Q175,"")</f>
        <v>3770559.8053674116</v>
      </c>
      <c r="I187" s="181">
        <f t="shared" ca="1" si="18"/>
        <v>9.0133046167884423E-2</v>
      </c>
      <c r="J187" s="181">
        <f t="shared" ca="1" si="19"/>
        <v>0.90986695383211558</v>
      </c>
      <c r="K187" s="180">
        <f ca="1">IFERROR('Rumus Plafond + Atrib PP10 (2)'!S175,"")</f>
        <v>4121876.7176744328</v>
      </c>
      <c r="O187" s="182">
        <f t="shared" si="20"/>
        <v>172</v>
      </c>
      <c r="P187" s="183">
        <f t="shared" ca="1" si="20"/>
        <v>51533</v>
      </c>
      <c r="Q187" s="184">
        <f t="shared" ca="1" si="21"/>
        <v>4121876.7176744328</v>
      </c>
      <c r="R187" s="185">
        <f t="shared" ca="1" si="22"/>
        <v>351316.91230702103</v>
      </c>
      <c r="S187" s="185">
        <f t="shared" ca="1" si="22"/>
        <v>3770559.8053674116</v>
      </c>
      <c r="T187" s="185">
        <f t="shared" ca="1" si="23"/>
        <v>31546566.158759549</v>
      </c>
    </row>
    <row r="188" spans="1:20" x14ac:dyDescent="0.3">
      <c r="A188" s="175">
        <f>'Rumus Plafond + Atrib PP10 (2)'!O176</f>
        <v>173</v>
      </c>
      <c r="B188" s="179">
        <f ca="1">IF(A188&lt;=Simulasi!$B$11,DATE(YEAR(B187),MONTH(B187)+1,1),"")</f>
        <v>51561</v>
      </c>
      <c r="C188" s="180">
        <f ca="1">IF(A188&lt;=Simulasi!$B$11,'Rumus Plafond + Atrib PP10 (2)'!P176,"")</f>
        <v>27738498.730890915</v>
      </c>
      <c r="D188" s="180">
        <f ca="1">IFERROR('Rumus Plafond + Atrib PP10 (2)'!R176,"")</f>
        <v>313809.28980579734</v>
      </c>
      <c r="E188" s="181">
        <f t="shared" ca="1" si="16"/>
        <v>7.6132623874992769E-2</v>
      </c>
      <c r="F188" s="181">
        <f t="shared" ca="1" si="17"/>
        <v>0.92386737612500724</v>
      </c>
      <c r="G188" s="180">
        <f ca="1">IFERROR('Rumus Plafond + Atrib PP10 (2)'!R176,"")</f>
        <v>313809.28980579734</v>
      </c>
      <c r="H188" s="180">
        <f ca="1">IFERROR('Rumus Plafond + Atrib PP10 (2)'!Q176,"")</f>
        <v>3808067.4278686354</v>
      </c>
      <c r="I188" s="181">
        <f t="shared" ca="1" si="18"/>
        <v>7.9252853516831187E-2</v>
      </c>
      <c r="J188" s="181">
        <f t="shared" ca="1" si="19"/>
        <v>0.9207471464831688</v>
      </c>
      <c r="K188" s="180">
        <f ca="1">IFERROR('Rumus Plafond + Atrib PP10 (2)'!S176,"")</f>
        <v>4121876.7176744328</v>
      </c>
      <c r="O188" s="182">
        <f t="shared" si="20"/>
        <v>173</v>
      </c>
      <c r="P188" s="183">
        <f t="shared" ca="1" si="20"/>
        <v>51561</v>
      </c>
      <c r="Q188" s="184">
        <f t="shared" ca="1" si="21"/>
        <v>4121876.7176744328</v>
      </c>
      <c r="R188" s="185">
        <f t="shared" ca="1" si="22"/>
        <v>313809.28980579734</v>
      </c>
      <c r="S188" s="185">
        <f t="shared" ca="1" si="22"/>
        <v>3808067.4278686354</v>
      </c>
      <c r="T188" s="185">
        <f t="shared" ca="1" si="23"/>
        <v>27738498.730890915</v>
      </c>
    </row>
    <row r="189" spans="1:20" x14ac:dyDescent="0.3">
      <c r="A189" s="175">
        <f>'Rumus Plafond + Atrib PP10 (2)'!O177</f>
        <v>174</v>
      </c>
      <c r="B189" s="179">
        <f ca="1">IF(A189&lt;=Simulasi!$B$11,DATE(YEAR(B188),MONTH(B188)+1,1),"")</f>
        <v>51592</v>
      </c>
      <c r="C189" s="180">
        <f ca="1">IF(A189&lt;=Simulasi!$B$11,'Rumus Plafond + Atrib PP10 (2)'!P177,"")</f>
        <v>23892550.573656742</v>
      </c>
      <c r="D189" s="180">
        <f ca="1">IFERROR('Rumus Plafond + Atrib PP10 (2)'!R177,"")</f>
        <v>275928.56044025818</v>
      </c>
      <c r="E189" s="181">
        <f t="shared" ca="1" si="16"/>
        <v>6.6942458336293323E-2</v>
      </c>
      <c r="F189" s="181">
        <f t="shared" ca="1" si="17"/>
        <v>0.93305754166370669</v>
      </c>
      <c r="G189" s="180">
        <f ca="1">IFERROR('Rumus Plafond + Atrib PP10 (2)'!R177,"")</f>
        <v>275928.56044025818</v>
      </c>
      <c r="H189" s="180">
        <f ca="1">IFERROR('Rumus Plafond + Atrib PP10 (2)'!Q177,"")</f>
        <v>3845948.1572341747</v>
      </c>
      <c r="I189" s="181">
        <f t="shared" ca="1" si="18"/>
        <v>6.8264430210447827E-2</v>
      </c>
      <c r="J189" s="181">
        <f t="shared" ca="1" si="19"/>
        <v>0.93173556978955219</v>
      </c>
      <c r="K189" s="180">
        <f ca="1">IFERROR('Rumus Plafond + Atrib PP10 (2)'!S177,"")</f>
        <v>4121876.7176744328</v>
      </c>
      <c r="O189" s="182">
        <f t="shared" si="20"/>
        <v>174</v>
      </c>
      <c r="P189" s="183">
        <f t="shared" ca="1" si="20"/>
        <v>51592</v>
      </c>
      <c r="Q189" s="184">
        <f t="shared" ca="1" si="21"/>
        <v>4121876.7176744328</v>
      </c>
      <c r="R189" s="185">
        <f t="shared" ca="1" si="22"/>
        <v>275928.56044025818</v>
      </c>
      <c r="S189" s="185">
        <f t="shared" ca="1" si="22"/>
        <v>3845948.1572341747</v>
      </c>
      <c r="T189" s="185">
        <f t="shared" ca="1" si="23"/>
        <v>23892550.573656742</v>
      </c>
    </row>
    <row r="190" spans="1:20" x14ac:dyDescent="0.3">
      <c r="A190" s="175">
        <f>'Rumus Plafond + Atrib PP10 (2)'!O178</f>
        <v>175</v>
      </c>
      <c r="B190" s="179">
        <f ca="1">IF(A190&lt;=Simulasi!$B$11,DATE(YEAR(B189),MONTH(B189)+1,1),"")</f>
        <v>51622</v>
      </c>
      <c r="C190" s="180">
        <f ca="1">IF(A190&lt;=Simulasi!$B$11,'Rumus Plafond + Atrib PP10 (2)'!P178,"")</f>
        <v>20008344.868714273</v>
      </c>
      <c r="D190" s="180">
        <f ca="1">IFERROR('Rumus Plafond + Atrib PP10 (2)'!R178,"")</f>
        <v>237671.01273196502</v>
      </c>
      <c r="E190" s="181">
        <f t="shared" ca="1" si="16"/>
        <v>5.7660873677478464E-2</v>
      </c>
      <c r="F190" s="181">
        <f t="shared" ca="1" si="17"/>
        <v>0.94233912632252148</v>
      </c>
      <c r="G190" s="180">
        <f ca="1">IFERROR('Rumus Plafond + Atrib PP10 (2)'!R178,"")</f>
        <v>237671.01273196502</v>
      </c>
      <c r="H190" s="180">
        <f ca="1">IFERROR('Rumus Plafond + Atrib PP10 (2)'!Q178,"")</f>
        <v>3884205.7049424676</v>
      </c>
      <c r="I190" s="181">
        <f t="shared" ca="1" si="18"/>
        <v>5.716669962489792E-2</v>
      </c>
      <c r="J190" s="181">
        <f t="shared" ca="1" si="19"/>
        <v>0.94283330037510205</v>
      </c>
      <c r="K190" s="180">
        <f ca="1">IFERROR('Rumus Plafond + Atrib PP10 (2)'!S178,"")</f>
        <v>4121876.7176744328</v>
      </c>
      <c r="O190" s="182">
        <f t="shared" si="20"/>
        <v>175</v>
      </c>
      <c r="P190" s="183">
        <f t="shared" ca="1" si="20"/>
        <v>51622</v>
      </c>
      <c r="Q190" s="184">
        <f t="shared" ca="1" si="21"/>
        <v>4121876.7176744328</v>
      </c>
      <c r="R190" s="185">
        <f t="shared" ca="1" si="22"/>
        <v>237671.01273196502</v>
      </c>
      <c r="S190" s="185">
        <f t="shared" ca="1" si="22"/>
        <v>3884205.7049424676</v>
      </c>
      <c r="T190" s="185">
        <f t="shared" ca="1" si="23"/>
        <v>20008344.868714273</v>
      </c>
    </row>
    <row r="191" spans="1:20" x14ac:dyDescent="0.3">
      <c r="A191" s="175">
        <f>'Rumus Plafond + Atrib PP10 (2)'!O179</f>
        <v>176</v>
      </c>
      <c r="B191" s="179">
        <f ca="1">IF(A191&lt;=Simulasi!$B$11,DATE(YEAR(B190),MONTH(B190)+1,1),"")</f>
        <v>51653</v>
      </c>
      <c r="C191" s="180">
        <f ca="1">IF(A191&lt;=Simulasi!$B$11,'Rumus Plafond + Atrib PP10 (2)'!P179,"")</f>
        <v>16085501.049322408</v>
      </c>
      <c r="D191" s="180">
        <f ca="1">IFERROR('Rumus Plafond + Atrib PP10 (2)'!R179,"")</f>
        <v>199032.89828256812</v>
      </c>
      <c r="E191" s="181">
        <f t="shared" ca="1" si="16"/>
        <v>4.8286960507363912E-2</v>
      </c>
      <c r="F191" s="181">
        <f t="shared" ca="1" si="17"/>
        <v>0.95171303949263608</v>
      </c>
      <c r="G191" s="180">
        <f ca="1">IFERROR('Rumus Plafond + Atrib PP10 (2)'!R179,"")</f>
        <v>199032.89828256812</v>
      </c>
      <c r="H191" s="180">
        <f ca="1">IFERROR('Rumus Plafond + Atrib PP10 (2)'!Q179,"")</f>
        <v>3922843.8193918648</v>
      </c>
      <c r="I191" s="181">
        <f t="shared" ca="1" si="18"/>
        <v>4.5958574426635451E-2</v>
      </c>
      <c r="J191" s="181">
        <f t="shared" ca="1" si="19"/>
        <v>0.95404142557336447</v>
      </c>
      <c r="K191" s="180">
        <f ca="1">IFERROR('Rumus Plafond + Atrib PP10 (2)'!S179,"")</f>
        <v>4121876.7176744328</v>
      </c>
      <c r="O191" s="182">
        <f t="shared" si="20"/>
        <v>176</v>
      </c>
      <c r="P191" s="183">
        <f t="shared" ca="1" si="20"/>
        <v>51653</v>
      </c>
      <c r="Q191" s="184">
        <f t="shared" ca="1" si="21"/>
        <v>4121876.7176744328</v>
      </c>
      <c r="R191" s="185">
        <f t="shared" ca="1" si="22"/>
        <v>199032.89828256812</v>
      </c>
      <c r="S191" s="185">
        <f t="shared" ca="1" si="22"/>
        <v>3922843.8193918648</v>
      </c>
      <c r="T191" s="185">
        <f t="shared" ca="1" si="23"/>
        <v>16085501.049322408</v>
      </c>
    </row>
    <row r="192" spans="1:20" x14ac:dyDescent="0.3">
      <c r="A192" s="175">
        <f>'Rumus Plafond + Atrib PP10 (2)'!O180</f>
        <v>177</v>
      </c>
      <c r="B192" s="179">
        <f ca="1">IF(A192&lt;=Simulasi!$B$11,DATE(YEAR(B191),MONTH(B191)+1,1),"")</f>
        <v>51683</v>
      </c>
      <c r="C192" s="180">
        <f ca="1">IF(A192&lt;=Simulasi!$B$11,'Rumus Plafond + Atrib PP10 (2)'!P180,"")</f>
        <v>12123634.763054522</v>
      </c>
      <c r="D192" s="180">
        <f ca="1">IFERROR('Rumus Plafond + Atrib PP10 (2)'!R180,"")</f>
        <v>160010.43140654638</v>
      </c>
      <c r="E192" s="181">
        <f t="shared" ca="1" si="16"/>
        <v>3.8819800388601736E-2</v>
      </c>
      <c r="F192" s="181">
        <f t="shared" ca="1" si="17"/>
        <v>0.96118019961139822</v>
      </c>
      <c r="G192" s="180">
        <f ca="1">IFERROR('Rumus Plafond + Atrib PP10 (2)'!R180,"")</f>
        <v>160010.43140654638</v>
      </c>
      <c r="H192" s="180">
        <f ca="1">IFERROR('Rumus Plafond + Atrib PP10 (2)'!Q180,"")</f>
        <v>3961866.2862678864</v>
      </c>
      <c r="I192" s="181">
        <f t="shared" ca="1" si="18"/>
        <v>3.4638956465870063E-2</v>
      </c>
      <c r="J192" s="181">
        <f t="shared" ca="1" si="19"/>
        <v>0.96536104353412988</v>
      </c>
      <c r="K192" s="180">
        <f ca="1">IFERROR('Rumus Plafond + Atrib PP10 (2)'!S180,"")</f>
        <v>4121876.7176744328</v>
      </c>
      <c r="O192" s="182">
        <f t="shared" si="20"/>
        <v>177</v>
      </c>
      <c r="P192" s="183">
        <f t="shared" ca="1" si="20"/>
        <v>51683</v>
      </c>
      <c r="Q192" s="184">
        <f t="shared" ca="1" si="21"/>
        <v>4121876.7176744328</v>
      </c>
      <c r="R192" s="185">
        <f t="shared" ca="1" si="22"/>
        <v>160010.43140654638</v>
      </c>
      <c r="S192" s="185">
        <f t="shared" ca="1" si="22"/>
        <v>3961866.2862678864</v>
      </c>
      <c r="T192" s="185">
        <f t="shared" ca="1" si="23"/>
        <v>12123634.763054522</v>
      </c>
    </row>
    <row r="193" spans="1:20" x14ac:dyDescent="0.3">
      <c r="A193" s="175">
        <f>'Rumus Plafond + Atrib PP10 (2)'!O181</f>
        <v>178</v>
      </c>
      <c r="B193" s="179">
        <f ca="1">IF(A193&lt;=Simulasi!$B$11,DATE(YEAR(B192),MONTH(B192)+1,1),"")</f>
        <v>51714</v>
      </c>
      <c r="C193" s="180">
        <f ca="1">IF(A193&lt;=Simulasi!$B$11,'Rumus Plafond + Atrib PP10 (2)'!P181,"")</f>
        <v>8122357.8341403827</v>
      </c>
      <c r="D193" s="180">
        <f ca="1">IFERROR('Rumus Plafond + Atrib PP10 (2)'!R181,"")</f>
        <v>120599.7887602932</v>
      </c>
      <c r="E193" s="181">
        <f t="shared" ca="1" si="16"/>
        <v>2.925846574769362E-2</v>
      </c>
      <c r="F193" s="181">
        <f t="shared" ca="1" si="17"/>
        <v>0.97074153425230636</v>
      </c>
      <c r="G193" s="180">
        <f ca="1">IFERROR('Rumus Plafond + Atrib PP10 (2)'!R181,"")</f>
        <v>120599.7887602932</v>
      </c>
      <c r="H193" s="180">
        <f ca="1">IFERROR('Rumus Plafond + Atrib PP10 (2)'!Q181,"")</f>
        <v>4001276.9289141395</v>
      </c>
      <c r="I193" s="181">
        <f t="shared" ca="1" si="18"/>
        <v>2.3206736668972522E-2</v>
      </c>
      <c r="J193" s="181">
        <f t="shared" ca="1" si="19"/>
        <v>0.97679326333102756</v>
      </c>
      <c r="K193" s="180">
        <f ca="1">IFERROR('Rumus Plafond + Atrib PP10 (2)'!S181,"")</f>
        <v>4121876.7176744328</v>
      </c>
      <c r="O193" s="182">
        <f t="shared" si="20"/>
        <v>178</v>
      </c>
      <c r="P193" s="183">
        <f t="shared" ca="1" si="20"/>
        <v>51714</v>
      </c>
      <c r="Q193" s="184">
        <f t="shared" ca="1" si="21"/>
        <v>4121876.7176744328</v>
      </c>
      <c r="R193" s="185">
        <f t="shared" ca="1" si="22"/>
        <v>120599.7887602932</v>
      </c>
      <c r="S193" s="185">
        <f t="shared" ca="1" si="22"/>
        <v>4001276.9289141395</v>
      </c>
      <c r="T193" s="185">
        <f t="shared" ca="1" si="23"/>
        <v>8122357.8341403827</v>
      </c>
    </row>
    <row r="194" spans="1:20" x14ac:dyDescent="0.3">
      <c r="A194" s="175">
        <f>'Rumus Plafond + Atrib PP10 (2)'!O182</f>
        <v>179</v>
      </c>
      <c r="B194" s="179">
        <f ca="1">IF(A194&lt;=Simulasi!$B$11,DATE(YEAR(B193),MONTH(B193)+1,1),"")</f>
        <v>51745</v>
      </c>
      <c r="C194" s="180">
        <f ca="1">IF(A194&lt;=Simulasi!$B$11,'Rumus Plafond + Atrib PP10 (2)'!P182,"")</f>
        <v>4081278.2254334628</v>
      </c>
      <c r="D194" s="180">
        <f ca="1">IFERROR('Rumus Plafond + Atrib PP10 (2)'!R182,"")</f>
        <v>80797.108967512831</v>
      </c>
      <c r="E194" s="181">
        <f t="shared" ca="1" si="16"/>
        <v>1.9602019784109082E-2</v>
      </c>
      <c r="F194" s="181">
        <f t="shared" ca="1" si="17"/>
        <v>0.98039798021589086</v>
      </c>
      <c r="G194" s="180">
        <f ca="1">IFERROR('Rumus Plafond + Atrib PP10 (2)'!R182,"")</f>
        <v>80797.108967512831</v>
      </c>
      <c r="H194" s="180">
        <f ca="1">IFERROR('Rumus Plafond + Atrib PP10 (2)'!Q182,"")</f>
        <v>4041079.6087069199</v>
      </c>
      <c r="I194" s="181">
        <f t="shared" ca="1" si="18"/>
        <v>1.1660794929809894E-2</v>
      </c>
      <c r="J194" s="181">
        <f t="shared" ca="1" si="19"/>
        <v>0.98833920507019013</v>
      </c>
      <c r="K194" s="180">
        <f ca="1">IFERROR('Rumus Plafond + Atrib PP10 (2)'!S182,"")</f>
        <v>4121876.7176744328</v>
      </c>
      <c r="O194" s="182">
        <f t="shared" si="20"/>
        <v>179</v>
      </c>
      <c r="P194" s="183">
        <f t="shared" ca="1" si="20"/>
        <v>51745</v>
      </c>
      <c r="Q194" s="184">
        <f t="shared" ca="1" si="21"/>
        <v>4121876.7176744328</v>
      </c>
      <c r="R194" s="185">
        <f t="shared" ca="1" si="22"/>
        <v>80797.108967512831</v>
      </c>
      <c r="S194" s="185">
        <f t="shared" ca="1" si="22"/>
        <v>4041079.6087069199</v>
      </c>
      <c r="T194" s="185">
        <f t="shared" ca="1" si="23"/>
        <v>4081278.2254334628</v>
      </c>
    </row>
    <row r="195" spans="1:20" x14ac:dyDescent="0.3">
      <c r="A195" s="175">
        <f>'Rumus Plafond + Atrib PP10 (2)'!O183</f>
        <v>180</v>
      </c>
      <c r="B195" s="179">
        <f ca="1">IF(A195&lt;=Simulasi!$B$11,DATE(YEAR(B194),MONTH(B194)+1,1),"")</f>
        <v>51775</v>
      </c>
      <c r="C195" s="180">
        <f ca="1">IF(A195&lt;=Simulasi!$B$11,'Rumus Plafond + Atrib PP10 (2)'!P183,"")</f>
        <v>-7.9628080129623413E-8</v>
      </c>
      <c r="D195" s="180">
        <f ca="1">IFERROR('Rumus Plafond + Atrib PP10 (2)'!R183,"")</f>
        <v>40598.492240890548</v>
      </c>
      <c r="E195" s="181">
        <f t="shared" ca="1" si="16"/>
        <v>9.8495163784996127E-3</v>
      </c>
      <c r="F195" s="181">
        <f t="shared" ca="1" si="17"/>
        <v>0.99015048362150038</v>
      </c>
      <c r="G195" s="180">
        <f ca="1">IFERROR('Rumus Plafond + Atrib PP10 (2)'!R183,"")</f>
        <v>40598.492240890548</v>
      </c>
      <c r="H195" s="180">
        <f ca="1">IFERROR('Rumus Plafond + Atrib PP10 (2)'!Q183,"")</f>
        <v>4081278.2254335424</v>
      </c>
      <c r="I195" s="181">
        <f t="shared" ca="1" si="18"/>
        <v>-2.2750880037035259E-16</v>
      </c>
      <c r="J195" s="181">
        <f t="shared" ca="1" si="19"/>
        <v>1.0000000000000002</v>
      </c>
      <c r="K195" s="180">
        <f ca="1">IFERROR('Rumus Plafond + Atrib PP10 (2)'!S183,"")</f>
        <v>4121876.7176744328</v>
      </c>
      <c r="O195" s="182">
        <f t="shared" si="20"/>
        <v>180</v>
      </c>
      <c r="P195" s="183">
        <f t="shared" ca="1" si="20"/>
        <v>51775</v>
      </c>
      <c r="Q195" s="184">
        <f t="shared" ca="1" si="21"/>
        <v>4121876.7176744328</v>
      </c>
      <c r="R195" s="185">
        <f t="shared" ca="1" si="22"/>
        <v>40598.492240890548</v>
      </c>
      <c r="S195" s="185">
        <f t="shared" ca="1" si="22"/>
        <v>4081278.2254335424</v>
      </c>
      <c r="T195" s="185">
        <f t="shared" ca="1" si="23"/>
        <v>-7.9628080129623413E-8</v>
      </c>
    </row>
  </sheetData>
  <sheetProtection algorithmName="SHA-512" hashValue="ffJmKiFADRhNzAkK86kdVgJqI+RTwjwQ9JNFB2OawXXxZ6L8KInt9L0tFZVT41S5dgoan9JFNG7TiQzgrUfuIg==" saltValue="LS4MpY5134U5hFsimucwjg==" spinCount="100000" sheet="1" objects="1" scenarios="1"/>
  <mergeCells count="3">
    <mergeCell ref="A6:L6"/>
    <mergeCell ref="O6:Q6"/>
    <mergeCell ref="R14:T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3"/>
  <sheetViews>
    <sheetView topLeftCell="B1" zoomScale="96" workbookViewId="0">
      <selection activeCell="E260" sqref="E260"/>
    </sheetView>
  </sheetViews>
  <sheetFormatPr defaultColWidth="9.98828125" defaultRowHeight="21" x14ac:dyDescent="0.15"/>
  <cols>
    <col min="1" max="1" width="3.8828125" customWidth="1"/>
    <col min="2" max="2" width="17.015625" style="160" customWidth="1"/>
    <col min="3" max="3" width="13.31640625" style="160" customWidth="1"/>
    <col min="4" max="4" width="17.75390625" style="160" customWidth="1"/>
    <col min="5" max="5" width="10.7265625" customWidth="1"/>
    <col min="7" max="7" width="11.09765625" customWidth="1"/>
    <col min="8" max="8" width="9.0625" customWidth="1"/>
    <col min="9" max="9" width="10.6328125" customWidth="1"/>
    <col min="11" max="11" width="10.6328125" customWidth="1"/>
  </cols>
  <sheetData>
    <row r="1" spans="1:12" x14ac:dyDescent="0.3">
      <c r="B1" s="162" t="s">
        <v>159</v>
      </c>
      <c r="C1" s="163"/>
      <c r="D1" s="164"/>
    </row>
    <row r="2" spans="1:12" x14ac:dyDescent="0.3">
      <c r="B2" s="165" t="s">
        <v>160</v>
      </c>
      <c r="C2" s="166" t="s">
        <v>161</v>
      </c>
      <c r="D2" s="167" t="str">
        <f>Simulasi!B3</f>
        <v>Prapen 10 Tahun</v>
      </c>
      <c r="E2" s="165" t="s">
        <v>162</v>
      </c>
      <c r="F2" s="166" t="s">
        <v>161</v>
      </c>
      <c r="G2" s="167">
        <f>Simulasi!B11</f>
        <v>180</v>
      </c>
      <c r="H2" s="165" t="s">
        <v>163</v>
      </c>
      <c r="I2" s="166" t="s">
        <v>161</v>
      </c>
      <c r="J2" s="168">
        <f ca="1">Simulasi!B34</f>
        <v>0.10805531486111111</v>
      </c>
    </row>
    <row r="3" spans="1:12" x14ac:dyDescent="0.15">
      <c r="B3" s="160" t="s">
        <v>164</v>
      </c>
      <c r="C3" s="166" t="s">
        <v>161</v>
      </c>
      <c r="D3" s="169">
        <f>Simulasi!B32</f>
        <v>5694441</v>
      </c>
      <c r="E3" s="160" t="s">
        <v>165</v>
      </c>
      <c r="F3" s="166" t="s">
        <v>161</v>
      </c>
      <c r="G3" s="167">
        <f ca="1">'Rumus Plafond + Atrib PP10 (2)'!C9</f>
        <v>120</v>
      </c>
      <c r="H3" s="160" t="s">
        <v>166</v>
      </c>
      <c r="I3" s="166" t="s">
        <v>161</v>
      </c>
      <c r="J3" s="168">
        <f ca="1">Simulasi!B35</f>
        <v>0.11936993264872162</v>
      </c>
    </row>
    <row r="4" spans="1:12" x14ac:dyDescent="0.15">
      <c r="B4" s="160" t="s">
        <v>129</v>
      </c>
      <c r="C4" s="166" t="s">
        <v>161</v>
      </c>
      <c r="D4" s="169">
        <f ca="1">Simulasi!B33</f>
        <v>4121876.7176744328</v>
      </c>
      <c r="E4" s="160" t="s">
        <v>167</v>
      </c>
      <c r="F4" s="166" t="s">
        <v>161</v>
      </c>
      <c r="G4" s="167">
        <f ca="1">'Rumus Plafond + Atrib PP10 (2)'!C10</f>
        <v>60</v>
      </c>
      <c r="H4" s="160"/>
      <c r="I4" s="166"/>
      <c r="J4" s="167"/>
    </row>
    <row r="5" spans="1:12" x14ac:dyDescent="0.15">
      <c r="B5" s="170"/>
      <c r="C5" s="160" t="s">
        <v>168</v>
      </c>
      <c r="D5" s="160" t="s">
        <v>169</v>
      </c>
    </row>
    <row r="6" spans="1:12" x14ac:dyDescent="0.15">
      <c r="A6" s="244" t="s">
        <v>170</v>
      </c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</row>
    <row r="7" spans="1:12" x14ac:dyDescent="0.3">
      <c r="B7" s="162" t="s">
        <v>172</v>
      </c>
      <c r="C7" s="163" t="s">
        <v>161</v>
      </c>
      <c r="D7" s="171">
        <v>350000000</v>
      </c>
      <c r="E7" s="172">
        <v>1</v>
      </c>
    </row>
    <row r="8" spans="1:12" x14ac:dyDescent="0.3">
      <c r="B8" s="162" t="s">
        <v>173</v>
      </c>
      <c r="C8" s="163" t="s">
        <v>161</v>
      </c>
      <c r="D8" s="173">
        <f ca="1">'Rumus Plafond + Atrib PP3'!P3</f>
        <v>178000000</v>
      </c>
      <c r="E8" s="172">
        <f ca="1">D8/D7</f>
        <v>0.50857142857142856</v>
      </c>
    </row>
    <row r="9" spans="1:12" x14ac:dyDescent="0.3">
      <c r="B9" s="162" t="s">
        <v>174</v>
      </c>
      <c r="C9" s="163" t="s">
        <v>161</v>
      </c>
      <c r="D9" s="173">
        <f ca="1">D7-D8</f>
        <v>172000000</v>
      </c>
      <c r="E9" s="172">
        <f ca="1">D9/D7</f>
        <v>0.49142857142857144</v>
      </c>
    </row>
    <row r="10" spans="1:12" x14ac:dyDescent="0.3">
      <c r="B10" s="162" t="s">
        <v>175</v>
      </c>
      <c r="C10" s="163" t="s">
        <v>161</v>
      </c>
      <c r="D10" s="172">
        <f ca="1">AVERAGE(E16:E195)</f>
        <v>0.75388633879517741</v>
      </c>
    </row>
    <row r="11" spans="1:12" x14ac:dyDescent="0.3">
      <c r="B11" s="162" t="s">
        <v>176</v>
      </c>
      <c r="C11" s="163" t="s">
        <v>161</v>
      </c>
      <c r="D11" s="172">
        <f ca="1">AVERAGE(F16:F195)</f>
        <v>0.24611366120482284</v>
      </c>
    </row>
    <row r="12" spans="1:12" x14ac:dyDescent="0.3">
      <c r="B12" s="162" t="s">
        <v>177</v>
      </c>
      <c r="C12" s="163" t="s">
        <v>161</v>
      </c>
      <c r="D12" s="164" t="str">
        <f>Simulasi!B11&amp;" bulan"</f>
        <v>180 bulan</v>
      </c>
    </row>
    <row r="15" spans="1:12" ht="24" x14ac:dyDescent="0.15">
      <c r="A15" s="175" t="s">
        <v>179</v>
      </c>
      <c r="B15" s="175" t="s">
        <v>180</v>
      </c>
      <c r="C15" s="175" t="s">
        <v>181</v>
      </c>
      <c r="D15" s="175" t="s">
        <v>182</v>
      </c>
      <c r="E15" s="175" t="s">
        <v>183</v>
      </c>
      <c r="F15" s="175" t="s">
        <v>184</v>
      </c>
      <c r="G15" s="175" t="s">
        <v>185</v>
      </c>
      <c r="H15" s="175" t="s">
        <v>186</v>
      </c>
      <c r="I15" s="175" t="s">
        <v>187</v>
      </c>
      <c r="J15" s="176" t="s">
        <v>188</v>
      </c>
      <c r="K15" s="175" t="s">
        <v>189</v>
      </c>
    </row>
    <row r="16" spans="1:12" x14ac:dyDescent="0.3">
      <c r="A16" s="175">
        <f>'Rumus Plafond + Atrib PP10 (2)'!O4</f>
        <v>1</v>
      </c>
      <c r="B16" s="179">
        <f ca="1">DATE(YEAR(Simulasi!B5),MONTH(Simulasi!B5)+1,1)</f>
        <v>46327</v>
      </c>
      <c r="C16" s="180">
        <f ca="1">'Rumus Plafond + Atrib PP3'!P4</f>
        <v>177990000</v>
      </c>
      <c r="D16" s="180">
        <f ca="1">IFERROR('Rumus Plafond + Atrib PP3'!R4,"")</f>
        <v>1594295.9277777774</v>
      </c>
      <c r="E16" s="181">
        <f ca="1">IFERROR(G16/K16,"")</f>
        <v>0.9937667360323903</v>
      </c>
      <c r="F16" s="181">
        <f ca="1">IFERROR(H16/K16,"")</f>
        <v>6.2332639676097234E-3</v>
      </c>
      <c r="G16" s="180">
        <f ca="1">IFERROR('Rumus Plafond + Atrib PP3'!R4,"")</f>
        <v>1594295.9277777774</v>
      </c>
      <c r="H16" s="180">
        <f ca="1">IFERROR('Rumus Plafond + Atrib PP3'!Q4,"")</f>
        <v>10000.000000000233</v>
      </c>
      <c r="I16" s="181">
        <f ca="1">IFERROR(C16/$D$7,"")</f>
        <v>0.50854285714285719</v>
      </c>
      <c r="J16" s="181">
        <f ca="1">IFERROR(($D$7-C16)/$D$7,"")</f>
        <v>0.49145714285714287</v>
      </c>
      <c r="K16" s="180">
        <f ca="1">IFERROR('Rumus Plafond + Atrib PP3'!S4,"")</f>
        <v>1604295.9277777777</v>
      </c>
    </row>
    <row r="17" spans="1:11" x14ac:dyDescent="0.3">
      <c r="A17" s="175">
        <f>'Rumus Plafond + Atrib PP10 (2)'!O5</f>
        <v>2</v>
      </c>
      <c r="B17" s="179">
        <f ca="1">IF(A17&lt;=Simulasi!$B$11,DATE(YEAR(B16),MONTH(B16)+1,1),"")</f>
        <v>46357</v>
      </c>
      <c r="C17" s="180">
        <f ca="1">IF(A17&lt;=Simulasi!$B$11,'Rumus Plafond + Atrib PP3'!P5,"")</f>
        <v>177979910.43281305</v>
      </c>
      <c r="D17" s="180">
        <f ca="1">IFERROR('Rumus Plafond + Atrib PP3'!R5,"")</f>
        <v>1594206.3605908237</v>
      </c>
      <c r="E17" s="181">
        <f t="shared" ref="E17:E80" ca="1" si="0">IFERROR(G17/K17,"")</f>
        <v>0.99371090644047844</v>
      </c>
      <c r="F17" s="181">
        <f t="shared" ref="F17:F80" ca="1" si="1">IFERROR(H17/K17,"")</f>
        <v>6.2890935595216087E-3</v>
      </c>
      <c r="G17" s="180">
        <f ca="1">IFERROR('Rumus Plafond + Atrib PP3'!R5,"")</f>
        <v>1594206.3605908237</v>
      </c>
      <c r="H17" s="180">
        <f ca="1">IFERROR('Rumus Plafond + Atrib PP3'!Q5,"")</f>
        <v>10089.567186953966</v>
      </c>
      <c r="I17" s="181">
        <f t="shared" ref="I17:I80" ca="1" si="2">IFERROR(C17/$D$7,"")</f>
        <v>0.50851402980803728</v>
      </c>
      <c r="J17" s="181">
        <f t="shared" ref="J17:J80" ca="1" si="3">IFERROR(($D$7-C17)/$D$7,"")</f>
        <v>0.49148597019196272</v>
      </c>
      <c r="K17" s="180">
        <f ca="1">IFERROR('Rumus Plafond + Atrib PP3'!S5,"")</f>
        <v>1604295.9277777777</v>
      </c>
    </row>
    <row r="18" spans="1:11" x14ac:dyDescent="0.3">
      <c r="A18" s="175">
        <f>'Rumus Plafond + Atrib PP10 (2)'!O6</f>
        <v>3</v>
      </c>
      <c r="B18" s="179">
        <f ca="1">IF(A18&lt;=Simulasi!$B$11,DATE(YEAR(B17),MONTH(B17)+1,1),"")</f>
        <v>46388</v>
      </c>
      <c r="C18" s="180">
        <f ca="1">IF(A18&lt;=Simulasi!$B$11,'Rumus Plafond + Atrib PP3'!P6,"")</f>
        <v>177969730.49621105</v>
      </c>
      <c r="D18" s="180">
        <f ca="1">IFERROR('Rumus Plafond + Atrib PP3'!R6,"")</f>
        <v>1594115.9911757719</v>
      </c>
      <c r="E18" s="181">
        <f t="shared" ca="1" si="0"/>
        <v>0.9936545767986168</v>
      </c>
      <c r="F18" s="181">
        <f t="shared" ca="1" si="1"/>
        <v>6.3454232013832237E-3</v>
      </c>
      <c r="G18" s="180">
        <f ca="1">IFERROR('Rumus Plafond + Atrib PP3'!R6,"")</f>
        <v>1594115.9911757719</v>
      </c>
      <c r="H18" s="180">
        <f ca="1">IFERROR('Rumus Plafond + Atrib PP3'!Q6,"")</f>
        <v>10179.936602005735</v>
      </c>
      <c r="I18" s="181">
        <f t="shared" ca="1" si="2"/>
        <v>0.50848494427488877</v>
      </c>
      <c r="J18" s="181">
        <f t="shared" ca="1" si="3"/>
        <v>0.49151505572511128</v>
      </c>
      <c r="K18" s="180">
        <f ca="1">IFERROR('Rumus Plafond + Atrib PP3'!S6,"")</f>
        <v>1604295.9277777777</v>
      </c>
    </row>
    <row r="19" spans="1:11" x14ac:dyDescent="0.3">
      <c r="A19" s="175">
        <f>'Rumus Plafond + Atrib PP10 (2)'!O7</f>
        <v>4</v>
      </c>
      <c r="B19" s="179">
        <f ca="1">IF(A19&lt;=Simulasi!$B$11,DATE(YEAR(B18),MONTH(B18)+1,1),"")</f>
        <v>46419</v>
      </c>
      <c r="C19" s="180">
        <f ca="1">IF(A19&lt;=Simulasi!$B$11,'Rumus Plafond + Atrib PP3'!P7,"")</f>
        <v>177959459.38078058</v>
      </c>
      <c r="D19" s="180">
        <f ca="1">IFERROR('Rumus Plafond + Atrib PP3'!R7,"")</f>
        <v>1594024.812347291</v>
      </c>
      <c r="E19" s="181">
        <f t="shared" ca="1" si="0"/>
        <v>0.99359774262799894</v>
      </c>
      <c r="F19" s="181">
        <f t="shared" ca="1" si="1"/>
        <v>6.4022573720010998E-3</v>
      </c>
      <c r="G19" s="180">
        <f ca="1">IFERROR('Rumus Plafond + Atrib PP3'!R7,"")</f>
        <v>1594024.812347291</v>
      </c>
      <c r="H19" s="180">
        <f ca="1">IFERROR('Rumus Plafond + Atrib PP3'!Q7,"")</f>
        <v>10271.115430486621</v>
      </c>
      <c r="I19" s="181">
        <f t="shared" ca="1" si="2"/>
        <v>0.50845559823080166</v>
      </c>
      <c r="J19" s="181">
        <f t="shared" ca="1" si="3"/>
        <v>0.49154440176919834</v>
      </c>
      <c r="K19" s="180">
        <f ca="1">IFERROR('Rumus Plafond + Atrib PP3'!S7,"")</f>
        <v>1604295.9277777777</v>
      </c>
    </row>
    <row r="20" spans="1:11" x14ac:dyDescent="0.3">
      <c r="A20" s="175">
        <f>'Rumus Plafond + Atrib PP10 (2)'!O8</f>
        <v>5</v>
      </c>
      <c r="B20" s="179">
        <f ca="1">IF(A20&lt;=Simulasi!$B$11,DATE(YEAR(B19),MONTH(B19)+1,1),"")</f>
        <v>46447</v>
      </c>
      <c r="C20" s="180">
        <f ca="1">IF(A20&lt;=Simulasi!$B$11,'Rumus Plafond + Atrib PP3'!P8,"")</f>
        <v>177949096.26985848</v>
      </c>
      <c r="D20" s="180">
        <f ca="1">IFERROR('Rumus Plafond + Atrib PP3'!R8,"")</f>
        <v>1593932.8168556925</v>
      </c>
      <c r="E20" s="181">
        <f t="shared" ca="1" si="0"/>
        <v>0.99354039940970251</v>
      </c>
      <c r="F20" s="181">
        <f t="shared" ca="1" si="1"/>
        <v>6.4596005902974457E-3</v>
      </c>
      <c r="G20" s="180">
        <f ca="1">IFERROR('Rumus Plafond + Atrib PP3'!R8,"")</f>
        <v>1593932.8168556925</v>
      </c>
      <c r="H20" s="180">
        <f ca="1">IFERROR('Rumus Plafond + Atrib PP3'!Q8,"")</f>
        <v>10363.110922085121</v>
      </c>
      <c r="I20" s="181">
        <f t="shared" ca="1" si="2"/>
        <v>0.50842598934245276</v>
      </c>
      <c r="J20" s="181">
        <f t="shared" ca="1" si="3"/>
        <v>0.49157401065754719</v>
      </c>
      <c r="K20" s="180">
        <f ca="1">IFERROR('Rumus Plafond + Atrib PP3'!S8,"")</f>
        <v>1604295.9277777777</v>
      </c>
    </row>
    <row r="21" spans="1:11" x14ac:dyDescent="0.3">
      <c r="A21" s="175">
        <f>'Rumus Plafond + Atrib PP10 (2)'!O9</f>
        <v>6</v>
      </c>
      <c r="B21" s="179">
        <f ca="1">IF(A21&lt;=Simulasi!$B$11,DATE(YEAR(B20),MONTH(B20)+1,1),"")</f>
        <v>46478</v>
      </c>
      <c r="C21" s="180">
        <f ca="1">IF(A21&lt;=Simulasi!$B$11,'Rumus Plafond + Atrib PP3'!P9,"")</f>
        <v>177938640.33946705</v>
      </c>
      <c r="D21" s="180">
        <f ca="1">IFERROR('Rumus Plafond + Atrib PP3'!R9,"")</f>
        <v>1593839.9973863543</v>
      </c>
      <c r="E21" s="181">
        <f t="shared" ca="1" si="0"/>
        <v>0.99348254258433066</v>
      </c>
      <c r="F21" s="181">
        <f t="shared" ca="1" si="1"/>
        <v>6.5174574156693418E-3</v>
      </c>
      <c r="G21" s="180">
        <f ca="1">IFERROR('Rumus Plafond + Atrib PP3'!R9,"")</f>
        <v>1593839.9973863543</v>
      </c>
      <c r="H21" s="180">
        <f ca="1">IFERROR('Rumus Plafond + Atrib PP3'!Q9,"")</f>
        <v>10455.930391423404</v>
      </c>
      <c r="I21" s="181">
        <f t="shared" ca="1" si="2"/>
        <v>0.50839611525562012</v>
      </c>
      <c r="J21" s="181">
        <f t="shared" ca="1" si="3"/>
        <v>0.49160388474437988</v>
      </c>
      <c r="K21" s="180">
        <f ca="1">IFERROR('Rumus Plafond + Atrib PP3'!S9,"")</f>
        <v>1604295.9277777777</v>
      </c>
    </row>
    <row r="22" spans="1:11" x14ac:dyDescent="0.3">
      <c r="A22" s="175">
        <f>'Rumus Plafond + Atrib PP10 (2)'!O10</f>
        <v>7</v>
      </c>
      <c r="B22" s="179">
        <f ca="1">IF(A22&lt;=Simulasi!$B$11,DATE(YEAR(B21),MONTH(B21)+1,1),"")</f>
        <v>46508</v>
      </c>
      <c r="C22" s="180">
        <f ca="1">IF(A22&lt;=Simulasi!$B$11,'Rumus Plafond + Atrib PP3'!P10,"")</f>
        <v>177928090.75824842</v>
      </c>
      <c r="D22" s="180">
        <f ca="1">IFERROR('Rumus Plafond + Atrib PP3'!R10,"")</f>
        <v>1593746.3465591399</v>
      </c>
      <c r="E22" s="181">
        <f t="shared" ca="1" si="0"/>
        <v>0.99342416755164942</v>
      </c>
      <c r="F22" s="181">
        <f t="shared" ca="1" si="1"/>
        <v>6.5758324483505487E-3</v>
      </c>
      <c r="G22" s="180">
        <f ca="1">IFERROR('Rumus Plafond + Atrib PP3'!R10,"")</f>
        <v>1593746.3465591399</v>
      </c>
      <c r="H22" s="180">
        <f ca="1">IFERROR('Rumus Plafond + Atrib PP3'!Q10,"")</f>
        <v>10549.581218637759</v>
      </c>
      <c r="I22" s="181">
        <f t="shared" ca="1" si="2"/>
        <v>0.50836597359499547</v>
      </c>
      <c r="J22" s="181">
        <f t="shared" ca="1" si="3"/>
        <v>0.49163402640500453</v>
      </c>
      <c r="K22" s="180">
        <f ca="1">IFERROR('Rumus Plafond + Atrib PP3'!S10,"")</f>
        <v>1604295.9277777777</v>
      </c>
    </row>
    <row r="23" spans="1:11" x14ac:dyDescent="0.3">
      <c r="A23" s="175">
        <f>'Rumus Plafond + Atrib PP10 (2)'!O11</f>
        <v>8</v>
      </c>
      <c r="B23" s="179">
        <f ca="1">IF(A23&lt;=Simulasi!$B$11,DATE(YEAR(B22),MONTH(B22)+1,1),"")</f>
        <v>46539</v>
      </c>
      <c r="C23" s="180">
        <f ca="1">IF(A23&lt;=Simulasi!$B$11,'Rumus Plafond + Atrib PP3'!P11,"")</f>
        <v>177917446.68739846</v>
      </c>
      <c r="D23" s="180">
        <f ca="1">IFERROR('Rumus Plafond + Atrib PP3'!R11,"")</f>
        <v>1593651.8569278105</v>
      </c>
      <c r="E23" s="181">
        <f t="shared" ca="1" si="0"/>
        <v>0.99336526967022165</v>
      </c>
      <c r="F23" s="181">
        <f t="shared" ca="1" si="1"/>
        <v>6.634730329778394E-3</v>
      </c>
      <c r="G23" s="180">
        <f ca="1">IFERROR('Rumus Plafond + Atrib PP3'!R11,"")</f>
        <v>1593651.8569278105</v>
      </c>
      <c r="H23" s="180">
        <f ca="1">IFERROR('Rumus Plafond + Atrib PP3'!Q11,"")</f>
        <v>10644.070849967189</v>
      </c>
      <c r="I23" s="181">
        <f t="shared" ca="1" si="2"/>
        <v>0.50833556196399565</v>
      </c>
      <c r="J23" s="181">
        <f t="shared" ca="1" si="3"/>
        <v>0.4916644380360044</v>
      </c>
      <c r="K23" s="180">
        <f ca="1">IFERROR('Rumus Plafond + Atrib PP3'!S11,"")</f>
        <v>1604295.9277777777</v>
      </c>
    </row>
    <row r="24" spans="1:11" x14ac:dyDescent="0.3">
      <c r="A24" s="175">
        <f>'Rumus Plafond + Atrib PP10 (2)'!O12</f>
        <v>9</v>
      </c>
      <c r="B24" s="179">
        <f ca="1">IF(A24&lt;=Simulasi!$B$11,DATE(YEAR(B23),MONTH(B23)+1,1),"")</f>
        <v>46569</v>
      </c>
      <c r="C24" s="180">
        <f ca="1">IF(A24&lt;=Simulasi!$B$11,'Rumus Plafond + Atrib PP3'!P12,"")</f>
        <v>177906707.28060013</v>
      </c>
      <c r="D24" s="180">
        <f ca="1">IFERROR('Rumus Plafond + Atrib PP3'!R12,"")</f>
        <v>1593556.5209794336</v>
      </c>
      <c r="E24" s="181">
        <f t="shared" ca="1" si="0"/>
        <v>0.99330584425703805</v>
      </c>
      <c r="F24" s="181">
        <f t="shared" ca="1" si="1"/>
        <v>6.6941557429619656E-3</v>
      </c>
      <c r="G24" s="180">
        <f ca="1">IFERROR('Rumus Plafond + Atrib PP3'!R12,"")</f>
        <v>1593556.5209794336</v>
      </c>
      <c r="H24" s="180">
        <f ca="1">IFERROR('Rumus Plafond + Atrib PP3'!Q12,"")</f>
        <v>10739.406798344105</v>
      </c>
      <c r="I24" s="181">
        <f t="shared" ca="1" si="2"/>
        <v>0.5083048779445718</v>
      </c>
      <c r="J24" s="181">
        <f t="shared" ca="1" si="3"/>
        <v>0.4916951220554282</v>
      </c>
      <c r="K24" s="180">
        <f ca="1">IFERROR('Rumus Plafond + Atrib PP3'!S12,"")</f>
        <v>1604295.9277777777</v>
      </c>
    </row>
    <row r="25" spans="1:11" x14ac:dyDescent="0.3">
      <c r="A25" s="175">
        <f>'Rumus Plafond + Atrib PP10 (2)'!O13</f>
        <v>10</v>
      </c>
      <c r="B25" s="179">
        <f ca="1">IF(A25&lt;=Simulasi!$B$11,DATE(YEAR(B24),MONTH(B24)+1,1),"")</f>
        <v>46600</v>
      </c>
      <c r="C25" s="180">
        <f ca="1">IF(A25&lt;=Simulasi!$B$11,'Rumus Plafond + Atrib PP3'!P13,"")</f>
        <v>177895871.68395615</v>
      </c>
      <c r="D25" s="180">
        <f ca="1">IFERROR('Rumus Plafond + Atrib PP3'!R13,"")</f>
        <v>1593460.3311337859</v>
      </c>
      <c r="E25" s="181">
        <f t="shared" ca="1" si="0"/>
        <v>0.99324588658714552</v>
      </c>
      <c r="F25" s="181">
        <f t="shared" ca="1" si="1"/>
        <v>6.7541134128545162E-3</v>
      </c>
      <c r="G25" s="180">
        <f ca="1">IFERROR('Rumus Plafond + Atrib PP3'!R13,"")</f>
        <v>1593460.3311337859</v>
      </c>
      <c r="H25" s="180">
        <f ca="1">IFERROR('Rumus Plafond + Atrib PP3'!Q13,"")</f>
        <v>10835.596643991768</v>
      </c>
      <c r="I25" s="181">
        <f t="shared" ca="1" si="2"/>
        <v>0.50827391909701758</v>
      </c>
      <c r="J25" s="181">
        <f t="shared" ca="1" si="3"/>
        <v>0.49172608090298242</v>
      </c>
      <c r="K25" s="180">
        <f ca="1">IFERROR('Rumus Plafond + Atrib PP3'!S13,"")</f>
        <v>1604295.9277777777</v>
      </c>
    </row>
    <row r="26" spans="1:11" x14ac:dyDescent="0.3">
      <c r="A26" s="175">
        <f>'Rumus Plafond + Atrib PP10 (2)'!O14</f>
        <v>11</v>
      </c>
      <c r="B26" s="179">
        <f ca="1">IF(A26&lt;=Simulasi!$B$11,DATE(YEAR(B25),MONTH(B25)+1,1),"")</f>
        <v>46631</v>
      </c>
      <c r="C26" s="180">
        <f ca="1">IF(A26&lt;=Simulasi!$B$11,'Rumus Plafond + Atrib PP3'!P14,"")</f>
        <v>177884939.03592113</v>
      </c>
      <c r="D26" s="180">
        <f ca="1">IFERROR('Rumus Plafond + Atrib PP3'!R14,"")</f>
        <v>1593363.2797427492</v>
      </c>
      <c r="E26" s="181">
        <f t="shared" ca="1" si="0"/>
        <v>0.99318539189326993</v>
      </c>
      <c r="F26" s="181">
        <f t="shared" ca="1" si="1"/>
        <v>6.8146081067300707E-3</v>
      </c>
      <c r="G26" s="180">
        <f ca="1">IFERROR('Rumus Plafond + Atrib PP3'!R14,"")</f>
        <v>1593363.2797427492</v>
      </c>
      <c r="H26" s="180">
        <f ca="1">IFERROR('Rumus Plafond + Atrib PP3'!Q14,"")</f>
        <v>10932.648035028484</v>
      </c>
      <c r="I26" s="181">
        <f t="shared" ca="1" si="2"/>
        <v>0.50824268295977459</v>
      </c>
      <c r="J26" s="181">
        <f t="shared" ca="1" si="3"/>
        <v>0.49175731704022535</v>
      </c>
      <c r="K26" s="180">
        <f ca="1">IFERROR('Rumus Plafond + Atrib PP3'!S14,"")</f>
        <v>1604295.9277777777</v>
      </c>
    </row>
    <row r="27" spans="1:11" x14ac:dyDescent="0.3">
      <c r="A27" s="175">
        <f>'Rumus Plafond + Atrib PP10 (2)'!O15</f>
        <v>12</v>
      </c>
      <c r="B27" s="179">
        <f ca="1">IF(A27&lt;=Simulasi!$B$11,DATE(YEAR(B26),MONTH(B26)+1,1),"")</f>
        <v>46661</v>
      </c>
      <c r="C27" s="180">
        <f ca="1">IF(A27&lt;=Simulasi!$B$11,'Rumus Plafond + Atrib PP3'!P15,"")</f>
        <v>177873908.46723306</v>
      </c>
      <c r="D27" s="180">
        <f ca="1">IFERROR('Rumus Plafond + Atrib PP3'!R15,"")</f>
        <v>1593265.3590897035</v>
      </c>
      <c r="E27" s="181">
        <f t="shared" ca="1" si="0"/>
        <v>0.99312435536543853</v>
      </c>
      <c r="F27" s="181">
        <f t="shared" ca="1" si="1"/>
        <v>6.8756446345614912E-3</v>
      </c>
      <c r="G27" s="180">
        <f ca="1">IFERROR('Rumus Plafond + Atrib PP3'!R15,"")</f>
        <v>1593265.3590897035</v>
      </c>
      <c r="H27" s="180">
        <f ca="1">IFERROR('Rumus Plafond + Atrib PP3'!Q15,"")</f>
        <v>11030.568688074127</v>
      </c>
      <c r="I27" s="181">
        <f t="shared" ca="1" si="2"/>
        <v>0.5082111670492373</v>
      </c>
      <c r="J27" s="181">
        <f t="shared" ca="1" si="3"/>
        <v>0.4917888329507627</v>
      </c>
      <c r="K27" s="180">
        <f ca="1">IFERROR('Rumus Plafond + Atrib PP3'!S15,"")</f>
        <v>1604295.9277777777</v>
      </c>
    </row>
    <row r="28" spans="1:11" x14ac:dyDescent="0.3">
      <c r="A28" s="175">
        <f>'Rumus Plafond + Atrib PP10 (2)'!O16</f>
        <v>13</v>
      </c>
      <c r="B28" s="179">
        <f ca="1">IF(A28&lt;=Simulasi!$B$11,DATE(YEAR(B27),MONTH(B27)+1,1),"")</f>
        <v>46692</v>
      </c>
      <c r="C28" s="180">
        <f ca="1">IF(A28&lt;=Simulasi!$B$11,'Rumus Plafond + Atrib PP3'!P16,"")</f>
        <v>177862779.1008442</v>
      </c>
      <c r="D28" s="180">
        <f ca="1">IFERROR('Rumus Plafond + Atrib PP3'!R16,"")</f>
        <v>1593166.5613889147</v>
      </c>
      <c r="E28" s="181">
        <f t="shared" ca="1" si="0"/>
        <v>0.99306277215059757</v>
      </c>
      <c r="F28" s="181">
        <f t="shared" ca="1" si="1"/>
        <v>6.937227849402457E-3</v>
      </c>
      <c r="G28" s="180">
        <f ca="1">IFERROR('Rumus Plafond + Atrib PP3'!R16,"")</f>
        <v>1593166.5613889147</v>
      </c>
      <c r="H28" s="180">
        <f ca="1">IFERROR('Rumus Plafond + Atrib PP3'!Q16,"")</f>
        <v>11129.366388862953</v>
      </c>
      <c r="I28" s="181">
        <f t="shared" ca="1" si="2"/>
        <v>0.50817936885955484</v>
      </c>
      <c r="J28" s="181">
        <f t="shared" ca="1" si="3"/>
        <v>0.49182063114044511</v>
      </c>
      <c r="K28" s="180">
        <f ca="1">IFERROR('Rumus Plafond + Atrib PP3'!S16,"")</f>
        <v>1604295.9277777777</v>
      </c>
    </row>
    <row r="29" spans="1:11" x14ac:dyDescent="0.3">
      <c r="A29" s="175">
        <f>'Rumus Plafond + Atrib PP10 (2)'!O17</f>
        <v>14</v>
      </c>
      <c r="B29" s="179">
        <f ca="1">IF(A29&lt;=Simulasi!$B$11,DATE(YEAR(B28),MONTH(B28)+1,1),"")</f>
        <v>46722</v>
      </c>
      <c r="C29" s="180">
        <f ca="1">IF(A29&lt;=Simulasi!$B$11,'Rumus Plafond + Atrib PP3'!P17,"")</f>
        <v>177851550.05185133</v>
      </c>
      <c r="D29" s="180">
        <f ca="1">IFERROR('Rumus Plafond + Atrib PP3'!R17,"")</f>
        <v>1593066.8787849119</v>
      </c>
      <c r="E29" s="181">
        <f t="shared" ca="1" si="0"/>
        <v>0.99300063735222477</v>
      </c>
      <c r="F29" s="181">
        <f t="shared" ca="1" si="1"/>
        <v>6.9993626477752513E-3</v>
      </c>
      <c r="G29" s="180">
        <f ca="1">IFERROR('Rumus Plafond + Atrib PP3'!R17,"")</f>
        <v>1593066.8787849119</v>
      </c>
      <c r="H29" s="180">
        <f ca="1">IFERROR('Rumus Plafond + Atrib PP3'!Q17,"")</f>
        <v>11229.048992865719</v>
      </c>
      <c r="I29" s="181">
        <f t="shared" ca="1" si="2"/>
        <v>0.50814728586243241</v>
      </c>
      <c r="J29" s="181">
        <f t="shared" ca="1" si="3"/>
        <v>0.49185271413756765</v>
      </c>
      <c r="K29" s="180">
        <f ca="1">IFERROR('Rumus Plafond + Atrib PP3'!S17,"")</f>
        <v>1604295.9277777777</v>
      </c>
    </row>
    <row r="30" spans="1:11" x14ac:dyDescent="0.3">
      <c r="A30" s="175">
        <f>'Rumus Plafond + Atrib PP10 (2)'!O18</f>
        <v>15</v>
      </c>
      <c r="B30" s="179">
        <f ca="1">IF(A30&lt;=Simulasi!$B$11,DATE(YEAR(B29),MONTH(B29)+1,1),"")</f>
        <v>46753</v>
      </c>
      <c r="C30" s="180">
        <f ca="1">IF(A30&lt;=Simulasi!$B$11,'Rumus Plafond + Atrib PP3'!P18,"")</f>
        <v>177840220.42742541</v>
      </c>
      <c r="D30" s="180">
        <f ca="1">IFERROR('Rumus Plafond + Atrib PP3'!R18,"")</f>
        <v>1592966.3033518661</v>
      </c>
      <c r="E30" s="181">
        <f t="shared" ca="1" si="0"/>
        <v>0.99293794602994156</v>
      </c>
      <c r="F30" s="181">
        <f t="shared" ca="1" si="1"/>
        <v>7.0620539700583995E-3</v>
      </c>
      <c r="G30" s="180">
        <f ca="1">IFERROR('Rumus Plafond + Atrib PP3'!R18,"")</f>
        <v>1592966.3033518661</v>
      </c>
      <c r="H30" s="180">
        <f ca="1">IFERROR('Rumus Plafond + Atrib PP3'!Q18,"")</f>
        <v>11329.624425911577</v>
      </c>
      <c r="I30" s="181">
        <f t="shared" ca="1" si="2"/>
        <v>0.50811491550692978</v>
      </c>
      <c r="J30" s="181">
        <f t="shared" ca="1" si="3"/>
        <v>0.49188508449307022</v>
      </c>
      <c r="K30" s="180">
        <f ca="1">IFERROR('Rumus Plafond + Atrib PP3'!S18,"")</f>
        <v>1604295.9277777777</v>
      </c>
    </row>
    <row r="31" spans="1:11" x14ac:dyDescent="0.3">
      <c r="A31" s="175">
        <f>'Rumus Plafond + Atrib PP10 (2)'!O19</f>
        <v>16</v>
      </c>
      <c r="B31" s="179">
        <f ca="1">IF(A31&lt;=Simulasi!$B$11,DATE(YEAR(B30),MONTH(B30)+1,1),"")</f>
        <v>46784</v>
      </c>
      <c r="C31" s="180">
        <f ca="1">IF(A31&lt;=Simulasi!$B$11,'Rumus Plafond + Atrib PP3'!P19,"")</f>
        <v>177828789.32674059</v>
      </c>
      <c r="D31" s="180">
        <f ca="1">IFERROR('Rumus Plafond + Atrib PP3'!R19,"")</f>
        <v>1592864.8270929588</v>
      </c>
      <c r="E31" s="181">
        <f t="shared" ca="1" si="0"/>
        <v>0.99287469319912014</v>
      </c>
      <c r="F31" s="181">
        <f t="shared" ca="1" si="1"/>
        <v>7.1253068008798274E-3</v>
      </c>
      <c r="G31" s="180">
        <f ca="1">IFERROR('Rumus Plafond + Atrib PP3'!R19,"")</f>
        <v>1592864.8270929588</v>
      </c>
      <c r="H31" s="180">
        <f ca="1">IFERROR('Rumus Plafond + Atrib PP3'!Q19,"")</f>
        <v>11431.100684818812</v>
      </c>
      <c r="I31" s="181">
        <f t="shared" ca="1" si="2"/>
        <v>0.50808225521925887</v>
      </c>
      <c r="J31" s="181">
        <f t="shared" ca="1" si="3"/>
        <v>0.49191774478074118</v>
      </c>
      <c r="K31" s="180">
        <f ca="1">IFERROR('Rumus Plafond + Atrib PP3'!S19,"")</f>
        <v>1604295.9277777777</v>
      </c>
    </row>
    <row r="32" spans="1:11" x14ac:dyDescent="0.3">
      <c r="A32" s="175">
        <f>'Rumus Plafond + Atrib PP10 (2)'!O20</f>
        <v>17</v>
      </c>
      <c r="B32" s="179">
        <f ca="1">IF(A32&lt;=Simulasi!$B$11,DATE(YEAR(B31),MONTH(B31)+1,1),"")</f>
        <v>46813</v>
      </c>
      <c r="C32" s="180">
        <f ca="1">IF(A32&lt;=Simulasi!$B$11,'Rumus Plafond + Atrib PP3'!P20,"")</f>
        <v>177817255.84090257</v>
      </c>
      <c r="D32" s="180">
        <f ca="1">IFERROR('Rumus Plafond + Atrib PP3'!R20,"")</f>
        <v>1592762.4419397463</v>
      </c>
      <c r="E32" s="181">
        <f t="shared" ca="1" si="0"/>
        <v>0.99281087383048638</v>
      </c>
      <c r="F32" s="181">
        <f t="shared" ca="1" si="1"/>
        <v>7.1891261695136467E-3</v>
      </c>
      <c r="G32" s="180">
        <f ca="1">IFERROR('Rumus Plafond + Atrib PP3'!R20,"")</f>
        <v>1592762.4419397463</v>
      </c>
      <c r="H32" s="180">
        <f ca="1">IFERROR('Rumus Plafond + Atrib PP3'!Q20,"")</f>
        <v>11533.485838031396</v>
      </c>
      <c r="I32" s="181">
        <f t="shared" ca="1" si="2"/>
        <v>0.50804930240257873</v>
      </c>
      <c r="J32" s="181">
        <f t="shared" ca="1" si="3"/>
        <v>0.49195069759742122</v>
      </c>
      <c r="K32" s="180">
        <f ca="1">IFERROR('Rumus Plafond + Atrib PP3'!S20,"")</f>
        <v>1604295.9277777777</v>
      </c>
    </row>
    <row r="33" spans="1:11" x14ac:dyDescent="0.3">
      <c r="A33" s="175">
        <f>'Rumus Plafond + Atrib PP10 (2)'!O21</f>
        <v>18</v>
      </c>
      <c r="B33" s="179">
        <f ca="1">IF(A33&lt;=Simulasi!$B$11,DATE(YEAR(B32),MONTH(B32)+1,1),"")</f>
        <v>46844</v>
      </c>
      <c r="C33" s="180">
        <f ca="1">IF(A33&lt;=Simulasi!$B$11,'Rumus Plafond + Atrib PP3'!P21,"")</f>
        <v>177805619.05287629</v>
      </c>
      <c r="D33" s="180">
        <f ca="1">IFERROR('Rumus Plafond + Atrib PP3'!R21,"")</f>
        <v>1592659.1397515179</v>
      </c>
      <c r="E33" s="181">
        <f t="shared" ca="1" si="0"/>
        <v>0.99274648284972045</v>
      </c>
      <c r="F33" s="181">
        <f t="shared" ca="1" si="1"/>
        <v>7.2535171502795459E-3</v>
      </c>
      <c r="G33" s="180">
        <f ca="1">IFERROR('Rumus Plafond + Atrib PP3'!R21,"")</f>
        <v>1592659.1397515179</v>
      </c>
      <c r="H33" s="180">
        <f ca="1">IFERROR('Rumus Plafond + Atrib PP3'!Q21,"")</f>
        <v>11636.788026259746</v>
      </c>
      <c r="I33" s="181">
        <f t="shared" ca="1" si="2"/>
        <v>0.50801605443678943</v>
      </c>
      <c r="J33" s="181">
        <f t="shared" ca="1" si="3"/>
        <v>0.49198394556321057</v>
      </c>
      <c r="K33" s="180">
        <f ca="1">IFERROR('Rumus Plafond + Atrib PP3'!S21,"")</f>
        <v>1604295.9277777777</v>
      </c>
    </row>
    <row r="34" spans="1:11" x14ac:dyDescent="0.3">
      <c r="A34" s="175">
        <f>'Rumus Plafond + Atrib PP10 (2)'!O22</f>
        <v>19</v>
      </c>
      <c r="B34" s="179">
        <f ca="1">IF(A34&lt;=Simulasi!$B$11,DATE(YEAR(B33),MONTH(B33)+1,1),"")</f>
        <v>46874</v>
      </c>
      <c r="C34" s="180">
        <f ca="1">IF(A34&lt;=Simulasi!$B$11,'Rumus Plafond + Atrib PP3'!P22,"")</f>
        <v>177793878.03741315</v>
      </c>
      <c r="D34" s="180">
        <f ca="1">IFERROR('Rumus Plafond + Atrib PP3'!R22,"")</f>
        <v>1592554.9123146487</v>
      </c>
      <c r="E34" s="181">
        <f t="shared" ca="1" si="0"/>
        <v>0.99268151513705316</v>
      </c>
      <c r="F34" s="181">
        <f t="shared" ca="1" si="1"/>
        <v>7.3184848629468374E-3</v>
      </c>
      <c r="G34" s="180">
        <f ca="1">IFERROR('Rumus Plafond + Atrib PP3'!R22,"")</f>
        <v>1592554.9123146487</v>
      </c>
      <c r="H34" s="180">
        <f ca="1">IFERROR('Rumus Plafond + Atrib PP3'!Q22,"")</f>
        <v>11741.015463128919</v>
      </c>
      <c r="I34" s="181">
        <f t="shared" ca="1" si="2"/>
        <v>0.50798250867832329</v>
      </c>
      <c r="J34" s="181">
        <f t="shared" ca="1" si="3"/>
        <v>0.49201749132167671</v>
      </c>
      <c r="K34" s="180">
        <f ca="1">IFERROR('Rumus Plafond + Atrib PP3'!S22,"")</f>
        <v>1604295.9277777777</v>
      </c>
    </row>
    <row r="35" spans="1:11" x14ac:dyDescent="0.3">
      <c r="A35" s="175">
        <f>'Rumus Plafond + Atrib PP10 (2)'!O23</f>
        <v>20</v>
      </c>
      <c r="B35" s="179">
        <f ca="1">IF(A35&lt;=Simulasi!$B$11,DATE(YEAR(B34),MONTH(B34)+1,1),"")</f>
        <v>46905</v>
      </c>
      <c r="C35" s="180">
        <f ca="1">IF(A35&lt;=Simulasi!$B$11,'Rumus Plafond + Atrib PP3'!P23,"")</f>
        <v>177782031.86097732</v>
      </c>
      <c r="D35" s="180">
        <f ca="1">IFERROR('Rumus Plafond + Atrib PP3'!R23,"")</f>
        <v>1592449.7513419474</v>
      </c>
      <c r="E35" s="181">
        <f t="shared" ca="1" si="0"/>
        <v>0.99261596552685938</v>
      </c>
      <c r="F35" s="181">
        <f t="shared" ca="1" si="1"/>
        <v>7.3840344731406701E-3</v>
      </c>
      <c r="G35" s="180">
        <f ca="1">IFERROR('Rumus Plafond + Atrib PP3'!R23,"")</f>
        <v>1592449.7513419474</v>
      </c>
      <c r="H35" s="180">
        <f ca="1">IFERROR('Rumus Plafond + Atrib PP3'!Q23,"")</f>
        <v>11846.176435830304</v>
      </c>
      <c r="I35" s="181">
        <f t="shared" ca="1" si="2"/>
        <v>0.5079486624599352</v>
      </c>
      <c r="J35" s="181">
        <f t="shared" ca="1" si="3"/>
        <v>0.4920513375400648</v>
      </c>
      <c r="K35" s="180">
        <f ca="1">IFERROR('Rumus Plafond + Atrib PP3'!S23,"")</f>
        <v>1604295.9277777777</v>
      </c>
    </row>
    <row r="36" spans="1:11" x14ac:dyDescent="0.3">
      <c r="A36" s="175">
        <f>'Rumus Plafond + Atrib PP10 (2)'!O24</f>
        <v>21</v>
      </c>
      <c r="B36" s="179">
        <f ca="1">IF(A36&lt;=Simulasi!$B$11,DATE(YEAR(B35),MONTH(B35)+1,1),"")</f>
        <v>46935</v>
      </c>
      <c r="C36" s="180">
        <f ca="1">IF(A36&lt;=Simulasi!$B$11,'Rumus Plafond + Atrib PP3'!P24,"")</f>
        <v>177770079.58167154</v>
      </c>
      <c r="D36" s="180">
        <f ca="1">IFERROR('Rumus Plafond + Atrib PP3'!R24,"")</f>
        <v>1592343.648471996</v>
      </c>
      <c r="E36" s="181">
        <f t="shared" ca="1" si="0"/>
        <v>0.99254982880724651</v>
      </c>
      <c r="F36" s="181">
        <f t="shared" ca="1" si="1"/>
        <v>7.4501711927534714E-3</v>
      </c>
      <c r="G36" s="180">
        <f ca="1">IFERROR('Rumus Plafond + Atrib PP3'!R24,"")</f>
        <v>1592343.648471996</v>
      </c>
      <c r="H36" s="180">
        <f ca="1">IFERROR('Rumus Plafond + Atrib PP3'!Q24,"")</f>
        <v>11952.279305781703</v>
      </c>
      <c r="I36" s="181">
        <f t="shared" ca="1" si="2"/>
        <v>0.50791451309049007</v>
      </c>
      <c r="J36" s="181">
        <f t="shared" ca="1" si="3"/>
        <v>0.49208548690950987</v>
      </c>
      <c r="K36" s="180">
        <f ca="1">IFERROR('Rumus Plafond + Atrib PP3'!S24,"")</f>
        <v>1604295.9277777777</v>
      </c>
    </row>
    <row r="37" spans="1:11" x14ac:dyDescent="0.3">
      <c r="A37" s="175">
        <f>'Rumus Plafond + Atrib PP10 (2)'!O25</f>
        <v>22</v>
      </c>
      <c r="B37" s="179">
        <f ca="1">IF(A37&lt;=Simulasi!$B$11,DATE(YEAR(B36),MONTH(B36)+1,1),"")</f>
        <v>46966</v>
      </c>
      <c r="C37" s="180">
        <f ca="1">IF(A37&lt;=Simulasi!$B$11,'Rumus Plafond + Atrib PP3'!P25,"")</f>
        <v>177758020.24916226</v>
      </c>
      <c r="D37" s="180">
        <f ca="1">IFERROR('Rumus Plafond + Atrib PP3'!R25,"")</f>
        <v>1592236.5952684851</v>
      </c>
      <c r="E37" s="181">
        <f t="shared" ca="1" si="0"/>
        <v>0.99248309971964044</v>
      </c>
      <c r="F37" s="181">
        <f t="shared" ca="1" si="1"/>
        <v>7.5169002803595879E-3</v>
      </c>
      <c r="G37" s="180">
        <f ca="1">IFERROR('Rumus Plafond + Atrib PP3'!R25,"")</f>
        <v>1592236.5952684851</v>
      </c>
      <c r="H37" s="180">
        <f ca="1">IFERROR('Rumus Plafond + Atrib PP3'!Q25,"")</f>
        <v>12059.332509292522</v>
      </c>
      <c r="I37" s="181">
        <f t="shared" ca="1" si="2"/>
        <v>0.50788005785474932</v>
      </c>
      <c r="J37" s="181">
        <f t="shared" ca="1" si="3"/>
        <v>0.49211994214525068</v>
      </c>
      <c r="K37" s="180">
        <f ca="1">IFERROR('Rumus Plafond + Atrib PP3'!S25,"")</f>
        <v>1604295.9277777777</v>
      </c>
    </row>
    <row r="38" spans="1:11" x14ac:dyDescent="0.3">
      <c r="A38" s="175">
        <f>'Rumus Plafond + Atrib PP10 (2)'!O26</f>
        <v>23</v>
      </c>
      <c r="B38" s="179">
        <f ca="1">IF(A38&lt;=Simulasi!$B$11,DATE(YEAR(B37),MONTH(B37)+1,1),"")</f>
        <v>46997</v>
      </c>
      <c r="C38" s="180">
        <f ca="1">IF(A38&lt;=Simulasi!$B$11,'Rumus Plafond + Atrib PP3'!P26,"")</f>
        <v>177745852.90460402</v>
      </c>
      <c r="D38" s="180">
        <f ca="1">IFERROR('Rumus Plafond + Atrib PP3'!R26,"")</f>
        <v>1592128.5832195457</v>
      </c>
      <c r="E38" s="181">
        <f t="shared" ca="1" si="0"/>
        <v>0.99241577295836825</v>
      </c>
      <c r="F38" s="181">
        <f t="shared" ca="1" si="1"/>
        <v>7.5842270416318002E-3</v>
      </c>
      <c r="G38" s="180">
        <f ca="1">IFERROR('Rumus Plafond + Atrib PP3'!R26,"")</f>
        <v>1592128.5832195457</v>
      </c>
      <c r="H38" s="180">
        <f ca="1">IFERROR('Rumus Plafond + Atrib PP3'!Q26,"")</f>
        <v>12167.344558231998</v>
      </c>
      <c r="I38" s="181">
        <f t="shared" ca="1" si="2"/>
        <v>0.50784529401315437</v>
      </c>
      <c r="J38" s="181">
        <f t="shared" ca="1" si="3"/>
        <v>0.49215470598684569</v>
      </c>
      <c r="K38" s="180">
        <f ca="1">IFERROR('Rumus Plafond + Atrib PP3'!S26,"")</f>
        <v>1604295.9277777777</v>
      </c>
    </row>
    <row r="39" spans="1:11" x14ac:dyDescent="0.3">
      <c r="A39" s="175">
        <f>'Rumus Plafond + Atrib PP10 (2)'!O27</f>
        <v>24</v>
      </c>
      <c r="B39" s="179">
        <f ca="1">IF(A39&lt;=Simulasi!$B$11,DATE(YEAR(B38),MONTH(B38)+1,1),"")</f>
        <v>47027</v>
      </c>
      <c r="C39" s="180">
        <f ca="1">IF(A39&lt;=Simulasi!$B$11,'Rumus Plafond + Atrib PP3'!P27,"")</f>
        <v>177733576.58056331</v>
      </c>
      <c r="D39" s="180">
        <f ca="1">IFERROR('Rumus Plafond + Atrib PP3'!R27,"")</f>
        <v>1592019.6037370677</v>
      </c>
      <c r="E39" s="181">
        <f t="shared" ca="1" si="0"/>
        <v>0.99234784317023428</v>
      </c>
      <c r="F39" s="181">
        <f t="shared" ca="1" si="1"/>
        <v>7.6521568297656835E-3</v>
      </c>
      <c r="G39" s="180">
        <f ca="1">IFERROR('Rumus Plafond + Atrib PP3'!R27,"")</f>
        <v>1592019.6037370677</v>
      </c>
      <c r="H39" s="180">
        <f ca="1">IFERROR('Rumus Plafond + Atrib PP3'!Q27,"")</f>
        <v>12276.324040709995</v>
      </c>
      <c r="I39" s="181">
        <f t="shared" ca="1" si="2"/>
        <v>0.50781021880160948</v>
      </c>
      <c r="J39" s="181">
        <f t="shared" ca="1" si="3"/>
        <v>0.49218978119839057</v>
      </c>
      <c r="K39" s="180">
        <f ca="1">IFERROR('Rumus Plafond + Atrib PP3'!S27,"")</f>
        <v>1604295.9277777777</v>
      </c>
    </row>
    <row r="40" spans="1:11" x14ac:dyDescent="0.3">
      <c r="A40" s="175">
        <f>'Rumus Plafond + Atrib PP10 (2)'!O28</f>
        <v>25</v>
      </c>
      <c r="B40" s="179">
        <f ca="1">IF(A40&lt;=Simulasi!$B$11,DATE(YEAR(B39),MONTH(B39)+1,1),"")</f>
        <v>47058</v>
      </c>
      <c r="C40" s="180">
        <f ca="1">IF(A40&lt;=Simulasi!$B$11,'Rumus Plafond + Atrib PP3'!P28,"")</f>
        <v>177721190.30094156</v>
      </c>
      <c r="D40" s="180">
        <f ca="1">IFERROR('Rumus Plafond + Atrib PP3'!R28,"")</f>
        <v>1591909.6481560217</v>
      </c>
      <c r="E40" s="181">
        <f t="shared" ca="1" si="0"/>
        <v>0.99227930495409722</v>
      </c>
      <c r="F40" s="181">
        <f t="shared" ca="1" si="1"/>
        <v>7.7206950459028081E-3</v>
      </c>
      <c r="G40" s="180">
        <f ca="1">IFERROR('Rumus Plafond + Atrib PP3'!R28,"")</f>
        <v>1591909.6481560217</v>
      </c>
      <c r="H40" s="180">
        <f ca="1">IFERROR('Rumus Plafond + Atrib PP3'!Q28,"")</f>
        <v>12386.279621755937</v>
      </c>
      <c r="I40" s="181">
        <f t="shared" ca="1" si="2"/>
        <v>0.50777482943126162</v>
      </c>
      <c r="J40" s="181">
        <f t="shared" ca="1" si="3"/>
        <v>0.49222517056873843</v>
      </c>
      <c r="K40" s="180">
        <f ca="1">IFERROR('Rumus Plafond + Atrib PP3'!S28,"")</f>
        <v>1604295.9277777777</v>
      </c>
    </row>
    <row r="41" spans="1:11" x14ac:dyDescent="0.3">
      <c r="A41" s="175">
        <f>'Rumus Plafond + Atrib PP10 (2)'!O29</f>
        <v>26</v>
      </c>
      <c r="B41" s="179">
        <f ca="1">IF(A41&lt;=Simulasi!$B$11,DATE(YEAR(B40),MONTH(B40)+1,1),"")</f>
        <v>47088</v>
      </c>
      <c r="C41" s="180">
        <f ca="1">IF(A41&lt;=Simulasi!$B$11,'Rumus Plafond + Atrib PP3'!P29,"")</f>
        <v>177708693.08089754</v>
      </c>
      <c r="D41" s="180">
        <f ca="1">IFERROR('Rumus Plafond + Atrib PP3'!R29,"")</f>
        <v>1591798.7077337673</v>
      </c>
      <c r="E41" s="181">
        <f t="shared" ca="1" si="0"/>
        <v>0.99221015286043823</v>
      </c>
      <c r="F41" s="181">
        <f t="shared" ca="1" si="1"/>
        <v>7.7898471395617709E-3</v>
      </c>
      <c r="G41" s="180">
        <f ca="1">IFERROR('Rumus Plafond + Atrib PP3'!R29,"")</f>
        <v>1591798.7077337673</v>
      </c>
      <c r="H41" s="180">
        <f ca="1">IFERROR('Rumus Plafond + Atrib PP3'!Q29,"")</f>
        <v>12497.220044010319</v>
      </c>
      <c r="I41" s="181">
        <f t="shared" ca="1" si="2"/>
        <v>0.50773912308827873</v>
      </c>
      <c r="J41" s="181">
        <f t="shared" ca="1" si="3"/>
        <v>0.49226087691172132</v>
      </c>
      <c r="K41" s="180">
        <f ca="1">IFERROR('Rumus Plafond + Atrib PP3'!S29,"")</f>
        <v>1604295.9277777777</v>
      </c>
    </row>
    <row r="42" spans="1:11" x14ac:dyDescent="0.3">
      <c r="A42" s="175">
        <f>'Rumus Plafond + Atrib PP10 (2)'!O30</f>
        <v>27</v>
      </c>
      <c r="B42" s="179">
        <f ca="1">IF(A42&lt;=Simulasi!$B$11,DATE(YEAR(B41),MONTH(B41)+1,1),"")</f>
        <v>47119</v>
      </c>
      <c r="C42" s="180">
        <f ca="1">IF(A42&lt;=Simulasi!$B$11,'Rumus Plafond + Atrib PP3'!P30,"")</f>
        <v>177696083.92676911</v>
      </c>
      <c r="D42" s="180">
        <f ca="1">IFERROR('Rumus Plafond + Atrib PP3'!R30,"")</f>
        <v>1591686.7736493589</v>
      </c>
      <c r="E42" s="181">
        <f t="shared" ca="1" si="0"/>
        <v>0.99214038139092919</v>
      </c>
      <c r="F42" s="181">
        <f t="shared" ca="1" si="1"/>
        <v>7.8596186090708273E-3</v>
      </c>
      <c r="G42" s="180">
        <f ca="1">IFERROR('Rumus Plafond + Atrib PP3'!R30,"")</f>
        <v>1591686.7736493589</v>
      </c>
      <c r="H42" s="180">
        <f ca="1">IFERROR('Rumus Plafond + Atrib PP3'!Q30,"")</f>
        <v>12609.15412841877</v>
      </c>
      <c r="I42" s="181">
        <f t="shared" ca="1" si="2"/>
        <v>0.50770309693362603</v>
      </c>
      <c r="J42" s="181">
        <f t="shared" ca="1" si="3"/>
        <v>0.49229690306637397</v>
      </c>
      <c r="K42" s="180">
        <f ca="1">IFERROR('Rumus Plafond + Atrib PP3'!S30,"")</f>
        <v>1604295.9277777777</v>
      </c>
    </row>
    <row r="43" spans="1:11" x14ac:dyDescent="0.3">
      <c r="A43" s="175">
        <f>'Rumus Plafond + Atrib PP10 (2)'!O31</f>
        <v>28</v>
      </c>
      <c r="B43" s="179">
        <f ca="1">IF(A43&lt;=Simulasi!$B$11,DATE(YEAR(B42),MONTH(B42)+1,1),"")</f>
        <v>47150</v>
      </c>
      <c r="C43" s="180">
        <f ca="1">IF(A43&lt;=Simulasi!$B$11,'Rumus Plafond + Atrib PP3'!P31,"")</f>
        <v>177683361.83599418</v>
      </c>
      <c r="D43" s="180">
        <f ca="1">IFERROR('Rumus Plafond + Atrib PP3'!R31,"")</f>
        <v>1591573.8370028436</v>
      </c>
      <c r="E43" s="181">
        <f t="shared" ca="1" si="0"/>
        <v>0.99206998499799459</v>
      </c>
      <c r="F43" s="181">
        <f t="shared" ca="1" si="1"/>
        <v>7.9300150020054569E-3</v>
      </c>
      <c r="G43" s="180">
        <f ca="1">IFERROR('Rumus Plafond + Atrib PP3'!R31,"")</f>
        <v>1591573.8370028436</v>
      </c>
      <c r="H43" s="180">
        <f ca="1">IFERROR('Rumus Plafond + Atrib PP3'!Q31,"")</f>
        <v>12722.09077493404</v>
      </c>
      <c r="I43" s="181">
        <f t="shared" ca="1" si="2"/>
        <v>0.50766674810284051</v>
      </c>
      <c r="J43" s="181">
        <f t="shared" ca="1" si="3"/>
        <v>0.49233325189715949</v>
      </c>
      <c r="K43" s="180">
        <f ca="1">IFERROR('Rumus Plafond + Atrib PP3'!S31,"")</f>
        <v>1604295.9277777777</v>
      </c>
    </row>
    <row r="44" spans="1:11" x14ac:dyDescent="0.3">
      <c r="A44" s="175">
        <f>'Rumus Plafond + Atrib PP10 (2)'!O32</f>
        <v>29</v>
      </c>
      <c r="B44" s="179">
        <f ca="1">IF(A44&lt;=Simulasi!$B$11,DATE(YEAR(B43),MONTH(B43)+1,1),"")</f>
        <v>47178</v>
      </c>
      <c r="C44" s="180">
        <f ca="1">IF(A44&lt;=Simulasi!$B$11,'Rumus Plafond + Atrib PP3'!P32,"")</f>
        <v>177670525.79703096</v>
      </c>
      <c r="D44" s="180">
        <f ca="1">IFERROR('Rumus Plafond + Atrib PP3'!R32,"")</f>
        <v>1591459.8888145555</v>
      </c>
      <c r="E44" s="181">
        <f t="shared" ca="1" si="0"/>
        <v>0.99199895808437144</v>
      </c>
      <c r="F44" s="181">
        <f t="shared" ca="1" si="1"/>
        <v>8.0010419156285404E-3</v>
      </c>
      <c r="G44" s="180">
        <f ca="1">IFERROR('Rumus Plafond + Atrib PP3'!R32,"")</f>
        <v>1591459.8888145555</v>
      </c>
      <c r="H44" s="180">
        <f ca="1">IFERROR('Rumus Plafond + Atrib PP3'!Q32,"")</f>
        <v>12836.038963222178</v>
      </c>
      <c r="I44" s="181">
        <f t="shared" ca="1" si="2"/>
        <v>0.50763007370580271</v>
      </c>
      <c r="J44" s="181">
        <f t="shared" ca="1" si="3"/>
        <v>0.49236992629419729</v>
      </c>
      <c r="K44" s="180">
        <f ca="1">IFERROR('Rumus Plafond + Atrib PP3'!S32,"")</f>
        <v>1604295.9277777777</v>
      </c>
    </row>
    <row r="45" spans="1:11" x14ac:dyDescent="0.3">
      <c r="A45" s="175">
        <f>'Rumus Plafond + Atrib PP10 (2)'!O33</f>
        <v>30</v>
      </c>
      <c r="B45" s="179">
        <f ca="1">IF(A45&lt;=Simulasi!$B$11,DATE(YEAR(B44),MONTH(B44)+1,1),"")</f>
        <v>47209</v>
      </c>
      <c r="C45" s="180">
        <f ca="1">IF(A45&lt;=Simulasi!$B$11,'Rumus Plafond + Atrib PP3'!P33,"")</f>
        <v>177657574.78927758</v>
      </c>
      <c r="D45" s="180">
        <f ca="1">IFERROR('Rumus Plafond + Atrib PP3'!R33,"")</f>
        <v>1591344.9200243989</v>
      </c>
      <c r="E45" s="181">
        <f t="shared" ca="1" si="0"/>
        <v>0.99192729500266319</v>
      </c>
      <c r="F45" s="181">
        <f t="shared" ca="1" si="1"/>
        <v>8.0727049973367809E-3</v>
      </c>
      <c r="G45" s="180">
        <f ca="1">IFERROR('Rumus Plafond + Atrib PP3'!R33,"")</f>
        <v>1591344.9200243989</v>
      </c>
      <c r="H45" s="180">
        <f ca="1">IFERROR('Rumus Plafond + Atrib PP3'!Q33,"")</f>
        <v>12951.007753378712</v>
      </c>
      <c r="I45" s="181">
        <f t="shared" ca="1" si="2"/>
        <v>0.5075930708265074</v>
      </c>
      <c r="J45" s="181">
        <f t="shared" ca="1" si="3"/>
        <v>0.4924069291734926</v>
      </c>
      <c r="K45" s="180">
        <f ca="1">IFERROR('Rumus Plafond + Atrib PP3'!S33,"")</f>
        <v>1604295.9277777777</v>
      </c>
    </row>
    <row r="46" spans="1:11" x14ac:dyDescent="0.3">
      <c r="A46" s="175">
        <f>'Rumus Plafond + Atrib PP10 (2)'!O34</f>
        <v>31</v>
      </c>
      <c r="B46" s="179">
        <f ca="1">IF(A46&lt;=Simulasi!$B$11,DATE(YEAR(B45),MONTH(B45)+1,1),"")</f>
        <v>47239</v>
      </c>
      <c r="C46" s="180">
        <f ca="1">IF(A46&lt;=Simulasi!$B$11,'Rumus Plafond + Atrib PP3'!P34,"")</f>
        <v>177644507.78299093</v>
      </c>
      <c r="D46" s="180">
        <f ca="1">IFERROR('Rumus Plafond + Atrib PP3'!R34,"")</f>
        <v>1591228.9214911303</v>
      </c>
      <c r="E46" s="181">
        <f t="shared" ca="1" si="0"/>
        <v>0.99185499005489131</v>
      </c>
      <c r="F46" s="181">
        <f t="shared" ca="1" si="1"/>
        <v>8.14500994510871E-3</v>
      </c>
      <c r="G46" s="180">
        <f ca="1">IFERROR('Rumus Plafond + Atrib PP3'!R34,"")</f>
        <v>1591228.9214911303</v>
      </c>
      <c r="H46" s="180">
        <f ca="1">IFERROR('Rumus Plafond + Atrib PP3'!Q34,"")</f>
        <v>13067.006286647404</v>
      </c>
      <c r="I46" s="181">
        <f t="shared" ca="1" si="2"/>
        <v>0.50755573652283126</v>
      </c>
      <c r="J46" s="181">
        <f t="shared" ca="1" si="3"/>
        <v>0.49244426347716874</v>
      </c>
      <c r="K46" s="180">
        <f ca="1">IFERROR('Rumus Plafond + Atrib PP3'!S34,"")</f>
        <v>1604295.9277777777</v>
      </c>
    </row>
    <row r="47" spans="1:11" x14ac:dyDescent="0.3">
      <c r="A47" s="175">
        <f>'Rumus Plafond + Atrib PP10 (2)'!O35</f>
        <v>32</v>
      </c>
      <c r="B47" s="179">
        <f ca="1">IF(A47&lt;=Simulasi!$B$11,DATE(YEAR(B46),MONTH(B46)+1,1),"")</f>
        <v>47270</v>
      </c>
      <c r="C47" s="180">
        <f ca="1">IF(A47&lt;=Simulasi!$B$11,'Rumus Plafond + Atrib PP3'!P35,"")</f>
        <v>177631323.73920479</v>
      </c>
      <c r="D47" s="180">
        <f ca="1">IFERROR('Rumus Plafond + Atrib PP3'!R35,"")</f>
        <v>1591111.88399163</v>
      </c>
      <c r="E47" s="181">
        <f t="shared" ca="1" si="0"/>
        <v>0.99178203749204197</v>
      </c>
      <c r="F47" s="181">
        <f t="shared" ca="1" si="1"/>
        <v>8.2179625079580858E-3</v>
      </c>
      <c r="G47" s="180">
        <f ca="1">IFERROR('Rumus Plafond + Atrib PP3'!R35,"")</f>
        <v>1591111.88399163</v>
      </c>
      <c r="H47" s="180">
        <f ca="1">IFERROR('Rumus Plafond + Atrib PP3'!Q35,"")</f>
        <v>13184.043786147609</v>
      </c>
      <c r="I47" s="181">
        <f t="shared" ca="1" si="2"/>
        <v>0.50751806782629938</v>
      </c>
      <c r="J47" s="181">
        <f t="shared" ca="1" si="3"/>
        <v>0.49248193217370057</v>
      </c>
      <c r="K47" s="180">
        <f ca="1">IFERROR('Rumus Plafond + Atrib PP3'!S35,"")</f>
        <v>1604295.9277777777</v>
      </c>
    </row>
    <row r="48" spans="1:11" x14ac:dyDescent="0.3">
      <c r="A48" s="175">
        <f>'Rumus Plafond + Atrib PP10 (2)'!O36</f>
        <v>33</v>
      </c>
      <c r="B48" s="179">
        <f ca="1">IF(A48&lt;=Simulasi!$B$11,DATE(YEAR(B47),MONTH(B47)+1,1),"")</f>
        <v>47300</v>
      </c>
      <c r="C48" s="180">
        <f ca="1">IF(A48&lt;=Simulasi!$B$11,'Rumus Plafond + Atrib PP3'!P36,"")</f>
        <v>177618021.60964718</v>
      </c>
      <c r="D48" s="180">
        <f ca="1">IFERROR('Rumus Plafond + Atrib PP3'!R36,"")</f>
        <v>1590993.79822017</v>
      </c>
      <c r="E48" s="181">
        <f t="shared" ca="1" si="0"/>
        <v>0.99170843151360899</v>
      </c>
      <c r="F48" s="181">
        <f t="shared" ca="1" si="1"/>
        <v>8.2915684863910395E-3</v>
      </c>
      <c r="G48" s="180">
        <f ca="1">IFERROR('Rumus Plafond + Atrib PP3'!R36,"")</f>
        <v>1590993.79822017</v>
      </c>
      <c r="H48" s="180">
        <f ca="1">IFERROR('Rumus Plafond + Atrib PP3'!Q36,"")</f>
        <v>13302.129557607695</v>
      </c>
      <c r="I48" s="181">
        <f t="shared" ca="1" si="2"/>
        <v>0.50748006174184912</v>
      </c>
      <c r="J48" s="181">
        <f t="shared" ca="1" si="3"/>
        <v>0.49251993825815088</v>
      </c>
      <c r="K48" s="180">
        <f ca="1">IFERROR('Rumus Plafond + Atrib PP3'!S36,"")</f>
        <v>1604295.9277777777</v>
      </c>
    </row>
    <row r="49" spans="1:11" x14ac:dyDescent="0.3">
      <c r="A49" s="175">
        <f>'Rumus Plafond + Atrib PP10 (2)'!O37</f>
        <v>34</v>
      </c>
      <c r="B49" s="179">
        <f ca="1">IF(A49&lt;=Simulasi!$B$11,DATE(YEAR(B48),MONTH(B48)+1,1),"")</f>
        <v>47331</v>
      </c>
      <c r="C49" s="180">
        <f ca="1">IF(A49&lt;=Simulasi!$B$11,'Rumus Plafond + Atrib PP3'!P37,"")</f>
        <v>177604600.33665708</v>
      </c>
      <c r="D49" s="180">
        <f ca="1">IFERROR('Rumus Plafond + Atrib PP3'!R37,"")</f>
        <v>1590874.6547876729</v>
      </c>
      <c r="E49" s="181">
        <f t="shared" ca="1" si="0"/>
        <v>0.99163416626713285</v>
      </c>
      <c r="F49" s="181">
        <f t="shared" ca="1" si="1"/>
        <v>8.3658337328671555E-3</v>
      </c>
      <c r="G49" s="180">
        <f ca="1">IFERROR('Rumus Plafond + Atrib PP3'!R37,"")</f>
        <v>1590874.6547876729</v>
      </c>
      <c r="H49" s="180">
        <f ca="1">IFERROR('Rumus Plafond + Atrib PP3'!Q37,"")</f>
        <v>13421.272990104742</v>
      </c>
      <c r="I49" s="181">
        <f t="shared" ca="1" si="2"/>
        <v>0.50744171524759163</v>
      </c>
      <c r="J49" s="181">
        <f t="shared" ca="1" si="3"/>
        <v>0.49255828475240837</v>
      </c>
      <c r="K49" s="180">
        <f ca="1">IFERROR('Rumus Plafond + Atrib PP3'!S37,"")</f>
        <v>1604295.9277777777</v>
      </c>
    </row>
    <row r="50" spans="1:11" x14ac:dyDescent="0.3">
      <c r="A50" s="175">
        <f>'Rumus Plafond + Atrib PP10 (2)'!O38</f>
        <v>35</v>
      </c>
      <c r="B50" s="179">
        <f ca="1">IF(A50&lt;=Simulasi!$B$11,DATE(YEAR(B49),MONTH(B49)+1,1),"")</f>
        <v>47362</v>
      </c>
      <c r="C50" s="180">
        <f ca="1">IF(A50&lt;=Simulasi!$B$11,'Rumus Plafond + Atrib PP3'!P38,"")</f>
        <v>177591058.85310027</v>
      </c>
      <c r="D50" s="180">
        <f ca="1">IFERROR('Rumus Plafond + Atrib PP3'!R38,"")</f>
        <v>1590754.4442209667</v>
      </c>
      <c r="E50" s="181">
        <f t="shared" ca="1" si="0"/>
        <v>0.9915592358477352</v>
      </c>
      <c r="F50" s="181">
        <f t="shared" ca="1" si="1"/>
        <v>8.4407641522647597E-3</v>
      </c>
      <c r="G50" s="180">
        <f ca="1">IFERROR('Rumus Plafond + Atrib PP3'!R38,"")</f>
        <v>1590754.4442209667</v>
      </c>
      <c r="H50" s="180">
        <f ca="1">IFERROR('Rumus Plafond + Atrib PP3'!Q38,"")</f>
        <v>13541.483556810999</v>
      </c>
      <c r="I50" s="181">
        <f t="shared" ca="1" si="2"/>
        <v>0.50740302529457215</v>
      </c>
      <c r="J50" s="181">
        <f t="shared" ca="1" si="3"/>
        <v>0.49259697470542779</v>
      </c>
      <c r="K50" s="180">
        <f ca="1">IFERROR('Rumus Plafond + Atrib PP3'!S38,"")</f>
        <v>1604295.9277777777</v>
      </c>
    </row>
    <row r="51" spans="1:11" x14ac:dyDescent="0.3">
      <c r="A51" s="175">
        <f>'Rumus Plafond + Atrib PP10 (2)'!O39</f>
        <v>36</v>
      </c>
      <c r="B51" s="179">
        <f ca="1">IF(A51&lt;=Simulasi!$B$11,DATE(YEAR(B50),MONTH(B50)+1,1),"")</f>
        <v>47392</v>
      </c>
      <c r="C51" s="180">
        <f ca="1">IF(A51&lt;=Simulasi!$B$11,'Rumus Plafond + Atrib PP3'!P39,"")</f>
        <v>177577396.08228451</v>
      </c>
      <c r="D51" s="180">
        <f ca="1">IFERROR('Rumus Plafond + Atrib PP3'!R39,"")</f>
        <v>1590633.1569620303</v>
      </c>
      <c r="E51" s="181">
        <f t="shared" ca="1" si="0"/>
        <v>0.99148363429764941</v>
      </c>
      <c r="F51" s="181">
        <f t="shared" ca="1" si="1"/>
        <v>8.5163657023505524E-3</v>
      </c>
      <c r="G51" s="180">
        <f ca="1">IFERROR('Rumus Plafond + Atrib PP3'!R39,"")</f>
        <v>1590633.1569620303</v>
      </c>
      <c r="H51" s="180">
        <f ca="1">IFERROR('Rumus Plafond + Atrib PP3'!Q39,"")</f>
        <v>13662.770815747324</v>
      </c>
      <c r="I51" s="181">
        <f t="shared" ca="1" si="2"/>
        <v>0.50736398880652722</v>
      </c>
      <c r="J51" s="181">
        <f t="shared" ca="1" si="3"/>
        <v>0.49263601119347283</v>
      </c>
      <c r="K51" s="180">
        <f ca="1">IFERROR('Rumus Plafond + Atrib PP3'!S39,"")</f>
        <v>1604295.9277777777</v>
      </c>
    </row>
    <row r="52" spans="1:11" x14ac:dyDescent="0.3">
      <c r="A52" s="175">
        <f>'Rumus Plafond + Atrib PP10 (2)'!O40</f>
        <v>37</v>
      </c>
      <c r="B52" s="179">
        <f ca="1">IF(A52&lt;=Simulasi!$B$11,DATE(YEAR(B51),MONTH(B51)+1,1),"")</f>
        <v>47423</v>
      </c>
      <c r="C52" s="180">
        <f ca="1">IF(A52&lt;=Simulasi!$B$11,'Rumus Plafond + Atrib PP3'!P40,"")</f>
        <v>177563610.93787396</v>
      </c>
      <c r="D52" s="180">
        <f ca="1">IFERROR('Rumus Plafond + Atrib PP3'!R40,"")</f>
        <v>1590510.783367234</v>
      </c>
      <c r="E52" s="181">
        <f t="shared" ca="1" si="0"/>
        <v>0.99140735560574644</v>
      </c>
      <c r="F52" s="181">
        <f t="shared" ca="1" si="1"/>
        <v>8.5926443942536054E-3</v>
      </c>
      <c r="G52" s="180">
        <f ca="1">IFERROR('Rumus Plafond + Atrib PP3'!R40,"")</f>
        <v>1590510.783367234</v>
      </c>
      <c r="H52" s="180">
        <f ca="1">IFERROR('Rumus Plafond + Atrib PP3'!Q40,"")</f>
        <v>13785.144410543609</v>
      </c>
      <c r="I52" s="181">
        <f t="shared" ca="1" si="2"/>
        <v>0.50732460267963986</v>
      </c>
      <c r="J52" s="181">
        <f t="shared" ca="1" si="3"/>
        <v>0.49267539732036014</v>
      </c>
      <c r="K52" s="180">
        <f ca="1">IFERROR('Rumus Plafond + Atrib PP3'!S40,"")</f>
        <v>1604295.9277777777</v>
      </c>
    </row>
    <row r="53" spans="1:11" x14ac:dyDescent="0.3">
      <c r="A53" s="175">
        <f>'Rumus Plafond + Atrib PP10 (2)'!O41</f>
        <v>38</v>
      </c>
      <c r="B53" s="179">
        <f ca="1">IF(A53&lt;=Simulasi!$B$11,DATE(YEAR(B52),MONTH(B52)+1,1),"")</f>
        <v>47453</v>
      </c>
      <c r="C53" s="180">
        <f ca="1">IF(A53&lt;=Simulasi!$B$11,'Rumus Plafond + Atrib PP3'!P41,"")</f>
        <v>177549702.32380277</v>
      </c>
      <c r="D53" s="180">
        <f ca="1">IFERROR('Rumus Plafond + Atrib PP3'!R41,"")</f>
        <v>1590387.3137065733</v>
      </c>
      <c r="E53" s="181">
        <f t="shared" ca="1" si="0"/>
        <v>0.99133039370705744</v>
      </c>
      <c r="F53" s="181">
        <f t="shared" ca="1" si="1"/>
        <v>8.6696062929425503E-3</v>
      </c>
      <c r="G53" s="180">
        <f ca="1">IFERROR('Rumus Plafond + Atrib PP3'!R41,"")</f>
        <v>1590387.3137065733</v>
      </c>
      <c r="H53" s="180">
        <f ca="1">IFERROR('Rumus Plafond + Atrib PP3'!Q41,"")</f>
        <v>13908.614071204327</v>
      </c>
      <c r="I53" s="181">
        <f t="shared" ca="1" si="2"/>
        <v>0.50728486378229365</v>
      </c>
      <c r="J53" s="181">
        <f t="shared" ca="1" si="3"/>
        <v>0.49271513621770635</v>
      </c>
      <c r="K53" s="180">
        <f ca="1">IFERROR('Rumus Plafond + Atrib PP3'!S41,"")</f>
        <v>1604295.9277777777</v>
      </c>
    </row>
    <row r="54" spans="1:11" x14ac:dyDescent="0.3">
      <c r="A54" s="175">
        <f>'Rumus Plafond + Atrib PP10 (2)'!O42</f>
        <v>39</v>
      </c>
      <c r="B54" s="179">
        <f ca="1">IF(A54&lt;=Simulasi!$B$11,DATE(YEAR(B53),MONTH(B53)+1,1),"")</f>
        <v>47484</v>
      </c>
      <c r="C54" s="180">
        <f ca="1">IF(A54&lt;=Simulasi!$B$11,'Rumus Plafond + Atrib PP3'!P42,"")</f>
        <v>177535669.13418788</v>
      </c>
      <c r="D54" s="180">
        <f ca="1">IFERROR('Rumus Plafond + Atrib PP3'!R42,"")</f>
        <v>1590262.7381628954</v>
      </c>
      <c r="E54" s="181">
        <f t="shared" ca="1" si="0"/>
        <v>0.99125274248229212</v>
      </c>
      <c r="F54" s="181">
        <f t="shared" ca="1" si="1"/>
        <v>8.7472575177078328E-3</v>
      </c>
      <c r="G54" s="180">
        <f ca="1">IFERROR('Rumus Plafond + Atrib PP3'!R42,"")</f>
        <v>1590262.7381628954</v>
      </c>
      <c r="H54" s="180">
        <f ca="1">IFERROR('Rumus Plafond + Atrib PP3'!Q42,"")</f>
        <v>14033.189614882227</v>
      </c>
      <c r="I54" s="181">
        <f t="shared" ca="1" si="2"/>
        <v>0.50724476895482251</v>
      </c>
      <c r="J54" s="181">
        <f t="shared" ca="1" si="3"/>
        <v>0.49275523104517749</v>
      </c>
      <c r="K54" s="180">
        <f ca="1">IFERROR('Rumus Plafond + Atrib PP3'!S42,"")</f>
        <v>1604295.9277777777</v>
      </c>
    </row>
    <row r="55" spans="1:11" x14ac:dyDescent="0.3">
      <c r="A55" s="175">
        <f>'Rumus Plafond + Atrib PP10 (2)'!O43</f>
        <v>40</v>
      </c>
      <c r="B55" s="179">
        <f ca="1">IF(A55&lt;=Simulasi!$B$11,DATE(YEAR(B54),MONTH(B54)+1,1),"")</f>
        <v>47515</v>
      </c>
      <c r="C55" s="180">
        <f ca="1">IF(A55&lt;=Simulasi!$B$11,'Rumus Plafond + Atrib PP3'!P43,"")</f>
        <v>177521510.25324121</v>
      </c>
      <c r="D55" s="180">
        <f ca="1">IFERROR('Rumus Plafond + Atrib PP3'!R43,"")</f>
        <v>1590137.0468311158</v>
      </c>
      <c r="E55" s="181">
        <f t="shared" ca="1" si="0"/>
        <v>0.99117439575734989</v>
      </c>
      <c r="F55" s="181">
        <f t="shared" ca="1" si="1"/>
        <v>8.8256042426500866E-3</v>
      </c>
      <c r="G55" s="180">
        <f ca="1">IFERROR('Rumus Plafond + Atrib PP3'!R43,"")</f>
        <v>1590137.0468311158</v>
      </c>
      <c r="H55" s="180">
        <f ca="1">IFERROR('Rumus Plafond + Atrib PP3'!Q43,"")</f>
        <v>14158.880946661811</v>
      </c>
      <c r="I55" s="181">
        <f t="shared" ca="1" si="2"/>
        <v>0.50720431500926055</v>
      </c>
      <c r="J55" s="181">
        <f t="shared" ca="1" si="3"/>
        <v>0.49279568499073939</v>
      </c>
      <c r="K55" s="180">
        <f ca="1">IFERROR('Rumus Plafond + Atrib PP3'!S43,"")</f>
        <v>1604295.9277777777</v>
      </c>
    </row>
    <row r="56" spans="1:11" x14ac:dyDescent="0.3">
      <c r="A56" s="175">
        <f>'Rumus Plafond + Atrib PP10 (2)'!O44</f>
        <v>41</v>
      </c>
      <c r="B56" s="179">
        <f ca="1">IF(A56&lt;=Simulasi!$B$11,DATE(YEAR(B55),MONTH(B55)+1,1),"")</f>
        <v>47543</v>
      </c>
      <c r="C56" s="180">
        <f ca="1">IF(A56&lt;=Simulasi!$B$11,'Rumus Plafond + Atrib PP3'!P44,"")</f>
        <v>177507224.55518088</v>
      </c>
      <c r="D56" s="180">
        <f ca="1">IFERROR('Rumus Plafond + Atrib PP3'!R44,"")</f>
        <v>1590010.2297174351</v>
      </c>
      <c r="E56" s="181">
        <f t="shared" ca="1" si="0"/>
        <v>0.99109534730283166</v>
      </c>
      <c r="F56" s="181">
        <f t="shared" ca="1" si="1"/>
        <v>8.9046526971683429E-3</v>
      </c>
      <c r="G56" s="180">
        <f ca="1">IFERROR('Rumus Plafond + Atrib PP3'!R44,"")</f>
        <v>1590010.2297174351</v>
      </c>
      <c r="H56" s="180">
        <f ca="1">IFERROR('Rumus Plafond + Atrib PP3'!Q44,"")</f>
        <v>14285.698060342576</v>
      </c>
      <c r="I56" s="181">
        <f t="shared" ca="1" si="2"/>
        <v>0.50716349872908817</v>
      </c>
      <c r="J56" s="181">
        <f t="shared" ca="1" si="3"/>
        <v>0.49283650127091178</v>
      </c>
      <c r="K56" s="180">
        <f ca="1">IFERROR('Rumus Plafond + Atrib PP3'!S44,"")</f>
        <v>1604295.9277777777</v>
      </c>
    </row>
    <row r="57" spans="1:11" x14ac:dyDescent="0.3">
      <c r="A57" s="175">
        <f>'Rumus Plafond + Atrib PP10 (2)'!O45</f>
        <v>42</v>
      </c>
      <c r="B57" s="179">
        <f ca="1">IF(A57&lt;=Simulasi!$B$11,DATE(YEAR(B56),MONTH(B56)+1,1),"")</f>
        <v>47574</v>
      </c>
      <c r="C57" s="180">
        <f ca="1">IF(A57&lt;=Simulasi!$B$11,'Rumus Plafond + Atrib PP3'!P45,"")</f>
        <v>177492810.90414163</v>
      </c>
      <c r="D57" s="180">
        <f ca="1">IFERROR('Rumus Plafond + Atrib PP3'!R45,"")</f>
        <v>1589882.2767385414</v>
      </c>
      <c r="E57" s="181">
        <f t="shared" ca="1" si="0"/>
        <v>0.99101559083354307</v>
      </c>
      <c r="F57" s="181">
        <f t="shared" ca="1" si="1"/>
        <v>8.9844091664569511E-3</v>
      </c>
      <c r="G57" s="180">
        <f ca="1">IFERROR('Rumus Plafond + Atrib PP3'!R45,"")</f>
        <v>1589882.2767385414</v>
      </c>
      <c r="H57" s="180">
        <f ca="1">IFERROR('Rumus Plafond + Atrib PP3'!Q45,"")</f>
        <v>14413.651039236225</v>
      </c>
      <c r="I57" s="181">
        <f t="shared" ca="1" si="2"/>
        <v>0.50712231686897613</v>
      </c>
      <c r="J57" s="181">
        <f t="shared" ca="1" si="3"/>
        <v>0.49287768313102392</v>
      </c>
      <c r="K57" s="180">
        <f ca="1">IFERROR('Rumus Plafond + Atrib PP3'!S45,"")</f>
        <v>1604295.9277777777</v>
      </c>
    </row>
    <row r="58" spans="1:11" x14ac:dyDescent="0.3">
      <c r="A58" s="175">
        <f>'Rumus Plafond + Atrib PP10 (2)'!O46</f>
        <v>43</v>
      </c>
      <c r="B58" s="179">
        <f ca="1">IF(A58&lt;=Simulasi!$B$11,DATE(YEAR(B57),MONTH(B57)+1,1),"")</f>
        <v>47604</v>
      </c>
      <c r="C58" s="180">
        <f ca="1">IF(A58&lt;=Simulasi!$B$11,'Rumus Plafond + Atrib PP3'!P46,"")</f>
        <v>177478268.15408465</v>
      </c>
      <c r="D58" s="180">
        <f ca="1">IFERROR('Rumus Plafond + Atrib PP3'!R46,"")</f>
        <v>1589753.1777208096</v>
      </c>
      <c r="E58" s="181">
        <f t="shared" ca="1" si="0"/>
        <v>0.99093512000799489</v>
      </c>
      <c r="F58" s="181">
        <f t="shared" ca="1" si="1"/>
        <v>9.0648799920051218E-3</v>
      </c>
      <c r="G58" s="180">
        <f ca="1">IFERROR('Rumus Plafond + Atrib PP3'!R46,"")</f>
        <v>1589753.1777208096</v>
      </c>
      <c r="H58" s="180">
        <f ca="1">IFERROR('Rumus Plafond + Atrib PP3'!Q46,"")</f>
        <v>14542.750056968071</v>
      </c>
      <c r="I58" s="181">
        <f t="shared" ca="1" si="2"/>
        <v>0.50708076615452757</v>
      </c>
      <c r="J58" s="181">
        <f t="shared" ca="1" si="3"/>
        <v>0.49291923384547243</v>
      </c>
      <c r="K58" s="180">
        <f ca="1">IFERROR('Rumus Plafond + Atrib PP3'!S46,"")</f>
        <v>1604295.9277777777</v>
      </c>
    </row>
    <row r="59" spans="1:11" x14ac:dyDescent="0.3">
      <c r="A59" s="175">
        <f>'Rumus Plafond + Atrib PP10 (2)'!O47</f>
        <v>44</v>
      </c>
      <c r="B59" s="179">
        <f ca="1">IF(A59&lt;=Simulasi!$B$11,DATE(YEAR(B58),MONTH(B58)+1,1),"")</f>
        <v>47635</v>
      </c>
      <c r="C59" s="180">
        <f ca="1">IF(A59&lt;=Simulasi!$B$11,'Rumus Plafond + Atrib PP3'!P47,"")</f>
        <v>177463595.14870638</v>
      </c>
      <c r="D59" s="180">
        <f ca="1">IFERROR('Rumus Plafond + Atrib PP3'!R47,"")</f>
        <v>1589622.922399492</v>
      </c>
      <c r="E59" s="181">
        <f t="shared" ca="1" si="0"/>
        <v>0.9908539284278991</v>
      </c>
      <c r="F59" s="181">
        <f t="shared" ca="1" si="1"/>
        <v>9.1460715721009521E-3</v>
      </c>
      <c r="G59" s="180">
        <f ca="1">IFERROR('Rumus Plafond + Atrib PP3'!R47,"")</f>
        <v>1589622.922399492</v>
      </c>
      <c r="H59" s="180">
        <f ca="1">IFERROR('Rumus Plafond + Atrib PP3'!Q47,"")</f>
        <v>14673.005378285656</v>
      </c>
      <c r="I59" s="181">
        <f t="shared" ca="1" si="2"/>
        <v>0.5070388432820182</v>
      </c>
      <c r="J59" s="181">
        <f t="shared" ca="1" si="3"/>
        <v>0.4929611567179818</v>
      </c>
      <c r="K59" s="180">
        <f ca="1">IFERROR('Rumus Plafond + Atrib PP3'!S47,"")</f>
        <v>1604295.9277777777</v>
      </c>
    </row>
    <row r="60" spans="1:11" x14ac:dyDescent="0.3">
      <c r="A60" s="175">
        <f>'Rumus Plafond + Atrib PP10 (2)'!O48</f>
        <v>45</v>
      </c>
      <c r="B60" s="179">
        <f ca="1">IF(A60&lt;=Simulasi!$B$11,DATE(YEAR(B59),MONTH(B59)+1,1),"")</f>
        <v>47665</v>
      </c>
      <c r="C60" s="180">
        <f ca="1">IF(A60&lt;=Simulasi!$B$11,'Rumus Plafond + Atrib PP3'!P48,"")</f>
        <v>177448790.7213465</v>
      </c>
      <c r="D60" s="180">
        <f ca="1">IFERROR('Rumus Plafond + Atrib PP3'!R48,"")</f>
        <v>1589491.5004179031</v>
      </c>
      <c r="E60" s="181">
        <f t="shared" ca="1" si="0"/>
        <v>0.99077200963765999</v>
      </c>
      <c r="F60" s="181">
        <f t="shared" ca="1" si="1"/>
        <v>9.2279903623399707E-3</v>
      </c>
      <c r="G60" s="180">
        <f ca="1">IFERROR('Rumus Plafond + Atrib PP3'!R48,"")</f>
        <v>1589491.5004179031</v>
      </c>
      <c r="H60" s="180">
        <f ca="1">IFERROR('Rumus Plafond + Atrib PP3'!Q48,"")</f>
        <v>14804.427359874593</v>
      </c>
      <c r="I60" s="181">
        <f t="shared" ca="1" si="2"/>
        <v>0.50699654491813284</v>
      </c>
      <c r="J60" s="181">
        <f t="shared" ca="1" si="3"/>
        <v>0.49300345508186716</v>
      </c>
      <c r="K60" s="180">
        <f ca="1">IFERROR('Rumus Plafond + Atrib PP3'!S48,"")</f>
        <v>1604295.9277777777</v>
      </c>
    </row>
    <row r="61" spans="1:11" x14ac:dyDescent="0.3">
      <c r="A61" s="175">
        <f>'Rumus Plafond + Atrib PP10 (2)'!O49</f>
        <v>46</v>
      </c>
      <c r="B61" s="179">
        <f ca="1">IF(A61&lt;=Simulasi!$B$11,DATE(YEAR(B60),MONTH(B60)+1,1),"")</f>
        <v>47696</v>
      </c>
      <c r="C61" s="180">
        <f ca="1">IF(A61&lt;=Simulasi!$B$11,'Rumus Plafond + Atrib PP3'!P49,"")</f>
        <v>177433853.69489533</v>
      </c>
      <c r="D61" s="180">
        <f ca="1">IFERROR('Rumus Plafond + Atrib PP3'!R49,"")</f>
        <v>1589358.9013265942</v>
      </c>
      <c r="E61" s="181">
        <f t="shared" ca="1" si="0"/>
        <v>0.99068935712386064</v>
      </c>
      <c r="F61" s="181">
        <f t="shared" ca="1" si="1"/>
        <v>9.3106428761393183E-3</v>
      </c>
      <c r="G61" s="180">
        <f ca="1">IFERROR('Rumus Plafond + Atrib PP3'!R49,"")</f>
        <v>1589358.9013265942</v>
      </c>
      <c r="H61" s="180">
        <f ca="1">IFERROR('Rumus Plafond + Atrib PP3'!Q49,"")</f>
        <v>14937.026451183483</v>
      </c>
      <c r="I61" s="181">
        <f t="shared" ca="1" si="2"/>
        <v>0.50695386769970097</v>
      </c>
      <c r="J61" s="181">
        <f t="shared" ca="1" si="3"/>
        <v>0.49304613230029909</v>
      </c>
      <c r="K61" s="180">
        <f ca="1">IFERROR('Rumus Plafond + Atrib PP3'!S49,"")</f>
        <v>1604295.9277777777</v>
      </c>
    </row>
    <row r="62" spans="1:11" x14ac:dyDescent="0.3">
      <c r="A62" s="175">
        <f>'Rumus Plafond + Atrib PP10 (2)'!O50</f>
        <v>47</v>
      </c>
      <c r="B62" s="179">
        <f ca="1">IF(A62&lt;=Simulasi!$B$11,DATE(YEAR(B61),MONTH(B61)+1,1),"")</f>
        <v>47727</v>
      </c>
      <c r="C62" s="180">
        <f ca="1">IF(A62&lt;=Simulasi!$B$11,'Rumus Plafond + Atrib PP3'!P50,"")</f>
        <v>177418782.88170007</v>
      </c>
      <c r="D62" s="180">
        <f ca="1">IFERROR('Rumus Plafond + Atrib PP3'!R50,"")</f>
        <v>1589225.1145825258</v>
      </c>
      <c r="E62" s="181">
        <f t="shared" ca="1" si="0"/>
        <v>0.99060596431474612</v>
      </c>
      <c r="F62" s="181">
        <f t="shared" ca="1" si="1"/>
        <v>9.39403568525384E-3</v>
      </c>
      <c r="G62" s="180">
        <f ca="1">IFERROR('Rumus Plafond + Atrib PP3'!R50,"")</f>
        <v>1589225.1145825258</v>
      </c>
      <c r="H62" s="180">
        <f ca="1">IFERROR('Rumus Plafond + Atrib PP3'!Q50,"")</f>
        <v>15070.81319525186</v>
      </c>
      <c r="I62" s="181">
        <f t="shared" ca="1" si="2"/>
        <v>0.50691080823342882</v>
      </c>
      <c r="J62" s="181">
        <f t="shared" ca="1" si="3"/>
        <v>0.49308919176657123</v>
      </c>
      <c r="K62" s="180">
        <f ca="1">IFERROR('Rumus Plafond + Atrib PP3'!S50,"")</f>
        <v>1604295.9277777777</v>
      </c>
    </row>
    <row r="63" spans="1:11" x14ac:dyDescent="0.3">
      <c r="A63" s="175">
        <f>'Rumus Plafond + Atrib PP10 (2)'!O51</f>
        <v>48</v>
      </c>
      <c r="B63" s="179">
        <f ca="1">IF(A63&lt;=Simulasi!$B$11,DATE(YEAR(B62),MONTH(B62)+1,1),"")</f>
        <v>47757</v>
      </c>
      <c r="C63" s="180">
        <f ca="1">IF(A63&lt;=Simulasi!$B$11,'Rumus Plafond + Atrib PP3'!P51,"")</f>
        <v>177403577.08347052</v>
      </c>
      <c r="D63" s="180">
        <f ca="1">IFERROR('Rumus Plafond + Atrib PP3'!R51,"")</f>
        <v>1589090.1295482253</v>
      </c>
      <c r="E63" s="181">
        <f t="shared" ca="1" si="0"/>
        <v>0.99052182457969895</v>
      </c>
      <c r="F63" s="181">
        <f t="shared" ca="1" si="1"/>
        <v>9.4781754203010112E-3</v>
      </c>
      <c r="G63" s="180">
        <f ca="1">IFERROR('Rumus Plafond + Atrib PP3'!R51,"")</f>
        <v>1589090.1295482253</v>
      </c>
      <c r="H63" s="180">
        <f ca="1">IFERROR('Rumus Plafond + Atrib PP3'!Q51,"")</f>
        <v>15205.79822955234</v>
      </c>
      <c r="I63" s="181">
        <f t="shared" ca="1" si="2"/>
        <v>0.50686736309563007</v>
      </c>
      <c r="J63" s="181">
        <f t="shared" ca="1" si="3"/>
        <v>0.49313263690436993</v>
      </c>
      <c r="K63" s="180">
        <f ca="1">IFERROR('Rumus Plafond + Atrib PP3'!S51,"")</f>
        <v>1604295.9277777777</v>
      </c>
    </row>
    <row r="64" spans="1:11" x14ac:dyDescent="0.3">
      <c r="A64" s="175">
        <f>'Rumus Plafond + Atrib PP10 (2)'!O52</f>
        <v>49</v>
      </c>
      <c r="B64" s="179">
        <f ca="1">IF(A64&lt;=Simulasi!$B$11,DATE(YEAR(B63),MONTH(B63)+1,1),"")</f>
        <v>47788</v>
      </c>
      <c r="C64" s="180">
        <f ca="1">IF(A64&lt;=Simulasi!$B$11,'Rumus Plafond + Atrib PP3'!P52,"")</f>
        <v>177388235.09118369</v>
      </c>
      <c r="D64" s="180">
        <f ca="1">IFERROR('Rumus Plafond + Atrib PP3'!R52,"")</f>
        <v>1588953.9354909444</v>
      </c>
      <c r="E64" s="181">
        <f t="shared" ca="1" si="0"/>
        <v>0.99043693122871379</v>
      </c>
      <c r="F64" s="181">
        <f t="shared" ca="1" si="1"/>
        <v>9.5630687712861678E-3</v>
      </c>
      <c r="G64" s="180">
        <f ca="1">IFERROR('Rumus Plafond + Atrib PP3'!R52,"")</f>
        <v>1588953.9354909444</v>
      </c>
      <c r="H64" s="180">
        <f ca="1">IFERROR('Rumus Plafond + Atrib PP3'!Q52,"")</f>
        <v>15341.992286833236</v>
      </c>
      <c r="I64" s="181">
        <f t="shared" ca="1" si="2"/>
        <v>0.50682352883195336</v>
      </c>
      <c r="J64" s="181">
        <f t="shared" ca="1" si="3"/>
        <v>0.49317647116804658</v>
      </c>
      <c r="K64" s="180">
        <f ca="1">IFERROR('Rumus Plafond + Atrib PP3'!S52,"")</f>
        <v>1604295.9277777777</v>
      </c>
    </row>
    <row r="65" spans="1:11" x14ac:dyDescent="0.3">
      <c r="A65" s="175">
        <f>'Rumus Plafond + Atrib PP10 (2)'!O53</f>
        <v>50</v>
      </c>
      <c r="B65" s="179">
        <f ca="1">IF(A65&lt;=Simulasi!$B$11,DATE(YEAR(B64),MONTH(B64)+1,1),"")</f>
        <v>47818</v>
      </c>
      <c r="C65" s="180">
        <f ca="1">IF(A65&lt;=Simulasi!$B$11,'Rumus Plafond + Atrib PP3'!P53,"")</f>
        <v>177372755.68498772</v>
      </c>
      <c r="D65" s="180">
        <f ca="1">IFERROR('Rumus Plafond + Atrib PP3'!R53,"")</f>
        <v>1588816.5215818046</v>
      </c>
      <c r="E65" s="181">
        <f t="shared" ca="1" si="0"/>
        <v>0.99035127751186491</v>
      </c>
      <c r="F65" s="181">
        <f t="shared" ca="1" si="1"/>
        <v>9.6487224881351245E-3</v>
      </c>
      <c r="G65" s="180">
        <f ca="1">IFERROR('Rumus Plafond + Atrib PP3'!R53,"")</f>
        <v>1588816.5215818046</v>
      </c>
      <c r="H65" s="180">
        <f ca="1">IFERROR('Rumus Plafond + Atrib PP3'!Q53,"")</f>
        <v>15479.406195973046</v>
      </c>
      <c r="I65" s="181">
        <f t="shared" ca="1" si="2"/>
        <v>0.50677930195710774</v>
      </c>
      <c r="J65" s="181">
        <f t="shared" ca="1" si="3"/>
        <v>0.4932206980428922</v>
      </c>
      <c r="K65" s="180">
        <f ca="1">IFERROR('Rumus Plafond + Atrib PP3'!S53,"")</f>
        <v>1604295.9277777777</v>
      </c>
    </row>
    <row r="66" spans="1:11" x14ac:dyDescent="0.3">
      <c r="A66" s="175">
        <f>'Rumus Plafond + Atrib PP10 (2)'!O54</f>
        <v>51</v>
      </c>
      <c r="B66" s="179">
        <f ca="1">IF(A66&lt;=Simulasi!$B$11,DATE(YEAR(B65),MONTH(B65)+1,1),"")</f>
        <v>47849</v>
      </c>
      <c r="C66" s="180">
        <f ca="1">IF(A66&lt;=Simulasi!$B$11,'Rumus Plafond + Atrib PP3'!P54,"")</f>
        <v>177357137.63410488</v>
      </c>
      <c r="D66" s="180">
        <f ca="1">IFERROR('Rumus Plafond + Atrib PP3'!R54,"")</f>
        <v>1588677.8768949357</v>
      </c>
      <c r="E66" s="181">
        <f t="shared" ca="1" si="0"/>
        <v>0.99026485661876884</v>
      </c>
      <c r="F66" s="181">
        <f t="shared" ca="1" si="1"/>
        <v>9.7351433812311542E-3</v>
      </c>
      <c r="G66" s="180">
        <f ca="1">IFERROR('Rumus Plafond + Atrib PP3'!R54,"")</f>
        <v>1588677.8768949357</v>
      </c>
      <c r="H66" s="180">
        <f ca="1">IFERROR('Rumus Plafond + Atrib PP3'!Q54,"")</f>
        <v>15618.050882841926</v>
      </c>
      <c r="I66" s="181">
        <f t="shared" ca="1" si="2"/>
        <v>0.50673467895458535</v>
      </c>
      <c r="J66" s="181">
        <f t="shared" ca="1" si="3"/>
        <v>0.49326532104541465</v>
      </c>
      <c r="K66" s="180">
        <f ca="1">IFERROR('Rumus Plafond + Atrib PP3'!S54,"")</f>
        <v>1604295.9277777777</v>
      </c>
    </row>
    <row r="67" spans="1:11" x14ac:dyDescent="0.3">
      <c r="A67" s="175">
        <f>'Rumus Plafond + Atrib PP10 (2)'!O55</f>
        <v>52</v>
      </c>
      <c r="B67" s="179">
        <f ca="1">IF(A67&lt;=Simulasi!$B$11,DATE(YEAR(B66),MONTH(B66)+1,1),"")</f>
        <v>47880</v>
      </c>
      <c r="C67" s="180">
        <f ca="1">IF(A67&lt;=Simulasi!$B$11,'Rumus Plafond + Atrib PP3'!P55,"")</f>
        <v>177341379.69673371</v>
      </c>
      <c r="D67" s="180">
        <f ca="1">IFERROR('Rumus Plafond + Atrib PP3'!R55,"")</f>
        <v>1588537.990406608</v>
      </c>
      <c r="E67" s="181">
        <f t="shared" ca="1" si="0"/>
        <v>0.990177661678044</v>
      </c>
      <c r="F67" s="181">
        <f t="shared" ca="1" si="1"/>
        <v>9.8223383219560381E-3</v>
      </c>
      <c r="G67" s="180">
        <f ca="1">IFERROR('Rumus Plafond + Atrib PP3'!R55,"")</f>
        <v>1588537.990406608</v>
      </c>
      <c r="H67" s="180">
        <f ca="1">IFERROR('Rumus Plafond + Atrib PP3'!Q55,"")</f>
        <v>15757.937371169683</v>
      </c>
      <c r="I67" s="181">
        <f t="shared" ca="1" si="2"/>
        <v>0.50668965627638207</v>
      </c>
      <c r="J67" s="181">
        <f t="shared" ca="1" si="3"/>
        <v>0.49331034372361798</v>
      </c>
      <c r="K67" s="180">
        <f ca="1">IFERROR('Rumus Plafond + Atrib PP3'!S55,"")</f>
        <v>1604295.9277777777</v>
      </c>
    </row>
    <row r="68" spans="1:11" x14ac:dyDescent="0.3">
      <c r="A68" s="175">
        <f>'Rumus Plafond + Atrib PP10 (2)'!O56</f>
        <v>53</v>
      </c>
      <c r="B68" s="179">
        <f ca="1">IF(A68&lt;=Simulasi!$B$11,DATE(YEAR(B67),MONTH(B67)+1,1),"")</f>
        <v>47908</v>
      </c>
      <c r="C68" s="180">
        <f ca="1">IF(A68&lt;=Simulasi!$B$11,'Rumus Plafond + Atrib PP3'!P56,"")</f>
        <v>177325480.61995029</v>
      </c>
      <c r="D68" s="180">
        <f ca="1">IFERROR('Rumus Plafond + Atrib PP3'!R56,"")</f>
        <v>1588396.850994355</v>
      </c>
      <c r="E68" s="181">
        <f t="shared" ca="1" si="0"/>
        <v>0.99008968575676337</v>
      </c>
      <c r="F68" s="181">
        <f t="shared" ca="1" si="1"/>
        <v>9.9103142432366165E-3</v>
      </c>
      <c r="G68" s="180">
        <f ca="1">IFERROR('Rumus Plafond + Atrib PP3'!R56,"")</f>
        <v>1588396.850994355</v>
      </c>
      <c r="H68" s="180">
        <f ca="1">IFERROR('Rumus Plafond + Atrib PP3'!Q56,"")</f>
        <v>15899.076783422614</v>
      </c>
      <c r="I68" s="181">
        <f t="shared" ca="1" si="2"/>
        <v>0.50664423034271511</v>
      </c>
      <c r="J68" s="181">
        <f t="shared" ca="1" si="3"/>
        <v>0.49335576965728489</v>
      </c>
      <c r="K68" s="180">
        <f ca="1">IFERROR('Rumus Plafond + Atrib PP3'!S56,"")</f>
        <v>1604295.9277777777</v>
      </c>
    </row>
    <row r="69" spans="1:11" x14ac:dyDescent="0.3">
      <c r="A69" s="175">
        <f>'Rumus Plafond + Atrib PP10 (2)'!O57</f>
        <v>54</v>
      </c>
      <c r="B69" s="179">
        <f ca="1">IF(A69&lt;=Simulasi!$B$11,DATE(YEAR(B68),MONTH(B68)+1,1),"")</f>
        <v>47939</v>
      </c>
      <c r="C69" s="180">
        <f ca="1">IF(A69&lt;=Simulasi!$B$11,'Rumus Plafond + Atrib PP3'!P57,"")</f>
        <v>177309439.13960859</v>
      </c>
      <c r="D69" s="180">
        <f ca="1">IFERROR('Rumus Plafond + Atrib PP3'!R57,"")</f>
        <v>1588254.4474360896</v>
      </c>
      <c r="E69" s="181">
        <f t="shared" ca="1" si="0"/>
        <v>0.99000092185990385</v>
      </c>
      <c r="F69" s="181">
        <f t="shared" ca="1" si="1"/>
        <v>9.9990781400961393E-3</v>
      </c>
      <c r="G69" s="180">
        <f ca="1">IFERROR('Rumus Plafond + Atrib PP3'!R57,"")</f>
        <v>1588254.4474360896</v>
      </c>
      <c r="H69" s="180">
        <f ca="1">IFERROR('Rumus Plafond + Atrib PP3'!Q57,"")</f>
        <v>16041.480341688031</v>
      </c>
      <c r="I69" s="181">
        <f t="shared" ca="1" si="2"/>
        <v>0.50659839754173885</v>
      </c>
      <c r="J69" s="181">
        <f t="shared" ca="1" si="3"/>
        <v>0.49340160245826115</v>
      </c>
      <c r="K69" s="180">
        <f ca="1">IFERROR('Rumus Plafond + Atrib PP3'!S57,"")</f>
        <v>1604295.9277777777</v>
      </c>
    </row>
    <row r="70" spans="1:11" x14ac:dyDescent="0.3">
      <c r="A70" s="175">
        <f>'Rumus Plafond + Atrib PP10 (2)'!O58</f>
        <v>55</v>
      </c>
      <c r="B70" s="179">
        <f ca="1">IF(A70&lt;=Simulasi!$B$11,DATE(YEAR(B69),MONTH(B69)+1,1),"")</f>
        <v>47969</v>
      </c>
      <c r="C70" s="180">
        <f ca="1">IF(A70&lt;=Simulasi!$B$11,'Rumus Plafond + Atrib PP3'!P58,"")</f>
        <v>177293253.98024002</v>
      </c>
      <c r="D70" s="180">
        <f ca="1">IFERROR('Rumus Plafond + Atrib PP3'!R58,"")</f>
        <v>1588110.7684092114</v>
      </c>
      <c r="E70" s="181">
        <f t="shared" ca="1" si="0"/>
        <v>0.98991136292978976</v>
      </c>
      <c r="F70" s="181">
        <f t="shared" ca="1" si="1"/>
        <v>1.0088637070210252E-2</v>
      </c>
      <c r="G70" s="180">
        <f ca="1">IFERROR('Rumus Plafond + Atrib PP3'!R58,"")</f>
        <v>1588110.7684092114</v>
      </c>
      <c r="H70" s="180">
        <f ca="1">IFERROR('Rumus Plafond + Atrib PP3'!Q58,"")</f>
        <v>16185.159368566237</v>
      </c>
      <c r="I70" s="181">
        <f t="shared" ca="1" si="2"/>
        <v>0.50655215422925715</v>
      </c>
      <c r="J70" s="181">
        <f t="shared" ca="1" si="3"/>
        <v>0.4934478457707428</v>
      </c>
      <c r="K70" s="180">
        <f ca="1">IFERROR('Rumus Plafond + Atrib PP3'!S58,"")</f>
        <v>1604295.9277777777</v>
      </c>
    </row>
    <row r="71" spans="1:11" x14ac:dyDescent="0.3">
      <c r="A71" s="175">
        <f>'Rumus Plafond + Atrib PP10 (2)'!O59</f>
        <v>56</v>
      </c>
      <c r="B71" s="179">
        <f ca="1">IF(A71&lt;=Simulasi!$B$11,DATE(YEAR(B70),MONTH(B70)+1,1),"")</f>
        <v>48000</v>
      </c>
      <c r="C71" s="180">
        <f ca="1">IF(A71&lt;=Simulasi!$B$11,'Rumus Plafond + Atrib PP3'!P59,"")</f>
        <v>177276923.85495195</v>
      </c>
      <c r="D71" s="180">
        <f ca="1">IFERROR('Rumus Plafond + Atrib PP3'!R59,"")</f>
        <v>1587965.8024897072</v>
      </c>
      <c r="E71" s="181">
        <f t="shared" ca="1" si="0"/>
        <v>0.98982100184553212</v>
      </c>
      <c r="F71" s="181">
        <f t="shared" ca="1" si="1"/>
        <v>1.017899815446793E-2</v>
      </c>
      <c r="G71" s="180">
        <f ca="1">IFERROR('Rumus Plafond + Atrib PP3'!R59,"")</f>
        <v>1587965.8024897072</v>
      </c>
      <c r="H71" s="180">
        <f ca="1">IFERROR('Rumus Plafond + Atrib PP3'!Q59,"")</f>
        <v>16330.125288070412</v>
      </c>
      <c r="I71" s="181">
        <f t="shared" ca="1" si="2"/>
        <v>0.50650549672843415</v>
      </c>
      <c r="J71" s="181">
        <f t="shared" ca="1" si="3"/>
        <v>0.49349450327156585</v>
      </c>
      <c r="K71" s="180">
        <f ca="1">IFERROR('Rumus Plafond + Atrib PP3'!S59,"")</f>
        <v>1604295.9277777777</v>
      </c>
    </row>
    <row r="72" spans="1:11" x14ac:dyDescent="0.3">
      <c r="A72" s="175">
        <f>'Rumus Plafond + Atrib PP10 (2)'!O60</f>
        <v>57</v>
      </c>
      <c r="B72" s="179">
        <f ca="1">IF(A72&lt;=Simulasi!$B$11,DATE(YEAR(B71),MONTH(B71)+1,1),"")</f>
        <v>48030</v>
      </c>
      <c r="C72" s="180">
        <f ca="1">IF(A72&lt;=Simulasi!$B$11,'Rumus Plafond + Atrib PP3'!P60,"")</f>
        <v>177260447.46532542</v>
      </c>
      <c r="D72" s="180">
        <f ca="1">IFERROR('Rumus Plafond + Atrib PP3'!R60,"")</f>
        <v>1587819.5381512418</v>
      </c>
      <c r="E72" s="181">
        <f t="shared" ca="1" si="0"/>
        <v>0.98972983142246185</v>
      </c>
      <c r="F72" s="181">
        <f t="shared" ca="1" si="1"/>
        <v>1.0270168577538196E-2</v>
      </c>
      <c r="G72" s="180">
        <f ca="1">IFERROR('Rumus Plafond + Atrib PP3'!R60,"")</f>
        <v>1587819.5381512418</v>
      </c>
      <c r="H72" s="180">
        <f ca="1">IFERROR('Rumus Plafond + Atrib PP3'!Q60,"")</f>
        <v>16476.38962653582</v>
      </c>
      <c r="I72" s="181">
        <f t="shared" ca="1" si="2"/>
        <v>0.50645842132950114</v>
      </c>
      <c r="J72" s="181">
        <f t="shared" ca="1" si="3"/>
        <v>0.4935415786704988</v>
      </c>
      <c r="K72" s="180">
        <f ca="1">IFERROR('Rumus Plafond + Atrib PP3'!S60,"")</f>
        <v>1604295.9277777777</v>
      </c>
    </row>
    <row r="73" spans="1:11" x14ac:dyDescent="0.3">
      <c r="A73" s="175">
        <f>'Rumus Plafond + Atrib PP10 (2)'!O61</f>
        <v>58</v>
      </c>
      <c r="B73" s="179">
        <f ca="1">IF(A73&lt;=Simulasi!$B$11,DATE(YEAR(B72),MONTH(B72)+1,1),"")</f>
        <v>48061</v>
      </c>
      <c r="C73" s="180">
        <f ca="1">IF(A73&lt;=Simulasi!$B$11,'Rumus Plafond + Atrib PP3'!P61,"")</f>
        <v>177243823.50131187</v>
      </c>
      <c r="D73" s="180">
        <f ca="1">IFERROR('Rumus Plafond + Atrib PP3'!R61,"")</f>
        <v>1587671.9637642417</v>
      </c>
      <c r="E73" s="181">
        <f t="shared" ca="1" si="0"/>
        <v>0.98963784441155878</v>
      </c>
      <c r="F73" s="181">
        <f t="shared" ca="1" si="1"/>
        <v>1.0362155588441222E-2</v>
      </c>
      <c r="G73" s="180">
        <f ca="1">IFERROR('Rumus Plafond + Atrib PP3'!R61,"")</f>
        <v>1587671.9637642417</v>
      </c>
      <c r="H73" s="180">
        <f ca="1">IFERROR('Rumus Plafond + Atrib PP3'!Q61,"")</f>
        <v>16623.964013535995</v>
      </c>
      <c r="I73" s="181">
        <f t="shared" ca="1" si="2"/>
        <v>0.50641092428946244</v>
      </c>
      <c r="J73" s="181">
        <f t="shared" ca="1" si="3"/>
        <v>0.49358907571053751</v>
      </c>
      <c r="K73" s="180">
        <f ca="1">IFERROR('Rumus Plafond + Atrib PP3'!S61,"")</f>
        <v>1604295.9277777777</v>
      </c>
    </row>
    <row r="74" spans="1:11" x14ac:dyDescent="0.3">
      <c r="A74" s="175">
        <f>'Rumus Plafond + Atrib PP10 (2)'!O62</f>
        <v>59</v>
      </c>
      <c r="B74" s="179">
        <f ca="1">IF(A74&lt;=Simulasi!$B$11,DATE(YEAR(B73),MONTH(B73)+1,1),"")</f>
        <v>48092</v>
      </c>
      <c r="C74" s="180">
        <f ca="1">IF(A74&lt;=Simulasi!$B$11,'Rumus Plafond + Atrib PP3'!P62,"")</f>
        <v>177227050.64112905</v>
      </c>
      <c r="D74" s="180">
        <f ca="1">IFERROR('Rumus Plafond + Atrib PP3'!R62,"")</f>
        <v>1587523.0675949699</v>
      </c>
      <c r="E74" s="181">
        <f t="shared" ca="1" si="0"/>
        <v>0.98954503349887513</v>
      </c>
      <c r="F74" s="181">
        <f t="shared" ca="1" si="1"/>
        <v>1.0454966501124915E-2</v>
      </c>
      <c r="G74" s="180">
        <f ca="1">IFERROR('Rumus Plafond + Atrib PP3'!R62,"")</f>
        <v>1587523.0675949699</v>
      </c>
      <c r="H74" s="180">
        <f ca="1">IFERROR('Rumus Plafond + Atrib PP3'!Q62,"")</f>
        <v>16772.860182807781</v>
      </c>
      <c r="I74" s="181">
        <f t="shared" ca="1" si="2"/>
        <v>0.50636300183179728</v>
      </c>
      <c r="J74" s="181">
        <f t="shared" ca="1" si="3"/>
        <v>0.49363699816820272</v>
      </c>
      <c r="K74" s="180">
        <f ca="1">IFERROR('Rumus Plafond + Atrib PP3'!S62,"")</f>
        <v>1604295.9277777777</v>
      </c>
    </row>
    <row r="75" spans="1:11" x14ac:dyDescent="0.3">
      <c r="A75" s="175">
        <f>'Rumus Plafond + Atrib PP10 (2)'!O63</f>
        <v>60</v>
      </c>
      <c r="B75" s="179">
        <f ca="1">IF(A75&lt;=Simulasi!$B$11,DATE(YEAR(B74),MONTH(B74)+1,1),"")</f>
        <v>48122</v>
      </c>
      <c r="C75" s="180">
        <f ca="1">IF(A75&lt;=Simulasi!$B$11,'Rumus Plafond + Atrib PP3'!P63,"")</f>
        <v>177210127.55115587</v>
      </c>
      <c r="D75" s="180">
        <f ca="1">IFERROR('Rumus Plafond + Atrib PP3'!R63,"")</f>
        <v>1587372.8378045957</v>
      </c>
      <c r="E75" s="181">
        <f t="shared" ca="1" si="0"/>
        <v>0.98945139130495496</v>
      </c>
      <c r="F75" s="181">
        <f t="shared" ca="1" si="1"/>
        <v>1.0548608695045E-2</v>
      </c>
      <c r="G75" s="180">
        <f ca="1">IFERROR('Rumus Plafond + Atrib PP3'!R63,"")</f>
        <v>1587372.8378045957</v>
      </c>
      <c r="H75" s="180">
        <f ca="1">IFERROR('Rumus Plafond + Atrib PP3'!Q63,"")</f>
        <v>16923.089973181952</v>
      </c>
      <c r="I75" s="181">
        <f t="shared" ca="1" si="2"/>
        <v>0.50631465014615962</v>
      </c>
      <c r="J75" s="181">
        <f t="shared" ca="1" si="3"/>
        <v>0.49368534985384038</v>
      </c>
      <c r="K75" s="180">
        <f ca="1">IFERROR('Rumus Plafond + Atrib PP3'!S63,"")</f>
        <v>1604295.9277777777</v>
      </c>
    </row>
    <row r="76" spans="1:11" x14ac:dyDescent="0.3">
      <c r="A76" s="175">
        <f>'Rumus Plafond + Atrib PP10 (2)'!O64</f>
        <v>61</v>
      </c>
      <c r="B76" s="179">
        <f ca="1">IF(A76&lt;=Simulasi!$B$11,DATE(YEAR(B75),MONTH(B75)+1,1),"")</f>
        <v>48153</v>
      </c>
      <c r="C76" s="180">
        <f ca="1">IF(A76&lt;=Simulasi!$B$11,'Rumus Plafond + Atrib PP3'!P64,"")</f>
        <v>177193052.88582635</v>
      </c>
      <c r="D76" s="180">
        <f ca="1">IFERROR('Rumus Plafond + Atrib PP3'!R64,"")</f>
        <v>1587221.2624482492</v>
      </c>
      <c r="E76" s="181">
        <f t="shared" ca="1" si="0"/>
        <v>0.98935691038424578</v>
      </c>
      <c r="F76" s="181">
        <f t="shared" ca="1" si="1"/>
        <v>1.0643089615754256E-2</v>
      </c>
      <c r="G76" s="180">
        <f ca="1">IFERROR('Rumus Plafond + Atrib PP3'!R64,"")</f>
        <v>1587221.2624482492</v>
      </c>
      <c r="H76" s="180">
        <f ca="1">IFERROR('Rumus Plafond + Atrib PP3'!Q64,"")</f>
        <v>17074.665329528507</v>
      </c>
      <c r="I76" s="181">
        <f t="shared" ca="1" si="2"/>
        <v>0.50626586538807528</v>
      </c>
      <c r="J76" s="181">
        <f t="shared" ca="1" si="3"/>
        <v>0.49373413461192472</v>
      </c>
      <c r="K76" s="180">
        <f ca="1">IFERROR('Rumus Plafond + Atrib PP3'!S64,"")</f>
        <v>1604295.9277777777</v>
      </c>
    </row>
    <row r="77" spans="1:11" x14ac:dyDescent="0.3">
      <c r="A77" s="175">
        <f>'Rumus Plafond + Atrib PP10 (2)'!O65</f>
        <v>62</v>
      </c>
      <c r="B77" s="179">
        <f ca="1">IF(A77&lt;=Simulasi!$B$11,DATE(YEAR(B76),MONTH(B76)+1,1),"")</f>
        <v>48183</v>
      </c>
      <c r="C77" s="180">
        <f ca="1">IF(A77&lt;=Simulasi!$B$11,'Rumus Plafond + Atrib PP3'!P65,"")</f>
        <v>177175825.28752264</v>
      </c>
      <c r="D77" s="180">
        <f ca="1">IFERROR('Rumus Plafond + Atrib PP3'!R65,"")</f>
        <v>1587068.3294740748</v>
      </c>
      <c r="E77" s="181">
        <f t="shared" ca="1" si="0"/>
        <v>0.98926158322450763</v>
      </c>
      <c r="F77" s="181">
        <f t="shared" ca="1" si="1"/>
        <v>1.0738416775492313E-2</v>
      </c>
      <c r="G77" s="180">
        <f ca="1">IFERROR('Rumus Plafond + Atrib PP3'!R65,"")</f>
        <v>1587068.3294740748</v>
      </c>
      <c r="H77" s="180">
        <f ca="1">IFERROR('Rumus Plafond + Atrib PP3'!Q65,"")</f>
        <v>17227.598303702893</v>
      </c>
      <c r="I77" s="181">
        <f t="shared" ca="1" si="2"/>
        <v>0.50621664367863617</v>
      </c>
      <c r="J77" s="181">
        <f t="shared" ca="1" si="3"/>
        <v>0.49378335632136389</v>
      </c>
      <c r="K77" s="180">
        <f ca="1">IFERROR('Rumus Plafond + Atrib PP3'!S65,"")</f>
        <v>1604295.9277777777</v>
      </c>
    </row>
    <row r="78" spans="1:11" x14ac:dyDescent="0.3">
      <c r="A78" s="175">
        <f>'Rumus Plafond + Atrib PP10 (2)'!O66</f>
        <v>63</v>
      </c>
      <c r="B78" s="179">
        <f ca="1">IF(A78&lt;=Simulasi!$B$11,DATE(YEAR(B77),MONTH(B77)+1,1),"")</f>
        <v>48214</v>
      </c>
      <c r="C78" s="180">
        <f ca="1">IF(A78&lt;=Simulasi!$B$11,'Rumus Plafond + Atrib PP3'!P66,"")</f>
        <v>177158443.38646713</v>
      </c>
      <c r="D78" s="180">
        <f ca="1">IFERROR('Rumus Plafond + Atrib PP3'!R66,"")</f>
        <v>1586914.0267222717</v>
      </c>
      <c r="E78" s="181">
        <f t="shared" ca="1" si="0"/>
        <v>0.98916540224621596</v>
      </c>
      <c r="F78" s="181">
        <f t="shared" ca="1" si="1"/>
        <v>1.0834597753784023E-2</v>
      </c>
      <c r="G78" s="180">
        <f ca="1">IFERROR('Rumus Plafond + Atrib PP3'!R66,"")</f>
        <v>1586914.0267222717</v>
      </c>
      <c r="H78" s="180">
        <f ca="1">IFERROR('Rumus Plafond + Atrib PP3'!Q66,"")</f>
        <v>17381.901055505965</v>
      </c>
      <c r="I78" s="181">
        <f t="shared" ca="1" si="2"/>
        <v>0.50616698110419178</v>
      </c>
      <c r="J78" s="181">
        <f t="shared" ca="1" si="3"/>
        <v>0.49383301889580822</v>
      </c>
      <c r="K78" s="180">
        <f ca="1">IFERROR('Rumus Plafond + Atrib PP3'!S66,"")</f>
        <v>1604295.9277777777</v>
      </c>
    </row>
    <row r="79" spans="1:11" x14ac:dyDescent="0.3">
      <c r="A79" s="175">
        <f>'Rumus Plafond + Atrib PP10 (2)'!O67</f>
        <v>64</v>
      </c>
      <c r="B79" s="179">
        <f ca="1">IF(A79&lt;=Simulasi!$B$11,DATE(YEAR(B78),MONTH(B78)+1,1),"")</f>
        <v>48245</v>
      </c>
      <c r="C79" s="180">
        <f ca="1">IF(A79&lt;=Simulasi!$B$11,'Rumus Plafond + Atrib PP3'!P67,"")</f>
        <v>177140905.80061346</v>
      </c>
      <c r="D79" s="180">
        <f ca="1">IFERROR('Rumus Plafond + Atrib PP3'!R67,"")</f>
        <v>1586758.3419241263</v>
      </c>
      <c r="E79" s="181">
        <f t="shared" ca="1" si="0"/>
        <v>0.98906835980195751</v>
      </c>
      <c r="F79" s="181">
        <f t="shared" ca="1" si="1"/>
        <v>1.0931640198042472E-2</v>
      </c>
      <c r="G79" s="180">
        <f ca="1">IFERROR('Rumus Plafond + Atrib PP3'!R67,"")</f>
        <v>1586758.3419241263</v>
      </c>
      <c r="H79" s="180">
        <f ca="1">IFERROR('Rumus Plafond + Atrib PP3'!Q67,"")</f>
        <v>17537.585853651399</v>
      </c>
      <c r="I79" s="181">
        <f t="shared" ca="1" si="2"/>
        <v>0.50611687371603842</v>
      </c>
      <c r="J79" s="181">
        <f t="shared" ca="1" si="3"/>
        <v>0.49388312628396153</v>
      </c>
      <c r="K79" s="180">
        <f ca="1">IFERROR('Rumus Plafond + Atrib PP3'!S67,"")</f>
        <v>1604295.9277777777</v>
      </c>
    </row>
    <row r="80" spans="1:11" x14ac:dyDescent="0.3">
      <c r="A80" s="175">
        <f>'Rumus Plafond + Atrib PP10 (2)'!O68</f>
        <v>65</v>
      </c>
      <c r="B80" s="179">
        <f ca="1">IF(A80&lt;=Simulasi!$B$11,DATE(YEAR(B79),MONTH(B79)+1,1),"")</f>
        <v>48274</v>
      </c>
      <c r="C80" s="180">
        <f ca="1">IF(A80&lt;=Simulasi!$B$11,'Rumus Plafond + Atrib PP3'!P68,"")</f>
        <v>177123211.13553673</v>
      </c>
      <c r="D80" s="180">
        <f ca="1">IFERROR('Rumus Plafond + Atrib PP3'!R68,"")</f>
        <v>1586601.262701039</v>
      </c>
      <c r="E80" s="181">
        <f t="shared" ca="1" si="0"/>
        <v>0.98897044817582447</v>
      </c>
      <c r="F80" s="181">
        <f t="shared" ca="1" si="1"/>
        <v>1.1029551824175485E-2</v>
      </c>
      <c r="G80" s="180">
        <f ca="1">IFERROR('Rumus Plafond + Atrib PP3'!R68,"")</f>
        <v>1586601.262701039</v>
      </c>
      <c r="H80" s="180">
        <f ca="1">IFERROR('Rumus Plafond + Atrib PP3'!Q68,"")</f>
        <v>17694.665076738689</v>
      </c>
      <c r="I80" s="181">
        <f t="shared" ca="1" si="2"/>
        <v>0.50606631753010489</v>
      </c>
      <c r="J80" s="181">
        <f t="shared" ca="1" si="3"/>
        <v>0.49393368246989505</v>
      </c>
      <c r="K80" s="180">
        <f ca="1">IFERROR('Rumus Plafond + Atrib PP3'!S68,"")</f>
        <v>1604295.9277777777</v>
      </c>
    </row>
    <row r="81" spans="1:11" x14ac:dyDescent="0.3">
      <c r="A81" s="175">
        <f>'Rumus Plafond + Atrib PP10 (2)'!O69</f>
        <v>66</v>
      </c>
      <c r="B81" s="179">
        <f ca="1">IF(A81&lt;=Simulasi!$B$11,DATE(YEAR(B80),MONTH(B80)+1,1),"")</f>
        <v>48305</v>
      </c>
      <c r="C81" s="180">
        <f ca="1">IF(A81&lt;=Simulasi!$B$11,'Rumus Plafond + Atrib PP3'!P69,"")</f>
        <v>177105357.98432249</v>
      </c>
      <c r="D81" s="180">
        <f ca="1">IFERROR('Rumus Plafond + Atrib PP3'!R69,"")</f>
        <v>1586442.7765635375</v>
      </c>
      <c r="E81" s="181">
        <f t="shared" ref="E81:E144" ca="1" si="4">IFERROR(G81/K81,"")</f>
        <v>0.98887165958279921</v>
      </c>
      <c r="F81" s="181">
        <f t="shared" ref="F81:F144" ca="1" si="5">IFERROR(H81/K81,"")</f>
        <v>1.1128340417200813E-2</v>
      </c>
      <c r="G81" s="180">
        <f ca="1">IFERROR('Rumus Plafond + Atrib PP3'!R69,"")</f>
        <v>1586442.7765635375</v>
      </c>
      <c r="H81" s="180">
        <f ca="1">IFERROR('Rumus Plafond + Atrib PP3'!Q69,"")</f>
        <v>17853.151214240119</v>
      </c>
      <c r="I81" s="181">
        <f t="shared" ref="I81:I144" ca="1" si="6">IFERROR(C81/$D$7,"")</f>
        <v>0.50601530852663568</v>
      </c>
      <c r="J81" s="181">
        <f t="shared" ref="J81:J144" ca="1" si="7">IFERROR(($D$7-C81)/$D$7,"")</f>
        <v>0.49398469147336432</v>
      </c>
      <c r="K81" s="180">
        <f ca="1">IFERROR('Rumus Plafond + Atrib PP3'!S69,"")</f>
        <v>1604295.9277777777</v>
      </c>
    </row>
    <row r="82" spans="1:11" x14ac:dyDescent="0.3">
      <c r="A82" s="175">
        <f>'Rumus Plafond + Atrib PP10 (2)'!O70</f>
        <v>67</v>
      </c>
      <c r="B82" s="179">
        <f ca="1">IF(A82&lt;=Simulasi!$B$11,DATE(YEAR(B81),MONTH(B81)+1,1),"")</f>
        <v>48335</v>
      </c>
      <c r="C82" s="180">
        <f ca="1">IF(A82&lt;=Simulasi!$B$11,'Rumus Plafond + Atrib PP3'!P70,"")</f>
        <v>177087344.92745501</v>
      </c>
      <c r="D82" s="180">
        <f ca="1">IFERROR('Rumus Plafond + Atrib PP3'!R70,"")</f>
        <v>1586282.8709102857</v>
      </c>
      <c r="E82" s="181">
        <f t="shared" ca="1" si="4"/>
        <v>0.988771986168136</v>
      </c>
      <c r="F82" s="181">
        <f t="shared" ca="1" si="5"/>
        <v>1.1228013831863965E-2</v>
      </c>
      <c r="G82" s="180">
        <f ca="1">IFERROR('Rumus Plafond + Atrib PP3'!R70,"")</f>
        <v>1586282.8709102857</v>
      </c>
      <c r="H82" s="180">
        <f ca="1">IFERROR('Rumus Plafond + Atrib PP3'!Q70,"")</f>
        <v>18013.05686749192</v>
      </c>
      <c r="I82" s="181">
        <f t="shared" ca="1" si="6"/>
        <v>0.50596384264987149</v>
      </c>
      <c r="J82" s="181">
        <f t="shared" ca="1" si="7"/>
        <v>0.49403615735012857</v>
      </c>
      <c r="K82" s="180">
        <f ca="1">IFERROR('Rumus Plafond + Atrib PP3'!S70,"")</f>
        <v>1604295.9277777777</v>
      </c>
    </row>
    <row r="83" spans="1:11" x14ac:dyDescent="0.3">
      <c r="A83" s="175">
        <f>'Rumus Plafond + Atrib PP10 (2)'!O71</f>
        <v>68</v>
      </c>
      <c r="B83" s="179">
        <f ca="1">IF(A83&lt;=Simulasi!$B$11,DATE(YEAR(B82),MONTH(B82)+1,1),"")</f>
        <v>48366</v>
      </c>
      <c r="C83" s="180">
        <f ca="1">IF(A83&lt;=Simulasi!$B$11,'Rumus Plafond + Atrib PP3'!P71,"")</f>
        <v>177069170.53270432</v>
      </c>
      <c r="D83" s="180">
        <f ca="1">IFERROR('Rumus Plafond + Atrib PP3'!R71,"")</f>
        <v>1586121.5330270797</v>
      </c>
      <c r="E83" s="181">
        <f t="shared" ca="1" si="4"/>
        <v>0.98867142000673613</v>
      </c>
      <c r="F83" s="181">
        <f t="shared" ca="1" si="5"/>
        <v>1.1328579993263853E-2</v>
      </c>
      <c r="G83" s="180">
        <f ca="1">IFERROR('Rumus Plafond + Atrib PP3'!R71,"")</f>
        <v>1586121.5330270797</v>
      </c>
      <c r="H83" s="180">
        <f ca="1">IFERROR('Rumus Plafond + Atrib PP3'!Q71,"")</f>
        <v>18174.394750698004</v>
      </c>
      <c r="I83" s="181">
        <f t="shared" ca="1" si="6"/>
        <v>0.50591191580772665</v>
      </c>
      <c r="J83" s="181">
        <f t="shared" ca="1" si="7"/>
        <v>0.49408808419227335</v>
      </c>
      <c r="K83" s="180">
        <f ca="1">IFERROR('Rumus Plafond + Atrib PP3'!S71,"")</f>
        <v>1604295.9277777777</v>
      </c>
    </row>
    <row r="84" spans="1:11" x14ac:dyDescent="0.3">
      <c r="A84" s="175">
        <f>'Rumus Plafond + Atrib PP10 (2)'!O72</f>
        <v>69</v>
      </c>
      <c r="B84" s="179">
        <f ca="1">IF(A84&lt;=Simulasi!$B$11,DATE(YEAR(B83),MONTH(B83)+1,1),"")</f>
        <v>48396</v>
      </c>
      <c r="C84" s="180">
        <f ca="1">IF(A84&lt;=Simulasi!$B$11,'Rumus Plafond + Atrib PP3'!P72,"")</f>
        <v>177050833.35501239</v>
      </c>
      <c r="D84" s="180">
        <f ca="1">IFERROR('Rumus Plafond + Atrib PP3'!R72,"")</f>
        <v>1585958.7500858391</v>
      </c>
      <c r="E84" s="181">
        <f t="shared" ca="1" si="4"/>
        <v>0.98856995310251849</v>
      </c>
      <c r="F84" s="181">
        <f t="shared" ca="1" si="5"/>
        <v>1.1430046897481498E-2</v>
      </c>
      <c r="G84" s="180">
        <f ca="1">IFERROR('Rumus Plafond + Atrib PP3'!R72,"")</f>
        <v>1585958.7500858391</v>
      </c>
      <c r="H84" s="180">
        <f ca="1">IFERROR('Rumus Plafond + Atrib PP3'!Q72,"")</f>
        <v>18337.177691938588</v>
      </c>
      <c r="I84" s="181">
        <f t="shared" ca="1" si="6"/>
        <v>0.50585952387146393</v>
      </c>
      <c r="J84" s="181">
        <f t="shared" ca="1" si="7"/>
        <v>0.49414047612853601</v>
      </c>
      <c r="K84" s="180">
        <f ca="1">IFERROR('Rumus Plafond + Atrib PP3'!S72,"")</f>
        <v>1604295.9277777777</v>
      </c>
    </row>
    <row r="85" spans="1:11" x14ac:dyDescent="0.3">
      <c r="A85" s="175">
        <f>'Rumus Plafond + Atrib PP10 (2)'!O73</f>
        <v>70</v>
      </c>
      <c r="B85" s="179">
        <f ca="1">IF(A85&lt;=Simulasi!$B$11,DATE(YEAR(B84),MONTH(B84)+1,1),"")</f>
        <v>48427</v>
      </c>
      <c r="C85" s="180">
        <f ca="1">IF(A85&lt;=Simulasi!$B$11,'Rumus Plafond + Atrib PP3'!P73,"")</f>
        <v>177032331.93637818</v>
      </c>
      <c r="D85" s="180">
        <f ca="1">IFERROR('Rumus Plafond + Atrib PP3'!R73,"")</f>
        <v>1585794.5091435851</v>
      </c>
      <c r="E85" s="181">
        <f t="shared" ca="1" si="4"/>
        <v>0.98846757738778268</v>
      </c>
      <c r="F85" s="181">
        <f t="shared" ca="1" si="5"/>
        <v>1.1532422612217286E-2</v>
      </c>
      <c r="G85" s="180">
        <f ca="1">IFERROR('Rumus Plafond + Atrib PP3'!R73,"")</f>
        <v>1585794.5091435851</v>
      </c>
      <c r="H85" s="180">
        <f ca="1">IFERROR('Rumus Plafond + Atrib PP3'!Q73,"")</f>
        <v>18501.418634192552</v>
      </c>
      <c r="I85" s="181">
        <f t="shared" ca="1" si="6"/>
        <v>0.50580666267536623</v>
      </c>
      <c r="J85" s="181">
        <f t="shared" ca="1" si="7"/>
        <v>0.49419333732463377</v>
      </c>
      <c r="K85" s="180">
        <f ca="1">IFERROR('Rumus Plafond + Atrib PP3'!S73,"")</f>
        <v>1604295.9277777777</v>
      </c>
    </row>
    <row r="86" spans="1:11" x14ac:dyDescent="0.3">
      <c r="A86" s="175">
        <f>'Rumus Plafond + Atrib PP10 (2)'!O74</f>
        <v>71</v>
      </c>
      <c r="B86" s="179">
        <f ca="1">IF(A86&lt;=Simulasi!$B$11,DATE(YEAR(B85),MONTH(B85)+1,1),"")</f>
        <v>48458</v>
      </c>
      <c r="C86" s="180">
        <f ca="1">IF(A86&lt;=Simulasi!$B$11,'Rumus Plafond + Atrib PP3'!P74,"")</f>
        <v>177013664.80574182</v>
      </c>
      <c r="D86" s="180">
        <f ca="1">IFERROR('Rumus Plafond + Atrib PP3'!R74,"")</f>
        <v>1585628.7971414132</v>
      </c>
      <c r="E86" s="181">
        <f t="shared" ca="1" si="4"/>
        <v>0.98836428472256888</v>
      </c>
      <c r="F86" s="181">
        <f t="shared" ca="1" si="5"/>
        <v>1.1635715277431142E-2</v>
      </c>
      <c r="G86" s="180">
        <f ca="1">IFERROR('Rumus Plafond + Atrib PP3'!R74,"")</f>
        <v>1585628.7971414132</v>
      </c>
      <c r="H86" s="180">
        <f ca="1">IFERROR('Rumus Plafond + Atrib PP3'!Q74,"")</f>
        <v>18667.130636364454</v>
      </c>
      <c r="I86" s="181">
        <f t="shared" ca="1" si="6"/>
        <v>0.50575332801640516</v>
      </c>
      <c r="J86" s="181">
        <f t="shared" ca="1" si="7"/>
        <v>0.49424667198359479</v>
      </c>
      <c r="K86" s="180">
        <f ca="1">IFERROR('Rumus Plafond + Atrib PP3'!S74,"")</f>
        <v>1604295.9277777777</v>
      </c>
    </row>
    <row r="87" spans="1:11" x14ac:dyDescent="0.3">
      <c r="A87" s="175">
        <f>'Rumus Plafond + Atrib PP10 (2)'!O75</f>
        <v>72</v>
      </c>
      <c r="B87" s="179">
        <f ca="1">IF(A87&lt;=Simulasi!$B$11,DATE(YEAR(B86),MONTH(B86)+1,1),"")</f>
        <v>48488</v>
      </c>
      <c r="C87" s="180">
        <f ca="1">IF(A87&lt;=Simulasi!$B$11,'Rumus Plafond + Atrib PP3'!P75,"")</f>
        <v>176994830.4788675</v>
      </c>
      <c r="D87" s="180">
        <f ca="1">IFERROR('Rumus Plafond + Atrib PP3'!R75,"")</f>
        <v>1585461.6009034533</v>
      </c>
      <c r="E87" s="181">
        <f t="shared" ca="1" si="4"/>
        <v>0.98826006689400936</v>
      </c>
      <c r="F87" s="181">
        <f t="shared" ca="1" si="5"/>
        <v>1.1739933105990672E-2</v>
      </c>
      <c r="G87" s="180">
        <f ca="1">IFERROR('Rumus Plafond + Atrib PP3'!R75,"")</f>
        <v>1585461.6009034533</v>
      </c>
      <c r="H87" s="180">
        <f ca="1">IFERROR('Rumus Plafond + Atrib PP3'!Q75,"")</f>
        <v>18834.326874324353</v>
      </c>
      <c r="I87" s="181">
        <f t="shared" ca="1" si="6"/>
        <v>0.50569951565390714</v>
      </c>
      <c r="J87" s="181">
        <f t="shared" ca="1" si="7"/>
        <v>0.49430048434609286</v>
      </c>
      <c r="K87" s="180">
        <f ca="1">IFERROR('Rumus Plafond + Atrib PP3'!S75,"")</f>
        <v>1604295.9277777777</v>
      </c>
    </row>
    <row r="88" spans="1:11" x14ac:dyDescent="0.3">
      <c r="A88" s="175">
        <f>'Rumus Plafond + Atrib PP10 (2)'!O76</f>
        <v>73</v>
      </c>
      <c r="B88" s="179">
        <f ca="1">IF(A88&lt;=Simulasi!$B$11,DATE(YEAR(B87),MONTH(B87)+1,1),"")</f>
        <v>48519</v>
      </c>
      <c r="C88" s="180">
        <f ca="1">IF(A88&lt;=Simulasi!$B$11,'Rumus Plafond + Atrib PP3'!P76,"")</f>
        <v>176975827.45822555</v>
      </c>
      <c r="D88" s="180">
        <f ca="1">IFERROR('Rumus Plafond + Atrib PP3'!R76,"")</f>
        <v>1585292.907135823</v>
      </c>
      <c r="E88" s="181">
        <f t="shared" ca="1" si="4"/>
        <v>0.98815491561567637</v>
      </c>
      <c r="F88" s="181">
        <f t="shared" ca="1" si="5"/>
        <v>1.1845084384323674E-2</v>
      </c>
      <c r="G88" s="180">
        <f ca="1">IFERROR('Rumus Plafond + Atrib PP3'!R76,"")</f>
        <v>1585292.907135823</v>
      </c>
      <c r="H88" s="180">
        <f ca="1">IFERROR('Rumus Plafond + Atrib PP3'!Q76,"")</f>
        <v>19003.020641954616</v>
      </c>
      <c r="I88" s="181">
        <f t="shared" ca="1" si="6"/>
        <v>0.50564522130921585</v>
      </c>
      <c r="J88" s="181">
        <f t="shared" ca="1" si="7"/>
        <v>0.49435477869078415</v>
      </c>
      <c r="K88" s="180">
        <f ca="1">IFERROR('Rumus Plafond + Atrib PP3'!S76,"")</f>
        <v>1604295.9277777777</v>
      </c>
    </row>
    <row r="89" spans="1:11" x14ac:dyDescent="0.3">
      <c r="A89" s="175">
        <f>'Rumus Plafond + Atrib PP10 (2)'!O77</f>
        <v>74</v>
      </c>
      <c r="B89" s="179">
        <f ca="1">IF(A89&lt;=Simulasi!$B$11,DATE(YEAR(B88),MONTH(B88)+1,1),"")</f>
        <v>48549</v>
      </c>
      <c r="C89" s="180">
        <f ca="1">IF(A89&lt;=Simulasi!$B$11,'Rumus Plafond + Atrib PP3'!P77,"")</f>
        <v>176956654.23287335</v>
      </c>
      <c r="D89" s="180">
        <f ca="1">IFERROR('Rumus Plafond + Atrib PP3'!R77,"")</f>
        <v>1585122.7024255705</v>
      </c>
      <c r="E89" s="181">
        <f t="shared" ca="1" si="4"/>
        <v>0.98804882252692283</v>
      </c>
      <c r="F89" s="181">
        <f t="shared" ca="1" si="5"/>
        <v>1.1951177473077159E-2</v>
      </c>
      <c r="G89" s="180">
        <f ca="1">IFERROR('Rumus Plafond + Atrib PP3'!R77,"")</f>
        <v>1585122.7024255705</v>
      </c>
      <c r="H89" s="180">
        <f ca="1">IFERROR('Rumus Plafond + Atrib PP3'!Q77,"")</f>
        <v>19173.225352207199</v>
      </c>
      <c r="I89" s="181">
        <f t="shared" ca="1" si="6"/>
        <v>0.50559044066535241</v>
      </c>
      <c r="J89" s="181">
        <f t="shared" ca="1" si="7"/>
        <v>0.49440955933464759</v>
      </c>
      <c r="K89" s="180">
        <f ca="1">IFERROR('Rumus Plafond + Atrib PP3'!S77,"")</f>
        <v>1604295.9277777777</v>
      </c>
    </row>
    <row r="90" spans="1:11" x14ac:dyDescent="0.3">
      <c r="A90" s="175">
        <f>'Rumus Plafond + Atrib PP10 (2)'!O78</f>
        <v>75</v>
      </c>
      <c r="B90" s="179">
        <f ca="1">IF(A90&lt;=Simulasi!$B$11,DATE(YEAR(B89),MONTH(B89)+1,1),"")</f>
        <v>48580</v>
      </c>
      <c r="C90" s="180">
        <f ca="1">IF(A90&lt;=Simulasi!$B$11,'Rumus Plafond + Atrib PP3'!P78,"")</f>
        <v>176937309.27833518</v>
      </c>
      <c r="D90" s="180">
        <f ca="1">IFERROR('Rumus Plafond + Atrib PP3'!R78,"")</f>
        <v>1584950.9732396079</v>
      </c>
      <c r="E90" s="181">
        <f t="shared" ca="1" si="4"/>
        <v>0.98794177919221804</v>
      </c>
      <c r="F90" s="181">
        <f t="shared" ca="1" si="5"/>
        <v>1.2058220807781911E-2</v>
      </c>
      <c r="G90" s="180">
        <f ca="1">IFERROR('Rumus Plafond + Atrib PP3'!R78,"")</f>
        <v>1584950.9732396079</v>
      </c>
      <c r="H90" s="180">
        <f ca="1">IFERROR('Rumus Plafond + Atrib PP3'!Q78,"")</f>
        <v>19344.954538169783</v>
      </c>
      <c r="I90" s="181">
        <f t="shared" ca="1" si="6"/>
        <v>0.50553516936667198</v>
      </c>
      <c r="J90" s="181">
        <f t="shared" ca="1" si="7"/>
        <v>0.49446483063332802</v>
      </c>
      <c r="K90" s="180">
        <f ca="1">IFERROR('Rumus Plafond + Atrib PP3'!S78,"")</f>
        <v>1604295.9277777777</v>
      </c>
    </row>
    <row r="91" spans="1:11" x14ac:dyDescent="0.3">
      <c r="A91" s="175">
        <f>'Rumus Plafond + Atrib PP10 (2)'!O79</f>
        <v>76</v>
      </c>
      <c r="B91" s="179">
        <f ca="1">IF(A91&lt;=Simulasi!$B$11,DATE(YEAR(B90),MONTH(B90)+1,1),"")</f>
        <v>48611</v>
      </c>
      <c r="C91" s="180">
        <f ca="1">IF(A91&lt;=Simulasi!$B$11,'Rumus Plafond + Atrib PP3'!P79,"")</f>
        <v>176917791.05648103</v>
      </c>
      <c r="D91" s="180">
        <f ca="1">IFERROR('Rumus Plafond + Atrib PP3'!R79,"")</f>
        <v>1584777.7059236346</v>
      </c>
      <c r="E91" s="181">
        <f t="shared" ca="1" si="4"/>
        <v>0.98783377710047604</v>
      </c>
      <c r="F91" s="181">
        <f t="shared" ca="1" si="5"/>
        <v>1.2166222899523986E-2</v>
      </c>
      <c r="G91" s="180">
        <f ca="1">IFERROR('Rumus Plafond + Atrib PP3'!R79,"")</f>
        <v>1584777.7059236346</v>
      </c>
      <c r="H91" s="180">
        <f ca="1">IFERROR('Rumus Plafond + Atrib PP3'!Q79,"")</f>
        <v>19518.221854143078</v>
      </c>
      <c r="I91" s="181">
        <f t="shared" ca="1" si="6"/>
        <v>0.50547940301851724</v>
      </c>
      <c r="J91" s="181">
        <f t="shared" ca="1" si="7"/>
        <v>0.49452059698148276</v>
      </c>
      <c r="K91" s="180">
        <f ca="1">IFERROR('Rumus Plafond + Atrib PP3'!S79,"")</f>
        <v>1604295.9277777777</v>
      </c>
    </row>
    <row r="92" spans="1:11" x14ac:dyDescent="0.3">
      <c r="A92" s="175">
        <f>'Rumus Plafond + Atrib PP10 (2)'!O80</f>
        <v>77</v>
      </c>
      <c r="B92" s="179">
        <f ca="1">IF(A92&lt;=Simulasi!$B$11,DATE(YEAR(B91),MONTH(B91)+1,1),"")</f>
        <v>48639</v>
      </c>
      <c r="C92" s="180">
        <f ca="1">IF(A92&lt;=Simulasi!$B$11,'Rumus Plafond + Atrib PP3'!P80,"")</f>
        <v>176898098.01540431</v>
      </c>
      <c r="D92" s="180">
        <f ca="1">IFERROR('Rumus Plafond + Atrib PP3'!R80,"")</f>
        <v>1584602.886701053</v>
      </c>
      <c r="E92" s="181">
        <f t="shared" ca="1" si="4"/>
        <v>0.98772480766437964</v>
      </c>
      <c r="F92" s="181">
        <f t="shared" ca="1" si="5"/>
        <v>1.227519233562031E-2</v>
      </c>
      <c r="G92" s="180">
        <f ca="1">IFERROR('Rumus Plafond + Atrib PP3'!R80,"")</f>
        <v>1584602.886701053</v>
      </c>
      <c r="H92" s="180">
        <f ca="1">IFERROR('Rumus Plafond + Atrib PP3'!Q80,"")</f>
        <v>19693.04107672465</v>
      </c>
      <c r="I92" s="181">
        <f t="shared" ca="1" si="6"/>
        <v>0.50542313718686949</v>
      </c>
      <c r="J92" s="181">
        <f t="shared" ca="1" si="7"/>
        <v>0.49457686281313051</v>
      </c>
      <c r="K92" s="180">
        <f ca="1">IFERROR('Rumus Plafond + Atrib PP3'!S80,"")</f>
        <v>1604295.9277777777</v>
      </c>
    </row>
    <row r="93" spans="1:11" x14ac:dyDescent="0.3">
      <c r="A93" s="175">
        <f>'Rumus Plafond + Atrib PP10 (2)'!O81</f>
        <v>78</v>
      </c>
      <c r="B93" s="179">
        <f ca="1">IF(A93&lt;=Simulasi!$B$11,DATE(YEAR(B92),MONTH(B92)+1,1),"")</f>
        <v>48670</v>
      </c>
      <c r="C93" s="180">
        <f ca="1">IF(A93&lt;=Simulasi!$B$11,'Rumus Plafond + Atrib PP3'!P81,"")</f>
        <v>176878228.5892984</v>
      </c>
      <c r="D93" s="180">
        <f ca="1">IFERROR('Rumus Plafond + Atrib PP3'!R81,"")</f>
        <v>1584426.5016718721</v>
      </c>
      <c r="E93" s="181">
        <f t="shared" ca="1" si="4"/>
        <v>0.98761486221969774</v>
      </c>
      <c r="F93" s="181">
        <f t="shared" ca="1" si="5"/>
        <v>1.2385137780302221E-2</v>
      </c>
      <c r="G93" s="180">
        <f ca="1">IFERROR('Rumus Plafond + Atrib PP3'!R81,"")</f>
        <v>1584426.5016718721</v>
      </c>
      <c r="H93" s="180">
        <f ca="1">IFERROR('Rumus Plafond + Atrib PP3'!Q81,"")</f>
        <v>19869.426105905557</v>
      </c>
      <c r="I93" s="181">
        <f t="shared" ca="1" si="6"/>
        <v>0.50536636739799545</v>
      </c>
      <c r="J93" s="181">
        <f t="shared" ca="1" si="7"/>
        <v>0.4946336326020046</v>
      </c>
      <c r="K93" s="180">
        <f ca="1">IFERROR('Rumus Plafond + Atrib PP3'!S81,"")</f>
        <v>1604295.9277777777</v>
      </c>
    </row>
    <row r="94" spans="1:11" x14ac:dyDescent="0.3">
      <c r="A94" s="175">
        <f>'Rumus Plafond + Atrib PP10 (2)'!O82</f>
        <v>79</v>
      </c>
      <c r="B94" s="179">
        <f ca="1">IF(A94&lt;=Simulasi!$B$11,DATE(YEAR(B93),MONTH(B93)+1,1),"")</f>
        <v>48700</v>
      </c>
      <c r="C94" s="180">
        <f ca="1">IF(A94&lt;=Simulasi!$B$11,'Rumus Plafond + Atrib PP3'!P82,"")</f>
        <v>176858181.19833222</v>
      </c>
      <c r="D94" s="180">
        <f ca="1">IFERROR('Rumus Plafond + Atrib PP3'!R82,"")</f>
        <v>1584248.536811603</v>
      </c>
      <c r="E94" s="181">
        <f t="shared" ca="1" si="4"/>
        <v>0.98750393202459619</v>
      </c>
      <c r="F94" s="181">
        <f t="shared" ca="1" si="5"/>
        <v>1.2496067975403827E-2</v>
      </c>
      <c r="G94" s="180">
        <f ca="1">IFERROR('Rumus Plafond + Atrib PP3'!R82,"")</f>
        <v>1584248.536811603</v>
      </c>
      <c r="H94" s="180">
        <f ca="1">IFERROR('Rumus Plafond + Atrib PP3'!Q82,"")</f>
        <v>20047.390966174658</v>
      </c>
      <c r="I94" s="181">
        <f t="shared" ca="1" si="6"/>
        <v>0.50530908913809203</v>
      </c>
      <c r="J94" s="181">
        <f t="shared" ca="1" si="7"/>
        <v>0.49469091086190792</v>
      </c>
      <c r="K94" s="180">
        <f ca="1">IFERROR('Rumus Plafond + Atrib PP3'!S82,"")</f>
        <v>1604295.9277777777</v>
      </c>
    </row>
    <row r="95" spans="1:11" x14ac:dyDescent="0.3">
      <c r="A95" s="175">
        <f>'Rumus Plafond + Atrib PP10 (2)'!O83</f>
        <v>80</v>
      </c>
      <c r="B95" s="179">
        <f ca="1">IF(A95&lt;=Simulasi!$B$11,DATE(YEAR(B94),MONTH(B94)+1,1),"")</f>
        <v>48731</v>
      </c>
      <c r="C95" s="180">
        <f ca="1">IF(A95&lt;=Simulasi!$B$11,'Rumus Plafond + Atrib PP3'!P83,"")</f>
        <v>176837954.24852458</v>
      </c>
      <c r="D95" s="180">
        <f ca="1">IFERROR('Rumus Plafond + Atrib PP3'!R83,"")</f>
        <v>1584068.9779701426</v>
      </c>
      <c r="E95" s="181">
        <f t="shared" ca="1" si="4"/>
        <v>0.98739200825894213</v>
      </c>
      <c r="F95" s="181">
        <f t="shared" ca="1" si="5"/>
        <v>1.26079917410579E-2</v>
      </c>
      <c r="G95" s="180">
        <f ca="1">IFERROR('Rumus Plafond + Atrib PP3'!R83,"")</f>
        <v>1584068.9779701426</v>
      </c>
      <c r="H95" s="180">
        <f ca="1">IFERROR('Rumus Plafond + Atrib PP3'!Q83,"")</f>
        <v>20226.949807635043</v>
      </c>
      <c r="I95" s="181">
        <f t="shared" ca="1" si="6"/>
        <v>0.50525129785292733</v>
      </c>
      <c r="J95" s="181">
        <f t="shared" ca="1" si="7"/>
        <v>0.49474870214707262</v>
      </c>
      <c r="K95" s="180">
        <f ca="1">IFERROR('Rumus Plafond + Atrib PP3'!S83,"")</f>
        <v>1604295.9277777777</v>
      </c>
    </row>
    <row r="96" spans="1:11" x14ac:dyDescent="0.3">
      <c r="A96" s="175">
        <f>'Rumus Plafond + Atrib PP10 (2)'!O84</f>
        <v>81</v>
      </c>
      <c r="B96" s="179">
        <f ca="1">IF(A96&lt;=Simulasi!$B$11,DATE(YEAR(B95),MONTH(B95)+1,1),"")</f>
        <v>48761</v>
      </c>
      <c r="C96" s="180">
        <f ca="1">IF(A96&lt;=Simulasi!$B$11,'Rumus Plafond + Atrib PP3'!P84,"")</f>
        <v>176817546.13161746</v>
      </c>
      <c r="D96" s="180">
        <f ca="1">IFERROR('Rumus Plafond + Atrib PP3'!R84,"")</f>
        <v>1583887.81087065</v>
      </c>
      <c r="E96" s="181">
        <f t="shared" ca="1" si="4"/>
        <v>0.9872790820236037</v>
      </c>
      <c r="F96" s="181">
        <f t="shared" ca="1" si="5"/>
        <v>1.2720917976396273E-2</v>
      </c>
      <c r="G96" s="180">
        <f ca="1">IFERROR('Rumus Plafond + Atrib PP3'!R84,"")</f>
        <v>1583887.81087065</v>
      </c>
      <c r="H96" s="180">
        <f ca="1">IFERROR('Rumus Plafond + Atrib PP3'!Q84,"")</f>
        <v>20408.116907127667</v>
      </c>
      <c r="I96" s="181">
        <f t="shared" ca="1" si="6"/>
        <v>0.50519298894747844</v>
      </c>
      <c r="J96" s="181">
        <f t="shared" ca="1" si="7"/>
        <v>0.49480701105252156</v>
      </c>
      <c r="K96" s="180">
        <f ca="1">IFERROR('Rumus Plafond + Atrib PP3'!S84,"")</f>
        <v>1604295.9277777777</v>
      </c>
    </row>
    <row r="97" spans="1:11" x14ac:dyDescent="0.3">
      <c r="A97" s="175">
        <f>'Rumus Plafond + Atrib PP10 (2)'!O85</f>
        <v>82</v>
      </c>
      <c r="B97" s="179">
        <f ca="1">IF(A97&lt;=Simulasi!$B$11,DATE(YEAR(B96),MONTH(B96)+1,1),"")</f>
        <v>48792</v>
      </c>
      <c r="C97" s="180">
        <f ca="1">IF(A97&lt;=Simulasi!$B$11,'Rumus Plafond + Atrib PP3'!P85,"")</f>
        <v>176796955.22494808</v>
      </c>
      <c r="D97" s="180">
        <f ca="1">IFERROR('Rumus Plafond + Atrib PP3'!R85,"")</f>
        <v>1583705.0211084103</v>
      </c>
      <c r="E97" s="181">
        <f t="shared" ca="1" si="4"/>
        <v>0.98716514433974212</v>
      </c>
      <c r="F97" s="181">
        <f t="shared" ca="1" si="5"/>
        <v>1.2834855660257919E-2</v>
      </c>
      <c r="G97" s="180">
        <f ca="1">IFERROR('Rumus Plafond + Atrib PP3'!R85,"")</f>
        <v>1583705.0211084103</v>
      </c>
      <c r="H97" s="180">
        <f ca="1">IFERROR('Rumus Plafond + Atrib PP3'!Q85,"")</f>
        <v>20590.906669367338</v>
      </c>
      <c r="I97" s="181">
        <f t="shared" ca="1" si="6"/>
        <v>0.50513415778556592</v>
      </c>
      <c r="J97" s="181">
        <f t="shared" ca="1" si="7"/>
        <v>0.49486584221443408</v>
      </c>
      <c r="K97" s="180">
        <f ca="1">IFERROR('Rumus Plafond + Atrib PP3'!S85,"")</f>
        <v>1604295.9277777777</v>
      </c>
    </row>
    <row r="98" spans="1:11" x14ac:dyDescent="0.3">
      <c r="A98" s="175">
        <f>'Rumus Plafond + Atrib PP10 (2)'!O86</f>
        <v>83</v>
      </c>
      <c r="B98" s="179">
        <f ca="1">IF(A98&lt;=Simulasi!$B$11,DATE(YEAR(B97),MONTH(B97)+1,1),"")</f>
        <v>48823</v>
      </c>
      <c r="C98" s="180">
        <f ca="1">IF(A98&lt;=Simulasi!$B$11,'Rumus Plafond + Atrib PP3'!P86,"")</f>
        <v>176776179.89131999</v>
      </c>
      <c r="D98" s="180">
        <f ca="1">IFERROR('Rumus Plafond + Atrib PP3'!R86,"")</f>
        <v>1583520.5941496899</v>
      </c>
      <c r="E98" s="181">
        <f t="shared" ca="1" si="4"/>
        <v>0.98705018614809725</v>
      </c>
      <c r="F98" s="181">
        <f t="shared" ca="1" si="5"/>
        <v>1.2949813851902707E-2</v>
      </c>
      <c r="G98" s="180">
        <f ca="1">IFERROR('Rumus Plafond + Atrib PP3'!R86,"")</f>
        <v>1583520.5941496899</v>
      </c>
      <c r="H98" s="180">
        <f ca="1">IFERROR('Rumus Plafond + Atrib PP3'!Q86,"")</f>
        <v>20775.33362808777</v>
      </c>
      <c r="I98" s="181">
        <f t="shared" ca="1" si="6"/>
        <v>0.50507479968948565</v>
      </c>
      <c r="J98" s="181">
        <f t="shared" ca="1" si="7"/>
        <v>0.49492520031051429</v>
      </c>
      <c r="K98" s="180">
        <f ca="1">IFERROR('Rumus Plafond + Atrib PP3'!S86,"")</f>
        <v>1604295.9277777777</v>
      </c>
    </row>
    <row r="99" spans="1:11" x14ac:dyDescent="0.3">
      <c r="A99" s="175">
        <f>'Rumus Plafond + Atrib PP10 (2)'!O87</f>
        <v>84</v>
      </c>
      <c r="B99" s="179">
        <f ca="1">IF(A99&lt;=Simulasi!$B$11,DATE(YEAR(B98),MONTH(B98)+1,1),"")</f>
        <v>48853</v>
      </c>
      <c r="C99" s="180">
        <f ca="1">IF(A99&lt;=Simulasi!$B$11,'Rumus Plafond + Atrib PP3'!P87,"")</f>
        <v>176755218.47887281</v>
      </c>
      <c r="D99" s="180">
        <f ca="1">IFERROR('Rumus Plafond + Atrib PP3'!R87,"")</f>
        <v>1583334.5153305803</v>
      </c>
      <c r="E99" s="181">
        <f t="shared" ca="1" si="4"/>
        <v>0.98693419830826823</v>
      </c>
      <c r="F99" s="181">
        <f t="shared" ca="1" si="5"/>
        <v>1.3065801691731823E-2</v>
      </c>
      <c r="G99" s="180">
        <f ca="1">IFERROR('Rumus Plafond + Atrib PP3'!R87,"")</f>
        <v>1583334.5153305803</v>
      </c>
      <c r="H99" s="180">
        <f ca="1">IFERROR('Rumus Plafond + Atrib PP3'!Q87,"")</f>
        <v>20961.412447197363</v>
      </c>
      <c r="I99" s="181">
        <f t="shared" ca="1" si="6"/>
        <v>0.5050149099396366</v>
      </c>
      <c r="J99" s="181">
        <f t="shared" ca="1" si="7"/>
        <v>0.4949850900603634</v>
      </c>
      <c r="K99" s="180">
        <f ca="1">IFERROR('Rumus Plafond + Atrib PP3'!S87,"")</f>
        <v>1604295.9277777777</v>
      </c>
    </row>
    <row r="100" spans="1:11" x14ac:dyDescent="0.3">
      <c r="A100" s="175">
        <f>'Rumus Plafond + Atrib PP10 (2)'!O88</f>
        <v>85</v>
      </c>
      <c r="B100" s="179">
        <f ca="1">IF(A100&lt;=Simulasi!$B$11,DATE(YEAR(B99),MONTH(B99)+1,1),"")</f>
        <v>48884</v>
      </c>
      <c r="C100" s="180">
        <f ca="1">IF(A100&lt;=Simulasi!$B$11,'Rumus Plafond + Atrib PP3'!P88,"")</f>
        <v>176734069.32095087</v>
      </c>
      <c r="D100" s="180">
        <f ca="1">IFERROR('Rumus Plafond + Atrib PP3'!R88,"")</f>
        <v>1583146.7698558329</v>
      </c>
      <c r="E100" s="181">
        <f t="shared" ca="1" si="4"/>
        <v>0.98681717159798576</v>
      </c>
      <c r="F100" s="181">
        <f t="shared" ca="1" si="5"/>
        <v>1.3182828402014285E-2</v>
      </c>
      <c r="G100" s="180">
        <f ca="1">IFERROR('Rumus Plafond + Atrib PP3'!R88,"")</f>
        <v>1583146.7698558329</v>
      </c>
      <c r="H100" s="180">
        <f ca="1">IFERROR('Rumus Plafond + Atrib PP3'!Q88,"")</f>
        <v>21149.157921944745</v>
      </c>
      <c r="I100" s="181">
        <f t="shared" ca="1" si="6"/>
        <v>0.50495448377414531</v>
      </c>
      <c r="J100" s="181">
        <f t="shared" ca="1" si="7"/>
        <v>0.49504551622585469</v>
      </c>
      <c r="K100" s="180">
        <f ca="1">IFERROR('Rumus Plafond + Atrib PP3'!S88,"")</f>
        <v>1604295.9277777777</v>
      </c>
    </row>
    <row r="101" spans="1:11" x14ac:dyDescent="0.3">
      <c r="A101" s="175">
        <f>'Rumus Plafond + Atrib PP10 (2)'!O89</f>
        <v>86</v>
      </c>
      <c r="B101" s="179">
        <f ca="1">IF(A101&lt;=Simulasi!$B$11,DATE(YEAR(B100),MONTH(B100)+1,1),"")</f>
        <v>48914</v>
      </c>
      <c r="C101" s="180">
        <f ca="1">IF(A101&lt;=Simulasi!$B$11,'Rumus Plafond + Atrib PP3'!P89,"")</f>
        <v>176712730.73597077</v>
      </c>
      <c r="D101" s="180">
        <f ca="1">IFERROR('Rumus Plafond + Atrib PP3'!R89,"")</f>
        <v>1582957.3427976819</v>
      </c>
      <c r="E101" s="181">
        <f t="shared" ca="1" si="4"/>
        <v>0.98669909671237943</v>
      </c>
      <c r="F101" s="181">
        <f t="shared" ca="1" si="5"/>
        <v>1.3300903287620571E-2</v>
      </c>
      <c r="G101" s="180">
        <f ca="1">IFERROR('Rumus Plafond + Atrib PP3'!R89,"")</f>
        <v>1582957.3427976819</v>
      </c>
      <c r="H101" s="180">
        <f ca="1">IFERROR('Rumus Plafond + Atrib PP3'!Q89,"")</f>
        <v>21338.584980095737</v>
      </c>
      <c r="I101" s="181">
        <f t="shared" ca="1" si="6"/>
        <v>0.5048935163884879</v>
      </c>
      <c r="J101" s="181">
        <f t="shared" ca="1" si="7"/>
        <v>0.4951064836115121</v>
      </c>
      <c r="K101" s="180">
        <f ca="1">IFERROR('Rumus Plafond + Atrib PP3'!S89,"")</f>
        <v>1604295.9277777777</v>
      </c>
    </row>
    <row r="102" spans="1:11" x14ac:dyDescent="0.3">
      <c r="A102" s="175">
        <f>'Rumus Plafond + Atrib PP10 (2)'!O90</f>
        <v>87</v>
      </c>
      <c r="B102" s="179">
        <f ca="1">IF(A102&lt;=Simulasi!$B$11,DATE(YEAR(B101),MONTH(B101)+1,1),"")</f>
        <v>48945</v>
      </c>
      <c r="C102" s="180">
        <f ca="1">IF(A102&lt;=Simulasi!$B$11,'Rumus Plafond + Atrib PP3'!P90,"")</f>
        <v>176691201.02728763</v>
      </c>
      <c r="D102" s="180">
        <f ca="1">IFERROR('Rumus Plafond + Atrib PP3'!R90,"")</f>
        <v>1582766.219094658</v>
      </c>
      <c r="E102" s="181">
        <f t="shared" ca="1" si="4"/>
        <v>0.98657996426323791</v>
      </c>
      <c r="F102" s="181">
        <f t="shared" ca="1" si="5"/>
        <v>1.342003573676206E-2</v>
      </c>
      <c r="G102" s="180">
        <f ca="1">IFERROR('Rumus Plafond + Atrib PP3'!R90,"")</f>
        <v>1582766.219094658</v>
      </c>
      <c r="H102" s="180">
        <f ca="1">IFERROR('Rumus Plafond + Atrib PP3'!Q90,"")</f>
        <v>21529.708683119621</v>
      </c>
      <c r="I102" s="181">
        <f t="shared" ca="1" si="6"/>
        <v>0.50483200293510755</v>
      </c>
      <c r="J102" s="181">
        <f t="shared" ca="1" si="7"/>
        <v>0.49516799706489251</v>
      </c>
      <c r="K102" s="180">
        <f ca="1">IFERROR('Rumus Plafond + Atrib PP3'!S90,"")</f>
        <v>1604295.9277777777</v>
      </c>
    </row>
    <row r="103" spans="1:11" x14ac:dyDescent="0.3">
      <c r="A103" s="175">
        <f>'Rumus Plafond + Atrib PP10 (2)'!O91</f>
        <v>88</v>
      </c>
      <c r="B103" s="179">
        <f ca="1">IF(A103&lt;=Simulasi!$B$11,DATE(YEAR(B102),MONTH(B102)+1,1),"")</f>
        <v>48976</v>
      </c>
      <c r="C103" s="180">
        <f ca="1">IF(A103&lt;=Simulasi!$B$11,'Rumus Plafond + Atrib PP3'!P91,"")</f>
        <v>176669478.48306024</v>
      </c>
      <c r="D103" s="180">
        <f ca="1">IFERROR('Rumus Plafond + Atrib PP3'!R91,"")</f>
        <v>1582573.3835503897</v>
      </c>
      <c r="E103" s="181">
        <f t="shared" ca="1" si="4"/>
        <v>0.98645976477826169</v>
      </c>
      <c r="F103" s="181">
        <f t="shared" ca="1" si="5"/>
        <v>1.3540235221738301E-2</v>
      </c>
      <c r="G103" s="180">
        <f ca="1">IFERROR('Rumus Plafond + Atrib PP3'!R91,"")</f>
        <v>1582573.3835503897</v>
      </c>
      <c r="H103" s="180">
        <f ca="1">IFERROR('Rumus Plafond + Atrib PP3'!Q91,"")</f>
        <v>21722.544227387989</v>
      </c>
      <c r="I103" s="181">
        <f t="shared" ca="1" si="6"/>
        <v>0.5047699385230292</v>
      </c>
      <c r="J103" s="181">
        <f t="shared" ca="1" si="7"/>
        <v>0.49523006147697074</v>
      </c>
      <c r="K103" s="180">
        <f ca="1">IFERROR('Rumus Plafond + Atrib PP3'!S91,"")</f>
        <v>1604295.9277777777</v>
      </c>
    </row>
    <row r="104" spans="1:11" x14ac:dyDescent="0.3">
      <c r="A104" s="175">
        <f>'Rumus Plafond + Atrib PP10 (2)'!O92</f>
        <v>89</v>
      </c>
      <c r="B104" s="179">
        <f ca="1">IF(A104&lt;=Simulasi!$B$11,DATE(YEAR(B103),MONTH(B103)+1,1),"")</f>
        <v>49004</v>
      </c>
      <c r="C104" s="180">
        <f ca="1">IF(A104&lt;=Simulasi!$B$11,'Rumus Plafond + Atrib PP3'!P92,"")</f>
        <v>176647561.37611485</v>
      </c>
      <c r="D104" s="180">
        <f ca="1">IFERROR('Rumus Plafond + Atrib PP3'!R92,"")</f>
        <v>1582378.8208323969</v>
      </c>
      <c r="E104" s="181">
        <f t="shared" ca="1" si="4"/>
        <v>0.98633848870031127</v>
      </c>
      <c r="F104" s="181">
        <f t="shared" ca="1" si="5"/>
        <v>1.3661511299688778E-2</v>
      </c>
      <c r="G104" s="180">
        <f ca="1">IFERROR('Rumus Plafond + Atrib PP3'!R92,"")</f>
        <v>1582378.8208323969</v>
      </c>
      <c r="H104" s="180">
        <f ca="1">IFERROR('Rumus Plafond + Atrib PP3'!Q92,"")</f>
        <v>21917.106945380801</v>
      </c>
      <c r="I104" s="181">
        <f t="shared" ca="1" si="6"/>
        <v>0.50470731821747095</v>
      </c>
      <c r="J104" s="181">
        <f t="shared" ca="1" si="7"/>
        <v>0.495292681782529</v>
      </c>
      <c r="K104" s="180">
        <f ca="1">IFERROR('Rumus Plafond + Atrib PP3'!S92,"")</f>
        <v>1604295.9277777777</v>
      </c>
    </row>
    <row r="105" spans="1:11" x14ac:dyDescent="0.3">
      <c r="A105" s="175">
        <f>'Rumus Plafond + Atrib PP10 (2)'!O93</f>
        <v>90</v>
      </c>
      <c r="B105" s="179">
        <f ca="1">IF(A105&lt;=Simulasi!$B$11,DATE(YEAR(B104),MONTH(B104)+1,1),"")</f>
        <v>49035</v>
      </c>
      <c r="C105" s="180">
        <f ca="1">IF(A105&lt;=Simulasi!$B$11,'Rumus Plafond + Atrib PP3'!P93,"")</f>
        <v>176625447.96380794</v>
      </c>
      <c r="D105" s="180">
        <f ca="1">IFERROR('Rumus Plafond + Atrib PP3'!R93,"")</f>
        <v>1582182.5154708705</v>
      </c>
      <c r="E105" s="181">
        <f t="shared" ca="1" si="4"/>
        <v>0.98621612638664613</v>
      </c>
      <c r="F105" s="181">
        <f t="shared" ca="1" si="5"/>
        <v>1.3783873613353837E-2</v>
      </c>
      <c r="G105" s="180">
        <f ca="1">IFERROR('Rumus Plafond + Atrib PP3'!R93,"")</f>
        <v>1582182.5154708705</v>
      </c>
      <c r="H105" s="180">
        <f ca="1">IFERROR('Rumus Plafond + Atrib PP3'!Q93,"")</f>
        <v>22113.412306907121</v>
      </c>
      <c r="I105" s="181">
        <f t="shared" ca="1" si="6"/>
        <v>0.50464413703945121</v>
      </c>
      <c r="J105" s="181">
        <f t="shared" ca="1" si="7"/>
        <v>0.49535586296054873</v>
      </c>
      <c r="K105" s="180">
        <f ca="1">IFERROR('Rumus Plafond + Atrib PP3'!S93,"")</f>
        <v>1604295.9277777777</v>
      </c>
    </row>
    <row r="106" spans="1:11" x14ac:dyDescent="0.3">
      <c r="A106" s="175">
        <f>'Rumus Plafond + Atrib PP10 (2)'!O94</f>
        <v>91</v>
      </c>
      <c r="B106" s="179">
        <f ca="1">IF(A106&lt;=Simulasi!$B$11,DATE(YEAR(B105),MONTH(B105)+1,1),"")</f>
        <v>49065</v>
      </c>
      <c r="C106" s="180">
        <f ca="1">IF(A106&lt;=Simulasi!$B$11,'Rumus Plafond + Atrib PP3'!P94,"")</f>
        <v>176603136.48788759</v>
      </c>
      <c r="D106" s="180">
        <f ca="1">IFERROR('Rumus Plafond + Atrib PP3'!R94,"")</f>
        <v>1581984.4518574423</v>
      </c>
      <c r="E106" s="181">
        <f t="shared" ca="1" si="4"/>
        <v>0.98609266810815843</v>
      </c>
      <c r="F106" s="181">
        <f t="shared" ca="1" si="5"/>
        <v>1.3907331891841535E-2</v>
      </c>
      <c r="G106" s="180">
        <f ca="1">IFERROR('Rumus Plafond + Atrib PP3'!R94,"")</f>
        <v>1581984.4518574423</v>
      </c>
      <c r="H106" s="180">
        <f ca="1">IFERROR('Rumus Plafond + Atrib PP3'!Q94,"")</f>
        <v>22311.47592033539</v>
      </c>
      <c r="I106" s="181">
        <f t="shared" ca="1" si="6"/>
        <v>0.50458038996539312</v>
      </c>
      <c r="J106" s="181">
        <f t="shared" ca="1" si="7"/>
        <v>0.49541961003460688</v>
      </c>
      <c r="K106" s="180">
        <f ca="1">IFERROR('Rumus Plafond + Atrib PP3'!S94,"")</f>
        <v>1604295.9277777777</v>
      </c>
    </row>
    <row r="107" spans="1:11" x14ac:dyDescent="0.3">
      <c r="A107" s="175">
        <f>'Rumus Plafond + Atrib PP10 (2)'!O95</f>
        <v>92</v>
      </c>
      <c r="B107" s="179">
        <f ca="1">IF(A107&lt;=Simulasi!$B$11,DATE(YEAR(B106),MONTH(B106)+1,1),"")</f>
        <v>49096</v>
      </c>
      <c r="C107" s="180">
        <f ca="1">IF(A107&lt;=Simulasi!$B$11,'Rumus Plafond + Atrib PP3'!P95,"")</f>
        <v>176580625.17435375</v>
      </c>
      <c r="D107" s="180">
        <f ca="1">IFERROR('Rumus Plafond + Atrib PP3'!R95,"")</f>
        <v>1581784.6142439451</v>
      </c>
      <c r="E107" s="181">
        <f t="shared" ca="1" si="4"/>
        <v>0.98596810404860002</v>
      </c>
      <c r="F107" s="181">
        <f t="shared" ca="1" si="5"/>
        <v>1.4031895951400029E-2</v>
      </c>
      <c r="G107" s="180">
        <f ca="1">IFERROR('Rumus Plafond + Atrib PP3'!R95,"")</f>
        <v>1581784.6142439451</v>
      </c>
      <c r="H107" s="180">
        <f ca="1">IFERROR('Rumus Plafond + Atrib PP3'!Q95,"")</f>
        <v>22511.313533832552</v>
      </c>
      <c r="I107" s="181">
        <f t="shared" ca="1" si="6"/>
        <v>0.50451607192672498</v>
      </c>
      <c r="J107" s="181">
        <f t="shared" ca="1" si="7"/>
        <v>0.49548392807327502</v>
      </c>
      <c r="K107" s="180">
        <f ca="1">IFERROR('Rumus Plafond + Atrib PP3'!S95,"")</f>
        <v>1604295.9277777777</v>
      </c>
    </row>
    <row r="108" spans="1:11" x14ac:dyDescent="0.3">
      <c r="A108" s="175">
        <f>'Rumus Plafond + Atrib PP10 (2)'!O96</f>
        <v>93</v>
      </c>
      <c r="B108" s="179">
        <f ca="1">IF(A108&lt;=Simulasi!$B$11,DATE(YEAR(B107),MONTH(B107)+1,1),"")</f>
        <v>49126</v>
      </c>
      <c r="C108" s="180">
        <f ca="1">IF(A108&lt;=Simulasi!$B$11,'Rumus Plafond + Atrib PP3'!P96,"")</f>
        <v>176557912.23331714</v>
      </c>
      <c r="D108" s="180">
        <f ca="1">IFERROR('Rumus Plafond + Atrib PP3'!R96,"")</f>
        <v>1581582.9867411589</v>
      </c>
      <c r="E108" s="181">
        <f t="shared" ca="1" si="4"/>
        <v>0.98584242430380031</v>
      </c>
      <c r="F108" s="181">
        <f t="shared" ca="1" si="5"/>
        <v>1.4157575696199678E-2</v>
      </c>
      <c r="G108" s="180">
        <f ca="1">IFERROR('Rumus Plafond + Atrib PP3'!R96,"")</f>
        <v>1581582.9867411589</v>
      </c>
      <c r="H108" s="180">
        <f ca="1">IFERROR('Rumus Plafond + Atrib PP3'!Q96,"")</f>
        <v>22712.94103661878</v>
      </c>
      <c r="I108" s="181">
        <f t="shared" ca="1" si="6"/>
        <v>0.50445117780947757</v>
      </c>
      <c r="J108" s="181">
        <f t="shared" ca="1" si="7"/>
        <v>0.49554882219052249</v>
      </c>
      <c r="K108" s="180">
        <f ca="1">IFERROR('Rumus Plafond + Atrib PP3'!S96,"")</f>
        <v>1604295.9277777777</v>
      </c>
    </row>
    <row r="109" spans="1:11" x14ac:dyDescent="0.3">
      <c r="A109" s="175">
        <f>'Rumus Plafond + Atrib PP10 (2)'!O97</f>
        <v>94</v>
      </c>
      <c r="B109" s="179">
        <f ca="1">IF(A109&lt;=Simulasi!$B$11,DATE(YEAR(B108),MONTH(B108)+1,1),"")</f>
        <v>49157</v>
      </c>
      <c r="C109" s="180">
        <f ca="1">IF(A109&lt;=Simulasi!$B$11,'Rumus Plafond + Atrib PP3'!P97,"")</f>
        <v>176534995.85885692</v>
      </c>
      <c r="D109" s="180">
        <f ca="1">IFERROR('Rumus Plafond + Atrib PP3'!R97,"")</f>
        <v>1581379.5533175494</v>
      </c>
      <c r="E109" s="181">
        <f t="shared" ca="1" si="4"/>
        <v>0.98571561888088111</v>
      </c>
      <c r="F109" s="181">
        <f t="shared" ca="1" si="5"/>
        <v>1.4284381119118917E-2</v>
      </c>
      <c r="G109" s="180">
        <f ca="1">IFERROR('Rumus Plafond + Atrib PP3'!R97,"")</f>
        <v>1581379.5533175494</v>
      </c>
      <c r="H109" s="180">
        <f ca="1">IFERROR('Rumus Plafond + Atrib PP3'!Q97,"")</f>
        <v>22916.374460228253</v>
      </c>
      <c r="I109" s="181">
        <f t="shared" ca="1" si="6"/>
        <v>0.50438570245387693</v>
      </c>
      <c r="J109" s="181">
        <f t="shared" ca="1" si="7"/>
        <v>0.49561429754612307</v>
      </c>
      <c r="K109" s="180">
        <f ca="1">IFERROR('Rumus Plafond + Atrib PP3'!S97,"")</f>
        <v>1604295.9277777777</v>
      </c>
    </row>
    <row r="110" spans="1:11" x14ac:dyDescent="0.3">
      <c r="A110" s="175">
        <f>'Rumus Plafond + Atrib PP10 (2)'!O98</f>
        <v>95</v>
      </c>
      <c r="B110" s="179">
        <f ca="1">IF(A110&lt;=Simulasi!$B$11,DATE(YEAR(B109),MONTH(B109)+1,1),"")</f>
        <v>49188</v>
      </c>
      <c r="C110" s="180">
        <f ca="1">IF(A110&lt;=Simulasi!$B$11,'Rumus Plafond + Atrib PP3'!P98,"")</f>
        <v>176511874.22887713</v>
      </c>
      <c r="D110" s="180">
        <f ca="1">IFERROR('Rumus Plafond + Atrib PP3'!R98,"")</f>
        <v>1581174.297797991</v>
      </c>
      <c r="E110" s="181">
        <f t="shared" ca="1" si="4"/>
        <v>0.98558767769745947</v>
      </c>
      <c r="F110" s="181">
        <f t="shared" ca="1" si="5"/>
        <v>1.4412322302540579E-2</v>
      </c>
      <c r="G110" s="180">
        <f ca="1">IFERROR('Rumus Plafond + Atrib PP3'!R98,"")</f>
        <v>1581174.297797991</v>
      </c>
      <c r="H110" s="180">
        <f ca="1">IFERROR('Rumus Plafond + Atrib PP3'!Q98,"")</f>
        <v>23121.629979786696</v>
      </c>
      <c r="I110" s="181">
        <f t="shared" ca="1" si="6"/>
        <v>0.50431964065393464</v>
      </c>
      <c r="J110" s="181">
        <f t="shared" ca="1" si="7"/>
        <v>0.49568035934606536</v>
      </c>
      <c r="K110" s="180">
        <f ca="1">IFERROR('Rumus Plafond + Atrib PP3'!S98,"")</f>
        <v>1604295.9277777777</v>
      </c>
    </row>
    <row r="111" spans="1:11" x14ac:dyDescent="0.3">
      <c r="A111" s="175">
        <f>'Rumus Plafond + Atrib PP10 (2)'!O99</f>
        <v>96</v>
      </c>
      <c r="B111" s="179">
        <f ca="1">IF(A111&lt;=Simulasi!$B$11,DATE(YEAR(B110),MONTH(B110)+1,1),"")</f>
        <v>49218</v>
      </c>
      <c r="C111" s="180">
        <f ca="1">IF(A111&lt;=Simulasi!$B$11,'Rumus Plafond + Atrib PP3'!P99,"")</f>
        <v>176488545.50496182</v>
      </c>
      <c r="D111" s="180">
        <f ca="1">IFERROR('Rumus Plafond + Atrib PP3'!R99,"")</f>
        <v>1580967.2038624834</v>
      </c>
      <c r="E111" s="181">
        <f t="shared" ca="1" si="4"/>
        <v>0.98545859058084839</v>
      </c>
      <c r="F111" s="181">
        <f t="shared" ca="1" si="5"/>
        <v>1.4541409419151568E-2</v>
      </c>
      <c r="G111" s="180">
        <f ca="1">IFERROR('Rumus Plafond + Atrib PP3'!R99,"")</f>
        <v>1580967.2038624834</v>
      </c>
      <c r="H111" s="180">
        <f ca="1">IFERROR('Rumus Plafond + Atrib PP3'!Q99,"")</f>
        <v>23328.723915294278</v>
      </c>
      <c r="I111" s="181">
        <f t="shared" ca="1" si="6"/>
        <v>0.50425298715703382</v>
      </c>
      <c r="J111" s="181">
        <f t="shared" ca="1" si="7"/>
        <v>0.49574701284296624</v>
      </c>
      <c r="K111" s="180">
        <f ca="1">IFERROR('Rumus Plafond + Atrib PP3'!S99,"")</f>
        <v>1604295.9277777777</v>
      </c>
    </row>
    <row r="112" spans="1:11" x14ac:dyDescent="0.3">
      <c r="A112" s="175">
        <f>'Rumus Plafond + Atrib PP10 (2)'!O100</f>
        <v>97</v>
      </c>
      <c r="B112" s="179">
        <f ca="1">IF(A112&lt;=Simulasi!$B$11,DATE(YEAR(B111),MONTH(B111)+1,1),"")</f>
        <v>49249</v>
      </c>
      <c r="C112" s="180">
        <f ca="1">IF(A112&lt;=Simulasi!$B$11,'Rumus Plafond + Atrib PP3'!P100,"")</f>
        <v>176465007.8322289</v>
      </c>
      <c r="D112" s="180">
        <f ca="1">IFERROR('Rumus Plafond + Atrib PP3'!R100,"")</f>
        <v>1580758.2550448517</v>
      </c>
      <c r="E112" s="181">
        <f t="shared" ca="1" si="4"/>
        <v>0.98532834726724661</v>
      </c>
      <c r="F112" s="181">
        <f t="shared" ca="1" si="5"/>
        <v>1.4671652732753395E-2</v>
      </c>
      <c r="G112" s="180">
        <f ca="1">IFERROR('Rumus Plafond + Atrib PP3'!R100,"")</f>
        <v>1580758.2550448517</v>
      </c>
      <c r="H112" s="180">
        <f ca="1">IFERROR('Rumus Plafond + Atrib PP3'!Q100,"")</f>
        <v>23537.672732925974</v>
      </c>
      <c r="I112" s="181">
        <f t="shared" ca="1" si="6"/>
        <v>0.50418573666351119</v>
      </c>
      <c r="J112" s="181">
        <f t="shared" ca="1" si="7"/>
        <v>0.49581426333648887</v>
      </c>
      <c r="K112" s="180">
        <f ca="1">IFERROR('Rumus Plafond + Atrib PP3'!S100,"")</f>
        <v>1604295.9277777777</v>
      </c>
    </row>
    <row r="113" spans="1:11" x14ac:dyDescent="0.3">
      <c r="A113" s="175">
        <f>'Rumus Plafond + Atrib PP10 (2)'!O101</f>
        <v>98</v>
      </c>
      <c r="B113" s="179">
        <f ca="1">IF(A113&lt;=Simulasi!$B$11,DATE(YEAR(B112),MONTH(B112)+1,1),"")</f>
        <v>49279</v>
      </c>
      <c r="C113" s="180">
        <f ca="1">IF(A113&lt;=Simulasi!$B$11,'Rumus Plafond + Atrib PP3'!P101,"")</f>
        <v>176441259.33918256</v>
      </c>
      <c r="D113" s="180">
        <f ca="1">IFERROR('Rumus Plafond + Atrib PP3'!R101,"")</f>
        <v>1580547.434731439</v>
      </c>
      <c r="E113" s="181">
        <f t="shared" ca="1" si="4"/>
        <v>0.98519693740092307</v>
      </c>
      <c r="F113" s="181">
        <f t="shared" ca="1" si="5"/>
        <v>1.4803062599076947E-2</v>
      </c>
      <c r="G113" s="180">
        <f ca="1">IFERROR('Rumus Plafond + Atrib PP3'!R101,"")</f>
        <v>1580547.434731439</v>
      </c>
      <c r="H113" s="180">
        <f ca="1">IFERROR('Rumus Plafond + Atrib PP3'!Q101,"")</f>
        <v>23748.49304633867</v>
      </c>
      <c r="I113" s="181">
        <f t="shared" ca="1" si="6"/>
        <v>0.5041178838262359</v>
      </c>
      <c r="J113" s="181">
        <f t="shared" ca="1" si="7"/>
        <v>0.49588211617376415</v>
      </c>
      <c r="K113" s="180">
        <f ca="1">IFERROR('Rumus Plafond + Atrib PP3'!S101,"")</f>
        <v>1604295.9277777777</v>
      </c>
    </row>
    <row r="114" spans="1:11" x14ac:dyDescent="0.3">
      <c r="A114" s="175">
        <f>'Rumus Plafond + Atrib PP10 (2)'!O102</f>
        <v>99</v>
      </c>
      <c r="B114" s="179">
        <f ca="1">IF(A114&lt;=Simulasi!$B$11,DATE(YEAR(B113),MONTH(B113)+1,1),"")</f>
        <v>49310</v>
      </c>
      <c r="C114" s="180">
        <f ca="1">IF(A114&lt;=Simulasi!$B$11,'Rumus Plafond + Atrib PP3'!P102,"")</f>
        <v>176417298.13756457</v>
      </c>
      <c r="D114" s="180">
        <f ca="1">IFERROR('Rumus Plafond + Atrib PP3'!R102,"")</f>
        <v>1580334.7261597838</v>
      </c>
      <c r="E114" s="181">
        <f t="shared" ca="1" si="4"/>
        <v>0.98506435053339303</v>
      </c>
      <c r="F114" s="181">
        <f t="shared" ca="1" si="5"/>
        <v>1.4935649466606958E-2</v>
      </c>
      <c r="G114" s="180">
        <f ca="1">IFERROR('Rumus Plafond + Atrib PP3'!R102,"")</f>
        <v>1580334.7261597838</v>
      </c>
      <c r="H114" s="180">
        <f ca="1">IFERROR('Rumus Plafond + Atrib PP3'!Q102,"")</f>
        <v>23961.20161799388</v>
      </c>
      <c r="I114" s="181">
        <f t="shared" ca="1" si="6"/>
        <v>0.50404942325018454</v>
      </c>
      <c r="J114" s="181">
        <f t="shared" ca="1" si="7"/>
        <v>0.49595057674981552</v>
      </c>
      <c r="K114" s="180">
        <f ca="1">IFERROR('Rumus Plafond + Atrib PP3'!S102,"")</f>
        <v>1604295.9277777777</v>
      </c>
    </row>
    <row r="115" spans="1:11" x14ac:dyDescent="0.3">
      <c r="A115" s="175">
        <f>'Rumus Plafond + Atrib PP10 (2)'!O103</f>
        <v>100</v>
      </c>
      <c r="B115" s="179">
        <f ca="1">IF(A115&lt;=Simulasi!$B$11,DATE(YEAR(B114),MONTH(B114)+1,1),"")</f>
        <v>49341</v>
      </c>
      <c r="C115" s="180">
        <f ca="1">IF(A115&lt;=Simulasi!$B$11,'Rumus Plafond + Atrib PP3'!P103,"")</f>
        <v>176393122.32220408</v>
      </c>
      <c r="D115" s="180">
        <f ca="1">IFERROR('Rumus Plafond + Atrib PP3'!R103,"")</f>
        <v>1580120.1124172881</v>
      </c>
      <c r="E115" s="181">
        <f t="shared" ca="1" si="4"/>
        <v>0.98493057612258783</v>
      </c>
      <c r="F115" s="181">
        <f t="shared" ca="1" si="5"/>
        <v>1.5069423877412159E-2</v>
      </c>
      <c r="G115" s="180">
        <f ca="1">IFERROR('Rumus Plafond + Atrib PP3'!R103,"")</f>
        <v>1580120.1124172881</v>
      </c>
      <c r="H115" s="180">
        <f ca="1">IFERROR('Rumus Plafond + Atrib PP3'!Q103,"")</f>
        <v>24175.815360489534</v>
      </c>
      <c r="I115" s="181">
        <f t="shared" ca="1" si="6"/>
        <v>0.50398034949201165</v>
      </c>
      <c r="J115" s="181">
        <f t="shared" ca="1" si="7"/>
        <v>0.49601965050798835</v>
      </c>
      <c r="K115" s="180">
        <f ca="1">IFERROR('Rumus Plafond + Atrib PP3'!S103,"")</f>
        <v>1604295.9277777777</v>
      </c>
    </row>
    <row r="116" spans="1:11" x14ac:dyDescent="0.3">
      <c r="A116" s="175">
        <f>'Rumus Plafond + Atrib PP10 (2)'!O104</f>
        <v>101</v>
      </c>
      <c r="B116" s="179">
        <f ca="1">IF(A116&lt;=Simulasi!$B$11,DATE(YEAR(B115),MONTH(B115)+1,1),"")</f>
        <v>49369</v>
      </c>
      <c r="C116" s="180">
        <f ca="1">IF(A116&lt;=Simulasi!$B$11,'Rumus Plafond + Atrib PP3'!P104,"")</f>
        <v>176368729.97086617</v>
      </c>
      <c r="D116" s="180">
        <f ca="1">IFERROR('Rumus Plafond + Atrib PP3'!R104,"")</f>
        <v>1579903.5764398726</v>
      </c>
      <c r="E116" s="181">
        <f t="shared" ca="1" si="4"/>
        <v>0.98479560353201634</v>
      </c>
      <c r="F116" s="181">
        <f t="shared" ca="1" si="5"/>
        <v>1.5204396467983678E-2</v>
      </c>
      <c r="G116" s="180">
        <f ca="1">IFERROR('Rumus Plafond + Atrib PP3'!R104,"")</f>
        <v>1579903.5764398726</v>
      </c>
      <c r="H116" s="180">
        <f ca="1">IFERROR('Rumus Plafond + Atrib PP3'!Q104,"")</f>
        <v>24392.351337905042</v>
      </c>
      <c r="I116" s="181">
        <f t="shared" ca="1" si="6"/>
        <v>0.50391065705961768</v>
      </c>
      <c r="J116" s="181">
        <f t="shared" ca="1" si="7"/>
        <v>0.49608934294038237</v>
      </c>
      <c r="K116" s="180">
        <f ca="1">IFERROR('Rumus Plafond + Atrib PP3'!S104,"")</f>
        <v>1604295.9277777777</v>
      </c>
    </row>
    <row r="117" spans="1:11" x14ac:dyDescent="0.3">
      <c r="A117" s="175">
        <f>'Rumus Plafond + Atrib PP10 (2)'!O105</f>
        <v>102</v>
      </c>
      <c r="B117" s="179">
        <f ca="1">IF(A117&lt;=Simulasi!$B$11,DATE(YEAR(B116),MONTH(B116)+1,1),"")</f>
        <v>49400</v>
      </c>
      <c r="C117" s="180">
        <f ca="1">IF(A117&lt;=Simulasi!$B$11,'Rumus Plafond + Atrib PP3'!P105,"")</f>
        <v>176344119.14409903</v>
      </c>
      <c r="D117" s="180">
        <f ca="1">IFERROR('Rumus Plafond + Atrib PP3'!R105,"")</f>
        <v>1579685.1010106204</v>
      </c>
      <c r="E117" s="181">
        <f t="shared" ca="1" si="4"/>
        <v>0.98465942202991974</v>
      </c>
      <c r="F117" s="181">
        <f t="shared" ca="1" si="5"/>
        <v>1.5340577970080291E-2</v>
      </c>
      <c r="G117" s="180">
        <f ca="1">IFERROR('Rumus Plafond + Atrib PP3'!R105,"")</f>
        <v>1579685.1010106204</v>
      </c>
      <c r="H117" s="180">
        <f ca="1">IFERROR('Rumus Plafond + Atrib PP3'!Q105,"")</f>
        <v>24610.826767157298</v>
      </c>
      <c r="I117" s="181">
        <f t="shared" ca="1" si="6"/>
        <v>0.50384034041171155</v>
      </c>
      <c r="J117" s="181">
        <f t="shared" ca="1" si="7"/>
        <v>0.4961596595882885</v>
      </c>
      <c r="K117" s="180">
        <f ca="1">IFERROR('Rumus Plafond + Atrib PP3'!S105,"")</f>
        <v>1604295.9277777777</v>
      </c>
    </row>
    <row r="118" spans="1:11" x14ac:dyDescent="0.3">
      <c r="A118" s="175">
        <f>'Rumus Plafond + Atrib PP10 (2)'!O106</f>
        <v>103</v>
      </c>
      <c r="B118" s="179">
        <f ca="1">IF(A118&lt;=Simulasi!$B$11,DATE(YEAR(B117),MONTH(B117)+1,1),"")</f>
        <v>49430</v>
      </c>
      <c r="C118" s="180">
        <f ca="1">IF(A118&lt;=Simulasi!$B$11,'Rumus Plafond + Atrib PP3'!P106,"")</f>
        <v>176319287.88507965</v>
      </c>
      <c r="D118" s="180">
        <f ca="1">IFERROR('Rumus Plafond + Atrib PP3'!R106,"")</f>
        <v>1579464.6687584063</v>
      </c>
      <c r="E118" s="181">
        <f t="shared" ca="1" si="4"/>
        <v>0.98452202078841722</v>
      </c>
      <c r="F118" s="181">
        <f t="shared" ca="1" si="5"/>
        <v>1.5477979211582782E-2</v>
      </c>
      <c r="G118" s="180">
        <f ca="1">IFERROR('Rumus Plafond + Atrib PP3'!R106,"")</f>
        <v>1579464.6687584063</v>
      </c>
      <c r="H118" s="180">
        <f ca="1">IFERROR('Rumus Plafond + Atrib PP3'!Q106,"")</f>
        <v>24831.259019371355</v>
      </c>
      <c r="I118" s="181">
        <f t="shared" ca="1" si="6"/>
        <v>0.50376939395737041</v>
      </c>
      <c r="J118" s="181">
        <f t="shared" ca="1" si="7"/>
        <v>0.49623060604262959</v>
      </c>
      <c r="K118" s="180">
        <f ca="1">IFERROR('Rumus Plafond + Atrib PP3'!S106,"")</f>
        <v>1604295.9277777777</v>
      </c>
    </row>
    <row r="119" spans="1:11" x14ac:dyDescent="0.3">
      <c r="A119" s="175">
        <f>'Rumus Plafond + Atrib PP10 (2)'!O107</f>
        <v>104</v>
      </c>
      <c r="B119" s="179">
        <f ca="1">IF(A119&lt;=Simulasi!$B$11,DATE(YEAR(B118),MONTH(B118)+1,1),"")</f>
        <v>49461</v>
      </c>
      <c r="C119" s="180">
        <f ca="1">IF(A119&lt;=Simulasi!$B$11,'Rumus Plafond + Atrib PP3'!P107,"")</f>
        <v>176294234.2194584</v>
      </c>
      <c r="D119" s="180">
        <f ca="1">IFERROR('Rumus Plafond + Atrib PP3'!R107,"")</f>
        <v>1579242.2621565175</v>
      </c>
      <c r="E119" s="181">
        <f t="shared" ca="1" si="4"/>
        <v>0.98438338888264598</v>
      </c>
      <c r="F119" s="181">
        <f t="shared" ca="1" si="5"/>
        <v>1.5616611117353994E-2</v>
      </c>
      <c r="G119" s="180">
        <f ca="1">IFERROR('Rumus Plafond + Atrib PP3'!R107,"")</f>
        <v>1579242.2621565175</v>
      </c>
      <c r="H119" s="180">
        <f ca="1">IFERROR('Rumus Plafond + Atrib PP3'!Q107,"")</f>
        <v>25053.665621260181</v>
      </c>
      <c r="I119" s="181">
        <f t="shared" ca="1" si="6"/>
        <v>0.50369781205559538</v>
      </c>
      <c r="J119" s="181">
        <f t="shared" ca="1" si="7"/>
        <v>0.49630218794440456</v>
      </c>
      <c r="K119" s="180">
        <f ca="1">IFERROR('Rumus Plafond + Atrib PP3'!S107,"")</f>
        <v>1604295.9277777777</v>
      </c>
    </row>
    <row r="120" spans="1:11" x14ac:dyDescent="0.3">
      <c r="A120" s="175">
        <f>'Rumus Plafond + Atrib PP10 (2)'!O108</f>
        <v>105</v>
      </c>
      <c r="B120" s="179">
        <f ca="1">IF(A120&lt;=Simulasi!$B$11,DATE(YEAR(B119),MONTH(B119)+1,1),"")</f>
        <v>49491</v>
      </c>
      <c r="C120" s="180">
        <f ca="1">IF(A120&lt;=Simulasi!$B$11,'Rumus Plafond + Atrib PP3'!P108,"")</f>
        <v>176268956.15520188</v>
      </c>
      <c r="D120" s="180">
        <f ca="1">IFERROR('Rumus Plafond + Atrib PP3'!R108,"")</f>
        <v>1579017.86352126</v>
      </c>
      <c r="E120" s="181">
        <f t="shared" ca="1" si="4"/>
        <v>0.98424351528989285</v>
      </c>
      <c r="F120" s="181">
        <f t="shared" ca="1" si="5"/>
        <v>1.5756484710107127E-2</v>
      </c>
      <c r="G120" s="180">
        <f ca="1">IFERROR('Rumus Plafond + Atrib PP3'!R108,"")</f>
        <v>1579017.86352126</v>
      </c>
      <c r="H120" s="180">
        <f ca="1">IFERROR('Rumus Plafond + Atrib PP3'!Q108,"")</f>
        <v>25278.064256517682</v>
      </c>
      <c r="I120" s="181">
        <f t="shared" ca="1" si="6"/>
        <v>0.50362558901486254</v>
      </c>
      <c r="J120" s="181">
        <f t="shared" ca="1" si="7"/>
        <v>0.49637441098513746</v>
      </c>
      <c r="K120" s="180">
        <f ca="1">IFERROR('Rumus Plafond + Atrib PP3'!S108,"")</f>
        <v>1604295.9277777777</v>
      </c>
    </row>
    <row r="121" spans="1:11" x14ac:dyDescent="0.3">
      <c r="A121" s="175">
        <f>'Rumus Plafond + Atrib PP10 (2)'!O109</f>
        <v>106</v>
      </c>
      <c r="B121" s="179">
        <f ca="1">IF(A121&lt;=Simulasi!$B$11,DATE(YEAR(B120),MONTH(B120)+1,1),"")</f>
        <v>49522</v>
      </c>
      <c r="C121" s="180">
        <f ca="1">IF(A121&lt;=Simulasi!$B$11,'Rumus Plafond + Atrib PP3'!P109,"")</f>
        <v>176243451.68243465</v>
      </c>
      <c r="D121" s="180">
        <f ca="1">IFERROR('Rumus Plafond + Atrib PP3'!R109,"")</f>
        <v>1578791.4550105503</v>
      </c>
      <c r="E121" s="181">
        <f t="shared" ca="1" si="4"/>
        <v>0.98410238888871626</v>
      </c>
      <c r="F121" s="181">
        <f t="shared" ca="1" si="5"/>
        <v>1.5897611111283787E-2</v>
      </c>
      <c r="G121" s="180">
        <f ca="1">IFERROR('Rumus Plafond + Atrib PP3'!R109,"")</f>
        <v>1578791.4550105503</v>
      </c>
      <c r="H121" s="180">
        <f ca="1">IFERROR('Rumus Plafond + Atrib PP3'!Q109,"")</f>
        <v>25504.472767227329</v>
      </c>
      <c r="I121" s="181">
        <f t="shared" ca="1" si="6"/>
        <v>0.50355271909267041</v>
      </c>
      <c r="J121" s="181">
        <f t="shared" ca="1" si="7"/>
        <v>0.49644728090732959</v>
      </c>
      <c r="K121" s="180">
        <f ca="1">IFERROR('Rumus Plafond + Atrib PP3'!S109,"")</f>
        <v>1604295.9277777777</v>
      </c>
    </row>
    <row r="122" spans="1:11" x14ac:dyDescent="0.3">
      <c r="A122" s="175">
        <f>'Rumus Plafond + Atrib PP10 (2)'!O110</f>
        <v>107</v>
      </c>
      <c r="B122" s="179">
        <f ca="1">IF(A122&lt;=Simulasi!$B$11,DATE(YEAR(B121),MONTH(B121)+1,1),"")</f>
        <v>49553</v>
      </c>
      <c r="C122" s="180">
        <f ca="1">IF(A122&lt;=Simulasi!$B$11,'Rumus Plafond + Atrib PP3'!P110,"")</f>
        <v>176217718.77327937</v>
      </c>
      <c r="D122" s="180">
        <f ca="1">IFERROR('Rumus Plafond + Atrib PP3'!R110,"")</f>
        <v>1578563.0186225001</v>
      </c>
      <c r="E122" s="181">
        <f t="shared" ca="1" si="4"/>
        <v>0.98395999845806381</v>
      </c>
      <c r="F122" s="181">
        <f t="shared" ca="1" si="5"/>
        <v>1.6040001541936209E-2</v>
      </c>
      <c r="G122" s="180">
        <f ca="1">IFERROR('Rumus Plafond + Atrib PP3'!R110,"")</f>
        <v>1578563.0186225001</v>
      </c>
      <c r="H122" s="180">
        <f ca="1">IFERROR('Rumus Plafond + Atrib PP3'!Q110,"")</f>
        <v>25732.909155277535</v>
      </c>
      <c r="I122" s="181">
        <f t="shared" ca="1" si="6"/>
        <v>0.50347919649508388</v>
      </c>
      <c r="J122" s="181">
        <f t="shared" ca="1" si="7"/>
        <v>0.49652080350491606</v>
      </c>
      <c r="K122" s="180">
        <f ca="1">IFERROR('Rumus Plafond + Atrib PP3'!S110,"")</f>
        <v>1604295.9277777777</v>
      </c>
    </row>
    <row r="123" spans="1:11" x14ac:dyDescent="0.3">
      <c r="A123" s="175">
        <f>'Rumus Plafond + Atrib PP10 (2)'!O111</f>
        <v>108</v>
      </c>
      <c r="B123" s="179">
        <f ca="1">IF(A123&lt;=Simulasi!$B$11,DATE(YEAR(B122),MONTH(B122)+1,1),"")</f>
        <v>49583</v>
      </c>
      <c r="C123" s="180">
        <f ca="1">IF(A123&lt;=Simulasi!$B$11,'Rumus Plafond + Atrib PP3'!P111,"")</f>
        <v>176191755.38169557</v>
      </c>
      <c r="D123" s="180">
        <f ca="1">IFERROR('Rumus Plafond + Atrib PP3'!R111,"")</f>
        <v>1578332.5361939827</v>
      </c>
      <c r="E123" s="181">
        <f t="shared" ca="1" si="4"/>
        <v>0.98381633267637936</v>
      </c>
      <c r="F123" s="181">
        <f t="shared" ca="1" si="5"/>
        <v>1.6183667323620692E-2</v>
      </c>
      <c r="G123" s="180">
        <f ca="1">IFERROR('Rumus Plafond + Atrib PP3'!R111,"")</f>
        <v>1578332.5361939827</v>
      </c>
      <c r="H123" s="180">
        <f ca="1">IFERROR('Rumus Plafond + Atrib PP3'!Q111,"")</f>
        <v>25963.391583794961</v>
      </c>
      <c r="I123" s="181">
        <f t="shared" ca="1" si="6"/>
        <v>0.50340501537627302</v>
      </c>
      <c r="J123" s="181">
        <f t="shared" ca="1" si="7"/>
        <v>0.49659498462372692</v>
      </c>
      <c r="K123" s="180">
        <f ca="1">IFERROR('Rumus Plafond + Atrib PP3'!S111,"")</f>
        <v>1604295.9277777777</v>
      </c>
    </row>
    <row r="124" spans="1:11" x14ac:dyDescent="0.3">
      <c r="A124" s="175">
        <f>'Rumus Plafond + Atrib PP10 (2)'!O112</f>
        <v>109</v>
      </c>
      <c r="B124" s="179">
        <f ca="1">IF(A124&lt;=Simulasi!$B$11,DATE(YEAR(B123),MONTH(B123)+1,1),"")</f>
        <v>49614</v>
      </c>
      <c r="C124" s="180">
        <f ca="1">IF(A124&lt;=Simulasi!$B$11,'Rumus Plafond + Atrib PP3'!P112,"")</f>
        <v>176165559.44331697</v>
      </c>
      <c r="D124" s="180">
        <f ca="1">IFERROR('Rumus Plafond + Atrib PP3'!R112,"")</f>
        <v>1578099.9893991884</v>
      </c>
      <c r="E124" s="181">
        <f t="shared" ca="1" si="4"/>
        <v>0.98367138012070188</v>
      </c>
      <c r="F124" s="181">
        <f t="shared" ca="1" si="5"/>
        <v>1.6328619879298113E-2</v>
      </c>
      <c r="G124" s="180">
        <f ca="1">IFERROR('Rumus Plafond + Atrib PP3'!R112,"")</f>
        <v>1578099.9893991884</v>
      </c>
      <c r="H124" s="180">
        <f ca="1">IFERROR('Rumus Plafond + Atrib PP3'!Q112,"")</f>
        <v>26195.938378589228</v>
      </c>
      <c r="I124" s="181">
        <f t="shared" ca="1" si="6"/>
        <v>0.50333016983804846</v>
      </c>
      <c r="J124" s="181">
        <f t="shared" ca="1" si="7"/>
        <v>0.49666983016195154</v>
      </c>
      <c r="K124" s="180">
        <f ca="1">IFERROR('Rumus Plafond + Atrib PP3'!S112,"")</f>
        <v>1604295.9277777777</v>
      </c>
    </row>
    <row r="125" spans="1:11" x14ac:dyDescent="0.3">
      <c r="A125" s="175">
        <f>'Rumus Plafond + Atrib PP10 (2)'!O113</f>
        <v>110</v>
      </c>
      <c r="B125" s="179">
        <f ca="1">IF(A125&lt;=Simulasi!$B$11,DATE(YEAR(B124),MONTH(B124)+1,1),"")</f>
        <v>49644</v>
      </c>
      <c r="C125" s="180">
        <f ca="1">IF(A125&lt;=Simulasi!$B$11,'Rumus Plafond + Atrib PP3'!P113,"")</f>
        <v>176139128.87528735</v>
      </c>
      <c r="D125" s="180">
        <f ca="1">IFERROR('Rumus Plafond + Atrib PP3'!R113,"")</f>
        <v>1577865.3597481698</v>
      </c>
      <c r="E125" s="181">
        <f t="shared" ca="1" si="4"/>
        <v>0.98352512926575919</v>
      </c>
      <c r="F125" s="181">
        <f t="shared" ca="1" si="5"/>
        <v>1.6474870734240848E-2</v>
      </c>
      <c r="G125" s="180">
        <f ca="1">IFERROR('Rumus Plafond + Atrib PP3'!R113,"")</f>
        <v>1577865.3597481698</v>
      </c>
      <c r="H125" s="180">
        <f ca="1">IFERROR('Rumus Plafond + Atrib PP3'!Q113,"")</f>
        <v>26430.568029607879</v>
      </c>
      <c r="I125" s="181">
        <f t="shared" ca="1" si="6"/>
        <v>0.50325465392939239</v>
      </c>
      <c r="J125" s="181">
        <f t="shared" ca="1" si="7"/>
        <v>0.49674534607060755</v>
      </c>
      <c r="K125" s="180">
        <f ca="1">IFERROR('Rumus Plafond + Atrib PP3'!S113,"")</f>
        <v>1604295.9277777777</v>
      </c>
    </row>
    <row r="126" spans="1:11" x14ac:dyDescent="0.3">
      <c r="A126" s="175">
        <f>'Rumus Plafond + Atrib PP10 (2)'!O114</f>
        <v>111</v>
      </c>
      <c r="B126" s="179">
        <f ca="1">IF(A126&lt;=Simulasi!$B$11,DATE(YEAR(B125),MONTH(B125)+1,1),"")</f>
        <v>49675</v>
      </c>
      <c r="C126" s="180">
        <f ca="1">IF(A126&lt;=Simulasi!$B$11,'Rumus Plafond + Atrib PP3'!P114,"")</f>
        <v>176112461.57609496</v>
      </c>
      <c r="D126" s="180">
        <f ca="1">IFERROR('Rumus Plafond + Atrib PP3'!R114,"")</f>
        <v>1577628.6285853696</v>
      </c>
      <c r="E126" s="181">
        <f t="shared" ca="1" si="4"/>
        <v>0.98337756848304991</v>
      </c>
      <c r="F126" s="181">
        <f t="shared" ca="1" si="5"/>
        <v>1.6622431516950142E-2</v>
      </c>
      <c r="G126" s="180">
        <f ca="1">IFERROR('Rumus Plafond + Atrib PP3'!R114,"")</f>
        <v>1577628.6285853696</v>
      </c>
      <c r="H126" s="180">
        <f ca="1">IFERROR('Rumus Plafond + Atrib PP3'!Q114,"")</f>
        <v>26667.2991924081</v>
      </c>
      <c r="I126" s="181">
        <f t="shared" ca="1" si="6"/>
        <v>0.50317846164598556</v>
      </c>
      <c r="J126" s="181">
        <f t="shared" ca="1" si="7"/>
        <v>0.49682153835401444</v>
      </c>
      <c r="K126" s="180">
        <f ca="1">IFERROR('Rumus Plafond + Atrib PP3'!S114,"")</f>
        <v>1604295.9277777777</v>
      </c>
    </row>
    <row r="127" spans="1:11" x14ac:dyDescent="0.3">
      <c r="A127" s="175">
        <f>'Rumus Plafond + Atrib PP10 (2)'!O115</f>
        <v>112</v>
      </c>
      <c r="B127" s="179">
        <f ca="1">IF(A127&lt;=Simulasi!$B$11,DATE(YEAR(B126),MONTH(B126)+1,1),"")</f>
        <v>49706</v>
      </c>
      <c r="C127" s="180">
        <f ca="1">IF(A127&lt;=Simulasi!$B$11,'Rumus Plafond + Atrib PP3'!P115,"")</f>
        <v>176085555.42540532</v>
      </c>
      <c r="D127" s="180">
        <f ca="1">IFERROR('Rumus Plafond + Atrib PP3'!R115,"")</f>
        <v>1577389.7770881376</v>
      </c>
      <c r="E127" s="181">
        <f t="shared" ca="1" si="4"/>
        <v>0.98322868603991931</v>
      </c>
      <c r="F127" s="181">
        <f t="shared" ca="1" si="5"/>
        <v>1.6771313960080712E-2</v>
      </c>
      <c r="G127" s="180">
        <f ca="1">IFERROR('Rumus Plafond + Atrib PP3'!R115,"")</f>
        <v>1577389.7770881376</v>
      </c>
      <c r="H127" s="180">
        <f ca="1">IFERROR('Rumus Plafond + Atrib PP3'!Q115,"")</f>
        <v>26906.150689640082</v>
      </c>
      <c r="I127" s="181">
        <f t="shared" ca="1" si="6"/>
        <v>0.50310158692972951</v>
      </c>
      <c r="J127" s="181">
        <f t="shared" ca="1" si="7"/>
        <v>0.49689841307027049</v>
      </c>
      <c r="K127" s="180">
        <f ca="1">IFERROR('Rumus Plafond + Atrib PP3'!S115,"")</f>
        <v>1604295.9277777777</v>
      </c>
    </row>
    <row r="128" spans="1:11" x14ac:dyDescent="0.3">
      <c r="A128" s="175">
        <f>'Rumus Plafond + Atrib PP10 (2)'!O116</f>
        <v>113</v>
      </c>
      <c r="B128" s="179">
        <f ca="1">IF(A128&lt;=Simulasi!$B$11,DATE(YEAR(B127),MONTH(B127)+1,1),"")</f>
        <v>49735</v>
      </c>
      <c r="C128" s="180">
        <f ca="1">IF(A128&lt;=Simulasi!$B$11,'Rumus Plafond + Atrib PP3'!P116,"")</f>
        <v>176058408.28389278</v>
      </c>
      <c r="D128" s="180">
        <f ca="1">IFERROR('Rumus Plafond + Atrib PP3'!R116,"")</f>
        <v>1577148.7862652352</v>
      </c>
      <c r="E128" s="181">
        <f t="shared" ca="1" si="4"/>
        <v>0.98307847009862703</v>
      </c>
      <c r="F128" s="181">
        <f t="shared" ca="1" si="5"/>
        <v>1.6921529901372932E-2</v>
      </c>
      <c r="G128" s="180">
        <f ca="1">IFERROR('Rumus Plafond + Atrib PP3'!R116,"")</f>
        <v>1577148.7862652352</v>
      </c>
      <c r="H128" s="180">
        <f ca="1">IFERROR('Rumus Plafond + Atrib PP3'!Q116,"")</f>
        <v>27147.141512542497</v>
      </c>
      <c r="I128" s="181">
        <f t="shared" ca="1" si="6"/>
        <v>0.50302402366826504</v>
      </c>
      <c r="J128" s="181">
        <f t="shared" ca="1" si="7"/>
        <v>0.4969759763317349</v>
      </c>
      <c r="K128" s="180">
        <f ca="1">IFERROR('Rumus Plafond + Atrib PP3'!S116,"")</f>
        <v>1604295.9277777777</v>
      </c>
    </row>
    <row r="129" spans="1:11" x14ac:dyDescent="0.3">
      <c r="A129" s="175">
        <f>'Rumus Plafond + Atrib PP10 (2)'!O117</f>
        <v>114</v>
      </c>
      <c r="B129" s="179">
        <f ca="1">IF(A129&lt;=Simulasi!$B$11,DATE(YEAR(B128),MONTH(B128)+1,1),"")</f>
        <v>49766</v>
      </c>
      <c r="C129" s="180">
        <f ca="1">IF(A129&lt;=Simulasi!$B$11,'Rumus Plafond + Atrib PP3'!P117,"")</f>
        <v>176031017.99307033</v>
      </c>
      <c r="D129" s="180">
        <f ca="1">IFERROR('Rumus Plafond + Atrib PP3'!R117,"")</f>
        <v>1576905.6369553236</v>
      </c>
      <c r="E129" s="181">
        <f t="shared" ca="1" si="4"/>
        <v>0.982926908715405</v>
      </c>
      <c r="F129" s="181">
        <f t="shared" ca="1" si="5"/>
        <v>1.7073091284595002E-2</v>
      </c>
      <c r="G129" s="180">
        <f ca="1">IFERROR('Rumus Plafond + Atrib PP3'!R117,"")</f>
        <v>1576905.6369553236</v>
      </c>
      <c r="H129" s="180">
        <f ca="1">IFERROR('Rumus Plafond + Atrib PP3'!Q117,"")</f>
        <v>27390.29082245403</v>
      </c>
      <c r="I129" s="181">
        <f t="shared" ca="1" si="6"/>
        <v>0.50294576569448668</v>
      </c>
      <c r="J129" s="181">
        <f t="shared" ca="1" si="7"/>
        <v>0.49705423430551332</v>
      </c>
      <c r="K129" s="180">
        <f ca="1">IFERROR('Rumus Plafond + Atrib PP3'!S117,"")</f>
        <v>1604295.9277777777</v>
      </c>
    </row>
    <row r="130" spans="1:11" x14ac:dyDescent="0.3">
      <c r="A130" s="175">
        <f>'Rumus Plafond + Atrib PP10 (2)'!O118</f>
        <v>115</v>
      </c>
      <c r="B130" s="179">
        <f ca="1">IF(A130&lt;=Simulasi!$B$11,DATE(YEAR(B129),MONTH(B129)+1,1),"")</f>
        <v>49796</v>
      </c>
      <c r="C130" s="180">
        <f ca="1">IF(A130&lt;=Simulasi!$B$11,'Rumus Plafond + Atrib PP3'!P118,"")</f>
        <v>176003382.37511799</v>
      </c>
      <c r="D130" s="180">
        <f ca="1">IFERROR('Rumus Plafond + Atrib PP3'!R118,"")</f>
        <v>1576660.309825442</v>
      </c>
      <c r="E130" s="181">
        <f t="shared" ca="1" si="4"/>
        <v>0.98277398983950814</v>
      </c>
      <c r="F130" s="181">
        <f t="shared" ca="1" si="5"/>
        <v>1.7226010160491807E-2</v>
      </c>
      <c r="G130" s="180">
        <f ca="1">IFERROR('Rumus Plafond + Atrib PP3'!R118,"")</f>
        <v>1576660.309825442</v>
      </c>
      <c r="H130" s="180">
        <f ca="1">IFERROR('Rumus Plafond + Atrib PP3'!Q118,"")</f>
        <v>27635.617952335626</v>
      </c>
      <c r="I130" s="181">
        <f t="shared" ca="1" si="6"/>
        <v>0.50286680678605145</v>
      </c>
      <c r="J130" s="181">
        <f t="shared" ca="1" si="7"/>
        <v>0.49713319321394861</v>
      </c>
      <c r="K130" s="180">
        <f ca="1">IFERROR('Rumus Plafond + Atrib PP3'!S118,"")</f>
        <v>1604295.9277777777</v>
      </c>
    </row>
    <row r="131" spans="1:11" x14ac:dyDescent="0.3">
      <c r="A131" s="175">
        <f>'Rumus Plafond + Atrib PP10 (2)'!O119</f>
        <v>116</v>
      </c>
      <c r="B131" s="179">
        <f ca="1">IF(A131&lt;=Simulasi!$B$11,DATE(YEAR(B130),MONTH(B130)+1,1),"")</f>
        <v>49827</v>
      </c>
      <c r="C131" s="180">
        <f ca="1">IF(A131&lt;=Simulasi!$B$11,'Rumus Plafond + Atrib PP3'!P119,"")</f>
        <v>175975499.23270968</v>
      </c>
      <c r="D131" s="180">
        <f ca="1">IFERROR('Rumus Plafond + Atrib PP3'!R119,"")</f>
        <v>1576412.78536947</v>
      </c>
      <c r="E131" s="181">
        <f t="shared" ca="1" si="4"/>
        <v>0.98261970131225695</v>
      </c>
      <c r="F131" s="181">
        <f t="shared" ca="1" si="5"/>
        <v>1.7380298687743059E-2</v>
      </c>
      <c r="G131" s="180">
        <f ca="1">IFERROR('Rumus Plafond + Atrib PP3'!R119,"")</f>
        <v>1576412.78536947</v>
      </c>
      <c r="H131" s="180">
        <f ca="1">IFERROR('Rumus Plafond + Atrib PP3'!Q119,"")</f>
        <v>27883.142408307642</v>
      </c>
      <c r="I131" s="181">
        <f t="shared" ca="1" si="6"/>
        <v>0.50278714066488484</v>
      </c>
      <c r="J131" s="181">
        <f t="shared" ca="1" si="7"/>
        <v>0.49721285933511522</v>
      </c>
      <c r="K131" s="180">
        <f ca="1">IFERROR('Rumus Plafond + Atrib PP3'!S119,"")</f>
        <v>1604295.9277777777</v>
      </c>
    </row>
    <row r="132" spans="1:11" x14ac:dyDescent="0.3">
      <c r="A132" s="175">
        <f>'Rumus Plafond + Atrib PP10 (2)'!O120</f>
        <v>117</v>
      </c>
      <c r="B132" s="179">
        <f ca="1">IF(A132&lt;=Simulasi!$B$11,DATE(YEAR(B131),MONTH(B131)+1,1),"")</f>
        <v>49857</v>
      </c>
      <c r="C132" s="180">
        <f ca="1">IF(A132&lt;=Simulasi!$B$11,'Rumus Plafond + Atrib PP3'!P120,"")</f>
        <v>175947366.34883848</v>
      </c>
      <c r="D132" s="180">
        <f ca="1">IFERROR('Rumus Plafond + Atrib PP3'!R120,"")</f>
        <v>1576163.0439065758</v>
      </c>
      <c r="E132" s="181">
        <f t="shared" ca="1" si="4"/>
        <v>0.98246403086606926</v>
      </c>
      <c r="F132" s="181">
        <f t="shared" ca="1" si="5"/>
        <v>1.7535969133930743E-2</v>
      </c>
      <c r="G132" s="180">
        <f ca="1">IFERROR('Rumus Plafond + Atrib PP3'!R120,"")</f>
        <v>1576163.0439065758</v>
      </c>
      <c r="H132" s="180">
        <f ca="1">IFERROR('Rumus Plafond + Atrib PP3'!Q120,"")</f>
        <v>28132.883871201891</v>
      </c>
      <c r="I132" s="181">
        <f t="shared" ca="1" si="6"/>
        <v>0.50270676099668132</v>
      </c>
      <c r="J132" s="181">
        <f t="shared" ca="1" si="7"/>
        <v>0.49729323900331862</v>
      </c>
      <c r="K132" s="180">
        <f ca="1">IFERROR('Rumus Plafond + Atrib PP3'!S120,"")</f>
        <v>1604295.9277777777</v>
      </c>
    </row>
    <row r="133" spans="1:11" x14ac:dyDescent="0.3">
      <c r="A133" s="175">
        <f>'Rumus Plafond + Atrib PP10 (2)'!O121</f>
        <v>118</v>
      </c>
      <c r="B133" s="179">
        <f ca="1">IF(A133&lt;=Simulasi!$B$11,DATE(YEAR(B132),MONTH(B132)+1,1),"")</f>
        <v>49888</v>
      </c>
      <c r="C133" s="180">
        <f ca="1">IF(A133&lt;=Simulasi!$B$11,'Rumus Plafond + Atrib PP3'!P121,"")</f>
        <v>175918981.48664036</v>
      </c>
      <c r="D133" s="180">
        <f ca="1">IFERROR('Rumus Plafond + Atrib PP3'!R121,"")</f>
        <v>1575911.0655796516</v>
      </c>
      <c r="E133" s="181">
        <f t="shared" ca="1" si="4"/>
        <v>0.98230696612348578</v>
      </c>
      <c r="F133" s="181">
        <f t="shared" ca="1" si="5"/>
        <v>1.7693033876514223E-2</v>
      </c>
      <c r="G133" s="180">
        <f ca="1">IFERROR('Rumus Plafond + Atrib PP3'!R121,"")</f>
        <v>1575911.0655796516</v>
      </c>
      <c r="H133" s="180">
        <f ca="1">IFERROR('Rumus Plafond + Atrib PP3'!Q121,"")</f>
        <v>28384.862198126037</v>
      </c>
      <c r="I133" s="181">
        <f t="shared" ca="1" si="6"/>
        <v>0.50262566139040099</v>
      </c>
      <c r="J133" s="181">
        <f t="shared" ca="1" si="7"/>
        <v>0.49737433860959895</v>
      </c>
      <c r="K133" s="180">
        <f ca="1">IFERROR('Rumus Plafond + Atrib PP3'!S121,"")</f>
        <v>1604295.9277777777</v>
      </c>
    </row>
    <row r="134" spans="1:11" x14ac:dyDescent="0.3">
      <c r="A134" s="175">
        <f>'Rumus Plafond + Atrib PP10 (2)'!O122</f>
        <v>119</v>
      </c>
      <c r="B134" s="179">
        <f ca="1">IF(A134&lt;=Simulasi!$B$11,DATE(YEAR(B133),MONTH(B133)+1,1),"")</f>
        <v>49919</v>
      </c>
      <c r="C134" s="180">
        <f ca="1">IF(A134&lt;=Simulasi!$B$11,'Rumus Plafond + Atrib PP3'!P122,"")</f>
        <v>175890342.38921633</v>
      </c>
      <c r="D134" s="180">
        <f ca="1">IFERROR('Rumus Plafond + Atrib PP3'!R122,"")</f>
        <v>1575656.8303537357</v>
      </c>
      <c r="E134" s="181">
        <f t="shared" ca="1" si="4"/>
        <v>0.98214849459618592</v>
      </c>
      <c r="F134" s="181">
        <f t="shared" ca="1" si="5"/>
        <v>1.7851505403814097E-2</v>
      </c>
      <c r="G134" s="180">
        <f ca="1">IFERROR('Rumus Plafond + Atrib PP3'!R122,"")</f>
        <v>1575656.8303537357</v>
      </c>
      <c r="H134" s="180">
        <f ca="1">IFERROR('Rumus Plafond + Atrib PP3'!Q122,"")</f>
        <v>28639.097424041945</v>
      </c>
      <c r="I134" s="181">
        <f t="shared" ca="1" si="6"/>
        <v>0.50254383539776093</v>
      </c>
      <c r="J134" s="181">
        <f t="shared" ca="1" si="7"/>
        <v>0.49745616460223907</v>
      </c>
      <c r="K134" s="180">
        <f ca="1">IFERROR('Rumus Plafond + Atrib PP3'!S122,"")</f>
        <v>1604295.9277777777</v>
      </c>
    </row>
    <row r="135" spans="1:11" x14ac:dyDescent="0.3">
      <c r="A135" s="175">
        <f>'Rumus Plafond + Atrib PP10 (2)'!O123</f>
        <v>120</v>
      </c>
      <c r="B135" s="179">
        <f ca="1">IF(A135&lt;=Simulasi!$B$11,DATE(YEAR(B134),MONTH(B134)+1,1),"")</f>
        <v>49949</v>
      </c>
      <c r="C135" s="180">
        <f ca="1">IF(A135&lt;=Simulasi!$B$11,'Rumus Plafond + Atrib PP3'!P123,"")</f>
        <v>175861446.77945298</v>
      </c>
      <c r="D135" s="180">
        <f ca="1">IFERROR('Rumus Plafond + Atrib PP3'!R123,"")</f>
        <v>1575400.3180144189</v>
      </c>
      <c r="E135" s="181">
        <f t="shared" ca="1" si="4"/>
        <v>0.98198860368399488</v>
      </c>
      <c r="F135" s="181">
        <f t="shared" ca="1" si="5"/>
        <v>1.8011396316005145E-2</v>
      </c>
      <c r="G135" s="180">
        <f ca="1">IFERROR('Rumus Plafond + Atrib PP3'!R123,"")</f>
        <v>1575400.3180144189</v>
      </c>
      <c r="H135" s="180">
        <f ca="1">IFERROR('Rumus Plafond + Atrib PP3'!Q123,"")</f>
        <v>28895.60976335872</v>
      </c>
      <c r="I135" s="181">
        <f t="shared" ca="1" si="6"/>
        <v>0.50246127651272277</v>
      </c>
      <c r="J135" s="181">
        <f t="shared" ca="1" si="7"/>
        <v>0.49753872348727718</v>
      </c>
      <c r="K135" s="180">
        <f ca="1">IFERROR('Rumus Plafond + Atrib PP3'!S123,"")</f>
        <v>1604295.9277777777</v>
      </c>
    </row>
    <row r="136" spans="1:11" x14ac:dyDescent="0.3">
      <c r="A136" s="175">
        <f>'Rumus Plafond + Atrib PP10 (2)'!O124</f>
        <v>121</v>
      </c>
      <c r="B136" s="179">
        <f ca="1">IF(A136&lt;=Simulasi!$B$11,DATE(YEAR(B135),MONTH(B135)+1,1),"")</f>
        <v>49980</v>
      </c>
      <c r="C136" s="180">
        <f ca="1">IF(A136&lt;=Simulasi!$B$11,'Rumus Plafond + Atrib PP3'!P124,"")</f>
        <v>173821729.12379467</v>
      </c>
      <c r="D136" s="180">
        <f ca="1">IFERROR('Rumus Plafond + Atrib PP3'!R124,"")</f>
        <v>2053182.3911501134</v>
      </c>
      <c r="E136" s="181">
        <f t="shared" ca="1" si="4"/>
        <v>0.50164488936179852</v>
      </c>
      <c r="F136" s="181">
        <f t="shared" ca="1" si="5"/>
        <v>0.49835511063820143</v>
      </c>
      <c r="G136" s="180">
        <f ca="1">IFERROR('Rumus Plafond + Atrib PP3'!R124,"")</f>
        <v>2053182.3911501134</v>
      </c>
      <c r="H136" s="180">
        <f ca="1">IFERROR('Rumus Plafond + Atrib PP3'!Q124,"")</f>
        <v>2039717.6556583133</v>
      </c>
      <c r="I136" s="181">
        <f t="shared" ca="1" si="6"/>
        <v>0.4966335117822705</v>
      </c>
      <c r="J136" s="181">
        <f t="shared" ca="1" si="7"/>
        <v>0.50336648821772945</v>
      </c>
      <c r="K136" s="180">
        <f ca="1">IFERROR('Rumus Plafond + Atrib PP3'!S124,"")</f>
        <v>4092900.0468084267</v>
      </c>
    </row>
    <row r="137" spans="1:11" x14ac:dyDescent="0.3">
      <c r="A137" s="175">
        <f>'Rumus Plafond + Atrib PP10 (2)'!O125</f>
        <v>122</v>
      </c>
      <c r="B137" s="179">
        <f ca="1">IF(A137&lt;=Simulasi!$B$11,DATE(YEAR(B136),MONTH(B136)+1,1),"")</f>
        <v>50010</v>
      </c>
      <c r="C137" s="180">
        <f ca="1">IF(A137&lt;=Simulasi!$B$11,'Rumus Plafond + Atrib PP3'!P125,"")</f>
        <v>171758197.76450655</v>
      </c>
      <c r="D137" s="180">
        <f ca="1">IFERROR('Rumus Plafond + Atrib PP3'!R125,"")</f>
        <v>2029368.6875203028</v>
      </c>
      <c r="E137" s="181">
        <f t="shared" ca="1" si="4"/>
        <v>0.49582659344509761</v>
      </c>
      <c r="F137" s="181">
        <f t="shared" ca="1" si="5"/>
        <v>0.50417340655490239</v>
      </c>
      <c r="G137" s="180">
        <f ca="1">IFERROR('Rumus Plafond + Atrib PP3'!R125,"")</f>
        <v>2029368.6875203028</v>
      </c>
      <c r="H137" s="180">
        <f ca="1">IFERROR('Rumus Plafond + Atrib PP3'!Q125,"")</f>
        <v>2063531.3592881239</v>
      </c>
      <c r="I137" s="181">
        <f t="shared" ca="1" si="6"/>
        <v>0.49073770789859011</v>
      </c>
      <c r="J137" s="181">
        <f t="shared" ca="1" si="7"/>
        <v>0.50926229210140983</v>
      </c>
      <c r="K137" s="180">
        <f ca="1">IFERROR('Rumus Plafond + Atrib PP3'!S125,"")</f>
        <v>4092900.0468084267</v>
      </c>
    </row>
    <row r="138" spans="1:11" x14ac:dyDescent="0.3">
      <c r="A138" s="175">
        <f>'Rumus Plafond + Atrib PP10 (2)'!O126</f>
        <v>123</v>
      </c>
      <c r="B138" s="179">
        <f ca="1">IF(A138&lt;=Simulasi!$B$11,DATE(YEAR(B137),MONTH(B137)+1,1),"")</f>
        <v>50041</v>
      </c>
      <c r="C138" s="180">
        <f ca="1">IF(A138&lt;=Simulasi!$B$11,'Rumus Plafond + Atrib PP3'!P126,"")</f>
        <v>169670574.67659873</v>
      </c>
      <c r="D138" s="180">
        <f ca="1">IFERROR('Rumus Plafond + Atrib PP3'!R126,"")</f>
        <v>2005276.9589006139</v>
      </c>
      <c r="E138" s="181">
        <f t="shared" ca="1" si="4"/>
        <v>0.48994036892356913</v>
      </c>
      <c r="F138" s="181">
        <f t="shared" ca="1" si="5"/>
        <v>0.51005963107643082</v>
      </c>
      <c r="G138" s="180">
        <f ca="1">IFERROR('Rumus Plafond + Atrib PP3'!R126,"")</f>
        <v>2005276.9589006139</v>
      </c>
      <c r="H138" s="180">
        <f ca="1">IFERROR('Rumus Plafond + Atrib PP3'!Q126,"")</f>
        <v>2087623.0879078128</v>
      </c>
      <c r="I138" s="181">
        <f t="shared" ca="1" si="6"/>
        <v>0.4847730705045678</v>
      </c>
      <c r="J138" s="181">
        <f t="shared" ca="1" si="7"/>
        <v>0.51522692949543225</v>
      </c>
      <c r="K138" s="180">
        <f ca="1">IFERROR('Rumus Plafond + Atrib PP3'!S126,"")</f>
        <v>4092900.0468084267</v>
      </c>
    </row>
    <row r="139" spans="1:11" x14ac:dyDescent="0.3">
      <c r="A139" s="175">
        <f>'Rumus Plafond + Atrib PP10 (2)'!O127</f>
        <v>124</v>
      </c>
      <c r="B139" s="179">
        <f ca="1">IF(A139&lt;=Simulasi!$B$11,DATE(YEAR(B138),MONTH(B138)+1,1),"")</f>
        <v>50072</v>
      </c>
      <c r="C139" s="180">
        <f ca="1">IF(A139&lt;=Simulasi!$B$11,'Rumus Plafond + Atrib PP3'!P127,"")</f>
        <v>167558578.58913958</v>
      </c>
      <c r="D139" s="180">
        <f ca="1">IFERROR('Rumus Plafond + Atrib PP3'!R127,"")</f>
        <v>1980903.9593492902</v>
      </c>
      <c r="E139" s="181">
        <f t="shared" ca="1" si="4"/>
        <v>0.48398542273075179</v>
      </c>
      <c r="F139" s="181">
        <f t="shared" ca="1" si="5"/>
        <v>0.51601457726924826</v>
      </c>
      <c r="G139" s="180">
        <f ca="1">IFERROR('Rumus Plafond + Atrib PP3'!R127,"")</f>
        <v>1980903.9593492902</v>
      </c>
      <c r="H139" s="180">
        <f ca="1">IFERROR('Rumus Plafond + Atrib PP3'!Q127,"")</f>
        <v>2111996.0874591367</v>
      </c>
      <c r="I139" s="181">
        <f t="shared" ca="1" si="6"/>
        <v>0.47873879596897023</v>
      </c>
      <c r="J139" s="181">
        <f t="shared" ca="1" si="7"/>
        <v>0.52126120403102982</v>
      </c>
      <c r="K139" s="180">
        <f ca="1">IFERROR('Rumus Plafond + Atrib PP3'!S127,"")</f>
        <v>4092900.0468084267</v>
      </c>
    </row>
    <row r="140" spans="1:11" x14ac:dyDescent="0.3">
      <c r="A140" s="175">
        <f>'Rumus Plafond + Atrib PP10 (2)'!O128</f>
        <v>125</v>
      </c>
      <c r="B140" s="179">
        <f ca="1">IF(A140&lt;=Simulasi!$B$11,DATE(YEAR(B139),MONTH(B139)+1,1),"")</f>
        <v>50100</v>
      </c>
      <c r="C140" s="180">
        <f ca="1">IF(A140&lt;=Simulasi!$B$11,'Rumus Plafond + Atrib PP3'!P128,"")</f>
        <v>165421924.94735935</v>
      </c>
      <c r="D140" s="180">
        <f ca="1">IFERROR('Rumus Plafond + Atrib PP3'!R128,"")</f>
        <v>1956246.4050282047</v>
      </c>
      <c r="E140" s="181">
        <f t="shared" ca="1" si="4"/>
        <v>0.4779609525411333</v>
      </c>
      <c r="F140" s="181">
        <f t="shared" ca="1" si="5"/>
        <v>0.52203904745886665</v>
      </c>
      <c r="G140" s="180">
        <f ca="1">IFERROR('Rumus Plafond + Atrib PP3'!R128,"")</f>
        <v>1956246.4050282047</v>
      </c>
      <c r="H140" s="180">
        <f ca="1">IFERROR('Rumus Plafond + Atrib PP3'!Q128,"")</f>
        <v>2136653.6417802218</v>
      </c>
      <c r="I140" s="181">
        <f t="shared" ca="1" si="6"/>
        <v>0.47263407127816959</v>
      </c>
      <c r="J140" s="181">
        <f t="shared" ca="1" si="7"/>
        <v>0.52736592872183041</v>
      </c>
      <c r="K140" s="180">
        <f ca="1">IFERROR('Rumus Plafond + Atrib PP3'!S128,"")</f>
        <v>4092900.0468084267</v>
      </c>
    </row>
    <row r="141" spans="1:11" x14ac:dyDescent="0.3">
      <c r="A141" s="175">
        <f>'Rumus Plafond + Atrib PP10 (2)'!O129</f>
        <v>126</v>
      </c>
      <c r="B141" s="179">
        <f ca="1">IF(A141&lt;=Simulasi!$B$11,DATE(YEAR(B140),MONTH(B140)+1,1),"")</f>
        <v>50131</v>
      </c>
      <c r="C141" s="180">
        <f ca="1">IF(A141&lt;=Simulasi!$B$11,'Rumus Plafond + Atrib PP3'!P129,"")</f>
        <v>163260325.87431136</v>
      </c>
      <c r="D141" s="180">
        <f ca="1">IFERROR('Rumus Plafond + Atrib PP3'!R129,"")</f>
        <v>1931300.9737604205</v>
      </c>
      <c r="E141" s="181">
        <f t="shared" ca="1" si="4"/>
        <v>0.47186614666205101</v>
      </c>
      <c r="F141" s="181">
        <f t="shared" ca="1" si="5"/>
        <v>0.52813385333794904</v>
      </c>
      <c r="G141" s="180">
        <f ca="1">IFERROR('Rumus Plafond + Atrib PP3'!R129,"")</f>
        <v>1931300.9737604205</v>
      </c>
      <c r="H141" s="180">
        <f ca="1">IFERROR('Rumus Plafond + Atrib PP3'!Q129,"")</f>
        <v>2161599.0730480063</v>
      </c>
      <c r="I141" s="181">
        <f t="shared" ca="1" si="6"/>
        <v>0.46645807392660388</v>
      </c>
      <c r="J141" s="181">
        <f t="shared" ca="1" si="7"/>
        <v>0.53354192607339612</v>
      </c>
      <c r="K141" s="180">
        <f ca="1">IFERROR('Rumus Plafond + Atrib PP3'!S129,"")</f>
        <v>4092900.0468084267</v>
      </c>
    </row>
    <row r="142" spans="1:11" x14ac:dyDescent="0.3">
      <c r="A142" s="175">
        <f>'Rumus Plafond + Atrib PP10 (2)'!O130</f>
        <v>127</v>
      </c>
      <c r="B142" s="179">
        <f ca="1">IF(A142&lt;=Simulasi!$B$11,DATE(YEAR(B141),MONTH(B141)+1,1),"")</f>
        <v>50161</v>
      </c>
      <c r="C142" s="180">
        <f ca="1">IF(A142&lt;=Simulasi!$B$11,'Rumus Plafond + Atrib PP3'!P130,"")</f>
        <v>161073490.1320855</v>
      </c>
      <c r="D142" s="180">
        <f ca="1">IFERROR('Rumus Plafond + Atrib PP3'!R130,"")</f>
        <v>1906064.3045825853</v>
      </c>
      <c r="E142" s="181">
        <f t="shared" ca="1" si="4"/>
        <v>0.46570018392433055</v>
      </c>
      <c r="F142" s="181">
        <f t="shared" ca="1" si="5"/>
        <v>0.53429981607566956</v>
      </c>
      <c r="G142" s="180">
        <f ca="1">IFERROR('Rumus Plafond + Atrib PP3'!R130,"")</f>
        <v>1906064.3045825853</v>
      </c>
      <c r="H142" s="180">
        <f ca="1">IFERROR('Rumus Plafond + Atrib PP3'!Q130,"")</f>
        <v>2186835.7422258416</v>
      </c>
      <c r="I142" s="181">
        <f t="shared" ca="1" si="6"/>
        <v>0.46020997180595857</v>
      </c>
      <c r="J142" s="181">
        <f t="shared" ca="1" si="7"/>
        <v>0.53979002819404143</v>
      </c>
      <c r="K142" s="180">
        <f ca="1">IFERROR('Rumus Plafond + Atrib PP3'!S130,"")</f>
        <v>4092900.0468084267</v>
      </c>
    </row>
    <row r="143" spans="1:11" x14ac:dyDescent="0.3">
      <c r="A143" s="175">
        <f>'Rumus Plafond + Atrib PP10 (2)'!O131</f>
        <v>128</v>
      </c>
      <c r="B143" s="179">
        <f ca="1">IF(A143&lt;=Simulasi!$B$11,DATE(YEAR(B142),MONTH(B142)+1,1),"")</f>
        <v>50192</v>
      </c>
      <c r="C143" s="180">
        <f ca="1">IF(A143&lt;=Simulasi!$B$11,'Rumus Plafond + Atrib PP3'!P131,"")</f>
        <v>158861123.08256918</v>
      </c>
      <c r="D143" s="180">
        <f ca="1">IFERROR('Rumus Plafond + Atrib PP3'!R131,"")</f>
        <v>1880532.9972920984</v>
      </c>
      <c r="E143" s="181">
        <f t="shared" ca="1" si="4"/>
        <v>0.45946223357164701</v>
      </c>
      <c r="F143" s="181">
        <f t="shared" ca="1" si="5"/>
        <v>0.54053776642835305</v>
      </c>
      <c r="G143" s="180">
        <f ca="1">IFERROR('Rumus Plafond + Atrib PP3'!R131,"")</f>
        <v>1880532.9972920984</v>
      </c>
      <c r="H143" s="180">
        <f ca="1">IFERROR('Rumus Plafond + Atrib PP3'!Q131,"")</f>
        <v>2212367.0495163286</v>
      </c>
      <c r="I143" s="181">
        <f t="shared" ca="1" si="6"/>
        <v>0.45388892309305479</v>
      </c>
      <c r="J143" s="181">
        <f t="shared" ca="1" si="7"/>
        <v>0.54611107690694516</v>
      </c>
      <c r="K143" s="180">
        <f ca="1">IFERROR('Rumus Plafond + Atrib PP3'!S131,"")</f>
        <v>4092900.0468084267</v>
      </c>
    </row>
    <row r="144" spans="1:11" x14ac:dyDescent="0.3">
      <c r="A144" s="175">
        <f>'Rumus Plafond + Atrib PP10 (2)'!O132</f>
        <v>129</v>
      </c>
      <c r="B144" s="179">
        <f ca="1">IF(A144&lt;=Simulasi!$B$11,DATE(YEAR(B143),MONTH(B143)+1,1),"")</f>
        <v>50222</v>
      </c>
      <c r="C144" s="180">
        <f ca="1">IF(A144&lt;=Simulasi!$B$11,'Rumus Plafond + Atrib PP3'!P132,"")</f>
        <v>156622926.64774975</v>
      </c>
      <c r="D144" s="180">
        <f ca="1">IFERROR('Rumus Plafond + Atrib PP3'!R132,"")</f>
        <v>1854703.6119889952</v>
      </c>
      <c r="E144" s="181">
        <f t="shared" ca="1" si="4"/>
        <v>0.45315145514859601</v>
      </c>
      <c r="F144" s="181">
        <f t="shared" ca="1" si="5"/>
        <v>0.54684854485140399</v>
      </c>
      <c r="G144" s="180">
        <f ca="1">IFERROR('Rumus Plafond + Atrib PP3'!R132,"")</f>
        <v>1854703.6119889952</v>
      </c>
      <c r="H144" s="180">
        <f ca="1">IFERROR('Rumus Plafond + Atrib PP3'!Q132,"")</f>
        <v>2238196.4348194315</v>
      </c>
      <c r="I144" s="181">
        <f t="shared" ca="1" si="6"/>
        <v>0.44749407613642789</v>
      </c>
      <c r="J144" s="181">
        <f t="shared" ca="1" si="7"/>
        <v>0.55250592386357211</v>
      </c>
      <c r="K144" s="180">
        <f ca="1">IFERROR('Rumus Plafond + Atrib PP3'!S132,"")</f>
        <v>4092900.0468084267</v>
      </c>
    </row>
    <row r="145" spans="1:11" x14ac:dyDescent="0.3">
      <c r="A145" s="175">
        <f>'Rumus Plafond + Atrib PP10 (2)'!O133</f>
        <v>130</v>
      </c>
      <c r="B145" s="179">
        <f ca="1">IF(A145&lt;=Simulasi!$B$11,DATE(YEAR(B144),MONTH(B144)+1,1),"")</f>
        <v>50253</v>
      </c>
      <c r="C145" s="180">
        <f ca="1">IF(A145&lt;=Simulasi!$B$11,'Rumus Plafond + Atrib PP3'!P133,"")</f>
        <v>154358599.26955381</v>
      </c>
      <c r="D145" s="180">
        <f ca="1">IFERROR('Rumus Plafond + Atrib PP3'!R133,"")</f>
        <v>1828572.6686124783</v>
      </c>
      <c r="E145" s="181">
        <f t="shared" ref="E145:E195" ca="1" si="8">IFERROR(G145/K145,"")</f>
        <v>0.44676699838745582</v>
      </c>
      <c r="F145" s="181">
        <f t="shared" ref="F145:F195" ca="1" si="9">IFERROR(H145/K145,"")</f>
        <v>0.55323300161254418</v>
      </c>
      <c r="G145" s="180">
        <f ca="1">IFERROR('Rumus Plafond + Atrib PP3'!R133,"")</f>
        <v>1828572.6686124783</v>
      </c>
      <c r="H145" s="180">
        <f ca="1">IFERROR('Rumus Plafond + Atrib PP3'!Q133,"")</f>
        <v>2264327.3781959484</v>
      </c>
      <c r="I145" s="181">
        <f t="shared" ref="I145:I195" ca="1" si="10">IFERROR(C145/$D$7,"")</f>
        <v>0.4410245693415823</v>
      </c>
      <c r="J145" s="181">
        <f t="shared" ref="J145:J195" ca="1" si="11">IFERROR(($D$7-C145)/$D$7,"")</f>
        <v>0.5589754306584177</v>
      </c>
      <c r="K145" s="180">
        <f ca="1">IFERROR('Rumus Plafond + Atrib PP3'!S133,"")</f>
        <v>4092900.0468084267</v>
      </c>
    </row>
    <row r="146" spans="1:11" x14ac:dyDescent="0.3">
      <c r="A146" s="175">
        <f>'Rumus Plafond + Atrib PP10 (2)'!O134</f>
        <v>131</v>
      </c>
      <c r="B146" s="179">
        <f ca="1">IF(A146&lt;=Simulasi!$B$11,DATE(YEAR(B145),MONTH(B145)+1,1),"")</f>
        <v>50284</v>
      </c>
      <c r="C146" s="180">
        <f ca="1">IF(A146&lt;=Simulasi!$B$11,'Rumus Plafond + Atrib PP3'!P134,"")</f>
        <v>152067835.86921743</v>
      </c>
      <c r="D146" s="180">
        <f ca="1">IFERROR('Rumus Plafond + Atrib PP3'!R134,"")</f>
        <v>1802136.6464720408</v>
      </c>
      <c r="E146" s="181">
        <f t="shared" ca="1" si="8"/>
        <v>0.44030800309362944</v>
      </c>
      <c r="F146" s="181">
        <f t="shared" ca="1" si="9"/>
        <v>0.5596919969063705</v>
      </c>
      <c r="G146" s="180">
        <f ca="1">IFERROR('Rumus Plafond + Atrib PP3'!R134,"")</f>
        <v>1802136.6464720408</v>
      </c>
      <c r="H146" s="180">
        <f ca="1">IFERROR('Rumus Plafond + Atrib PP3'!Q134,"")</f>
        <v>2290763.4003363857</v>
      </c>
      <c r="I146" s="181">
        <f t="shared" ca="1" si="10"/>
        <v>0.43447953105490694</v>
      </c>
      <c r="J146" s="181">
        <f t="shared" ca="1" si="11"/>
        <v>0.56552046894509311</v>
      </c>
      <c r="K146" s="180">
        <f ca="1">IFERROR('Rumus Plafond + Atrib PP3'!S134,"")</f>
        <v>4092900.0468084267</v>
      </c>
    </row>
    <row r="147" spans="1:11" x14ac:dyDescent="0.3">
      <c r="A147" s="175">
        <f>'Rumus Plafond + Atrib PP10 (2)'!O135</f>
        <v>132</v>
      </c>
      <c r="B147" s="179">
        <f ca="1">IF(A147&lt;=Simulasi!$B$11,DATE(YEAR(B146),MONTH(B146)+1,1),"")</f>
        <v>50314</v>
      </c>
      <c r="C147" s="180">
        <f ca="1">IF(A147&lt;=Simulasi!$B$11,'Rumus Plafond + Atrib PP3'!P135,"")</f>
        <v>149750327.80618212</v>
      </c>
      <c r="D147" s="180">
        <f ca="1">IFERROR('Rumus Plafond + Atrib PP3'!R135,"")</f>
        <v>1775391.9837731135</v>
      </c>
      <c r="E147" s="181">
        <f t="shared" ca="1" si="8"/>
        <v>0.43377359902974755</v>
      </c>
      <c r="F147" s="181">
        <f t="shared" ca="1" si="9"/>
        <v>0.56622640097025234</v>
      </c>
      <c r="G147" s="180">
        <f ca="1">IFERROR('Rumus Plafond + Atrib PP3'!R135,"")</f>
        <v>1775391.9837731135</v>
      </c>
      <c r="H147" s="180">
        <f ca="1">IFERROR('Rumus Plafond + Atrib PP3'!Q135,"")</f>
        <v>2317508.063035313</v>
      </c>
      <c r="I147" s="181">
        <f t="shared" ca="1" si="10"/>
        <v>0.42785807944623461</v>
      </c>
      <c r="J147" s="181">
        <f t="shared" ca="1" si="11"/>
        <v>0.57214192055376534</v>
      </c>
      <c r="K147" s="180">
        <f ca="1">IFERROR('Rumus Plafond + Atrib PP3'!S135,"")</f>
        <v>4092900.0468084267</v>
      </c>
    </row>
    <row r="148" spans="1:11" x14ac:dyDescent="0.3">
      <c r="A148" s="175">
        <f>'Rumus Plafond + Atrib PP10 (2)'!O136</f>
        <v>133</v>
      </c>
      <c r="B148" s="179">
        <f ca="1">IF(A148&lt;=Simulasi!$B$11,DATE(YEAR(B147),MONTH(B147)+1,1),"")</f>
        <v>50345</v>
      </c>
      <c r="C148" s="180">
        <f ca="1">IF(A148&lt;=Simulasi!$B$11,'Rumus Plafond + Atrib PP3'!P136,"")</f>
        <v>147405762.83651087</v>
      </c>
      <c r="D148" s="180">
        <f ca="1">IFERROR('Rumus Plafond + Atrib PP3'!R136,"")</f>
        <v>1748335.0771371762</v>
      </c>
      <c r="E148" s="181">
        <f t="shared" ca="1" si="8"/>
        <v>0.42716290579841987</v>
      </c>
      <c r="F148" s="181">
        <f t="shared" ca="1" si="9"/>
        <v>0.57283709420158013</v>
      </c>
      <c r="G148" s="180">
        <f ca="1">IFERROR('Rumus Plafond + Atrib PP3'!R136,"")</f>
        <v>1748335.0771371762</v>
      </c>
      <c r="H148" s="180">
        <f ca="1">IFERROR('Rumus Plafond + Atrib PP3'!Q136,"")</f>
        <v>2344564.9696712503</v>
      </c>
      <c r="I148" s="181">
        <f t="shared" ca="1" si="10"/>
        <v>0.42115932239003107</v>
      </c>
      <c r="J148" s="181">
        <f t="shared" ca="1" si="11"/>
        <v>0.57884067760996893</v>
      </c>
      <c r="K148" s="180">
        <f ca="1">IFERROR('Rumus Plafond + Atrib PP3'!S136,"")</f>
        <v>4092900.0468084267</v>
      </c>
    </row>
    <row r="149" spans="1:11" x14ac:dyDescent="0.3">
      <c r="A149" s="175">
        <f>'Rumus Plafond + Atrib PP10 (2)'!O137</f>
        <v>134</v>
      </c>
      <c r="B149" s="179">
        <f ca="1">IF(A149&lt;=Simulasi!$B$11,DATE(YEAR(B148),MONTH(B148)+1,1),"")</f>
        <v>50375</v>
      </c>
      <c r="C149" s="180">
        <f ca="1">IF(A149&lt;=Simulasi!$B$11,'Rumus Plafond + Atrib PP3'!P137,"")</f>
        <v>145033825.07081869</v>
      </c>
      <c r="D149" s="180">
        <f ca="1">IFERROR('Rumus Plafond + Atrib PP3'!R137,"")</f>
        <v>1720962.2811162642</v>
      </c>
      <c r="E149" s="181">
        <f t="shared" ca="1" si="8"/>
        <v>0.42047503272361636</v>
      </c>
      <c r="F149" s="181">
        <f t="shared" ca="1" si="9"/>
        <v>0.57952496727638358</v>
      </c>
      <c r="G149" s="180">
        <f ca="1">IFERROR('Rumus Plafond + Atrib PP3'!R137,"")</f>
        <v>1720962.2811162642</v>
      </c>
      <c r="H149" s="180">
        <f ca="1">IFERROR('Rumus Plafond + Atrib PP3'!Q137,"")</f>
        <v>2371937.7656921623</v>
      </c>
      <c r="I149" s="181">
        <f t="shared" ca="1" si="10"/>
        <v>0.41438235734519624</v>
      </c>
      <c r="J149" s="181">
        <f t="shared" ca="1" si="11"/>
        <v>0.58561764265480376</v>
      </c>
      <c r="K149" s="180">
        <f ca="1">IFERROR('Rumus Plafond + Atrib PP3'!S137,"")</f>
        <v>4092900.0468084267</v>
      </c>
    </row>
    <row r="150" spans="1:11" x14ac:dyDescent="0.3">
      <c r="A150" s="175">
        <f>'Rumus Plafond + Atrib PP10 (2)'!O138</f>
        <v>135</v>
      </c>
      <c r="B150" s="179">
        <f ca="1">IF(A150&lt;=Simulasi!$B$11,DATE(YEAR(B149),MONTH(B149)+1,1),"")</f>
        <v>50406</v>
      </c>
      <c r="C150" s="180">
        <f ca="1">IF(A150&lt;=Simulasi!$B$11,'Rumus Plafond + Atrib PP3'!P138,"")</f>
        <v>142634194.93171206</v>
      </c>
      <c r="D150" s="180">
        <f ca="1">IFERROR('Rumus Plafond + Atrib PP3'!R138,"")</f>
        <v>1693269.9077018083</v>
      </c>
      <c r="E150" s="181">
        <f t="shared" ca="1" si="8"/>
        <v>0.41370907873066459</v>
      </c>
      <c r="F150" s="181">
        <f t="shared" ca="1" si="9"/>
        <v>0.58629092126933535</v>
      </c>
      <c r="G150" s="180">
        <f ca="1">IFERROR('Rumus Plafond + Atrib PP3'!R138,"")</f>
        <v>1693269.9077018083</v>
      </c>
      <c r="H150" s="180">
        <f ca="1">IFERROR('Rumus Plafond + Atrib PP3'!Q138,"")</f>
        <v>2399630.1391066182</v>
      </c>
      <c r="I150" s="181">
        <f t="shared" ca="1" si="10"/>
        <v>0.40752627123346302</v>
      </c>
      <c r="J150" s="181">
        <f t="shared" ca="1" si="11"/>
        <v>0.59247372876653692</v>
      </c>
      <c r="K150" s="180">
        <f ca="1">IFERROR('Rumus Plafond + Atrib PP3'!S138,"")</f>
        <v>4092900.0468084267</v>
      </c>
    </row>
    <row r="151" spans="1:11" x14ac:dyDescent="0.3">
      <c r="A151" s="175">
        <f>'Rumus Plafond + Atrib PP10 (2)'!O139</f>
        <v>136</v>
      </c>
      <c r="B151" s="179">
        <f ca="1">IF(A151&lt;=Simulasi!$B$11,DATE(YEAR(B150),MONTH(B150)+1,1),"")</f>
        <v>50437</v>
      </c>
      <c r="C151" s="180">
        <f ca="1">IF(A151&lt;=Simulasi!$B$11,'Rumus Plafond + Atrib PP3'!P139,"")</f>
        <v>140206549.11073136</v>
      </c>
      <c r="D151" s="180">
        <f ca="1">IFERROR('Rumus Plafond + Atrib PP3'!R139,"")</f>
        <v>1665254.2258277384</v>
      </c>
      <c r="E151" s="181">
        <f t="shared" ca="1" si="8"/>
        <v>0.40686413222484508</v>
      </c>
      <c r="F151" s="181">
        <f t="shared" ca="1" si="9"/>
        <v>0.59313586777515492</v>
      </c>
      <c r="G151" s="180">
        <f ca="1">IFERROR('Rumus Plafond + Atrib PP3'!R139,"")</f>
        <v>1665254.2258277384</v>
      </c>
      <c r="H151" s="180">
        <f ca="1">IFERROR('Rumus Plafond + Atrib PP3'!Q139,"")</f>
        <v>2427645.8209806886</v>
      </c>
      <c r="I151" s="181">
        <f t="shared" ca="1" si="10"/>
        <v>0.4005901403163753</v>
      </c>
      <c r="J151" s="181">
        <f t="shared" ca="1" si="11"/>
        <v>0.5994098596836247</v>
      </c>
      <c r="K151" s="180">
        <f ca="1">IFERROR('Rumus Plafond + Atrib PP3'!S139,"")</f>
        <v>4092900.0468084267</v>
      </c>
    </row>
    <row r="152" spans="1:11" x14ac:dyDescent="0.3">
      <c r="A152" s="175">
        <f>'Rumus Plafond + Atrib PP10 (2)'!O140</f>
        <v>137</v>
      </c>
      <c r="B152" s="179">
        <f ca="1">IF(A152&lt;=Simulasi!$B$11,DATE(YEAR(B151),MONTH(B151)+1,1),"")</f>
        <v>50465</v>
      </c>
      <c r="C152" s="180">
        <f ca="1">IF(A152&lt;=Simulasi!$B$11,'Rumus Plafond + Atrib PP3'!P140,"")</f>
        <v>137750560.52479073</v>
      </c>
      <c r="D152" s="180">
        <f ca="1">IFERROR('Rumus Plafond + Atrib PP3'!R140,"")</f>
        <v>1636911.4608677886</v>
      </c>
      <c r="E152" s="181">
        <f t="shared" ca="1" si="8"/>
        <v>0.39993927096857013</v>
      </c>
      <c r="F152" s="181">
        <f t="shared" ca="1" si="9"/>
        <v>0.60006072903142993</v>
      </c>
      <c r="G152" s="180">
        <f ca="1">IFERROR('Rumus Plafond + Atrib PP3'!R140,"")</f>
        <v>1636911.4608677886</v>
      </c>
      <c r="H152" s="180">
        <f ca="1">IFERROR('Rumus Plafond + Atrib PP3'!Q140,"")</f>
        <v>2455988.5859406381</v>
      </c>
      <c r="I152" s="181">
        <f t="shared" ca="1" si="10"/>
        <v>0.39357303007083067</v>
      </c>
      <c r="J152" s="181">
        <f t="shared" ca="1" si="11"/>
        <v>0.60642696992916933</v>
      </c>
      <c r="K152" s="180">
        <f ca="1">IFERROR('Rumus Plafond + Atrib PP3'!S140,"")</f>
        <v>4092900.0468084267</v>
      </c>
    </row>
    <row r="153" spans="1:11" x14ac:dyDescent="0.3">
      <c r="A153" s="175">
        <f>'Rumus Plafond + Atrib PP10 (2)'!O141</f>
        <v>138</v>
      </c>
      <c r="B153" s="179">
        <f ca="1">IF(A153&lt;=Simulasi!$B$11,DATE(YEAR(B152),MONTH(B152)+1,1),"")</f>
        <v>50496</v>
      </c>
      <c r="C153" s="180">
        <f ca="1">IF(A153&lt;=Simulasi!$B$11,'Rumus Plafond + Atrib PP3'!P141,"")</f>
        <v>135265898.27210924</v>
      </c>
      <c r="D153" s="180">
        <f ca="1">IFERROR('Rumus Plafond + Atrib PP3'!R141,"")</f>
        <v>1608237.7941269318</v>
      </c>
      <c r="E153" s="181">
        <f t="shared" ca="1" si="8"/>
        <v>0.3929335619571282</v>
      </c>
      <c r="F153" s="181">
        <f t="shared" ca="1" si="9"/>
        <v>0.60706643804287175</v>
      </c>
      <c r="G153" s="180">
        <f ca="1">IFERROR('Rumus Plafond + Atrib PP3'!R141,"")</f>
        <v>1608237.7941269318</v>
      </c>
      <c r="H153" s="180">
        <f ca="1">IFERROR('Rumus Plafond + Atrib PP3'!Q141,"")</f>
        <v>2484662.2526814947</v>
      </c>
      <c r="I153" s="181">
        <f t="shared" ca="1" si="10"/>
        <v>0.38647399506316926</v>
      </c>
      <c r="J153" s="181">
        <f t="shared" ca="1" si="11"/>
        <v>0.61352600493683074</v>
      </c>
      <c r="K153" s="180">
        <f ca="1">IFERROR('Rumus Plafond + Atrib PP3'!S141,"")</f>
        <v>4092900.0468084267</v>
      </c>
    </row>
    <row r="154" spans="1:11" x14ac:dyDescent="0.3">
      <c r="A154" s="175">
        <f>'Rumus Plafond + Atrib PP10 (2)'!O142</f>
        <v>139</v>
      </c>
      <c r="B154" s="179">
        <f ca="1">IF(A154&lt;=Simulasi!$B$11,DATE(YEAR(B153),MONTH(B153)+1,1),"")</f>
        <v>50526</v>
      </c>
      <c r="C154" s="180">
        <f ca="1">IF(A154&lt;=Simulasi!$B$11,'Rumus Plafond + Atrib PP3'!P142,"")</f>
        <v>132752227.58762769</v>
      </c>
      <c r="D154" s="180">
        <f ca="1">IFERROR('Rumus Plafond + Atrib PP3'!R142,"")</f>
        <v>1579229.3623268753</v>
      </c>
      <c r="E154" s="181">
        <f t="shared" ca="1" si="8"/>
        <v>0.38584606129297766</v>
      </c>
      <c r="F154" s="181">
        <f t="shared" ca="1" si="9"/>
        <v>0.6141539387070224</v>
      </c>
      <c r="G154" s="180">
        <f ca="1">IFERROR('Rumus Plafond + Atrib PP3'!R142,"")</f>
        <v>1579229.3623268753</v>
      </c>
      <c r="H154" s="180">
        <f ca="1">IFERROR('Rumus Plafond + Atrib PP3'!Q142,"")</f>
        <v>2513670.6844815514</v>
      </c>
      <c r="I154" s="181">
        <f t="shared" ca="1" si="10"/>
        <v>0.37929207882179339</v>
      </c>
      <c r="J154" s="181">
        <f t="shared" ca="1" si="11"/>
        <v>0.6207079211782065</v>
      </c>
      <c r="K154" s="180">
        <f ca="1">IFERROR('Rumus Plafond + Atrib PP3'!S142,"")</f>
        <v>4092900.0468084267</v>
      </c>
    </row>
    <row r="155" spans="1:11" x14ac:dyDescent="0.3">
      <c r="A155" s="175">
        <f>'Rumus Plafond + Atrib PP10 (2)'!O143</f>
        <v>140</v>
      </c>
      <c r="B155" s="179">
        <f ca="1">IF(A155&lt;=Simulasi!$B$11,DATE(YEAR(B154),MONTH(B154)+1,1),"")</f>
        <v>50557</v>
      </c>
      <c r="C155" s="180">
        <f ca="1">IF(A155&lt;=Simulasi!$B$11,'Rumus Plafond + Atrib PP3'!P143,"")</f>
        <v>130209209.79790482</v>
      </c>
      <c r="D155" s="180">
        <f ca="1">IFERROR('Rumus Plafond + Atrib PP3'!R143,"")</f>
        <v>1549882.2570855534</v>
      </c>
      <c r="E155" s="181">
        <f t="shared" ca="1" si="8"/>
        <v>0.3786758140585732</v>
      </c>
      <c r="F155" s="181">
        <f t="shared" ca="1" si="9"/>
        <v>0.6213241859414268</v>
      </c>
      <c r="G155" s="180">
        <f ca="1">IFERROR('Rumus Plafond + Atrib PP3'!R143,"")</f>
        <v>1549882.2570855534</v>
      </c>
      <c r="H155" s="180">
        <f ca="1">IFERROR('Rumus Plafond + Atrib PP3'!Q143,"")</f>
        <v>2543017.7897228734</v>
      </c>
      <c r="I155" s="181">
        <f t="shared" ca="1" si="10"/>
        <v>0.37202631370829947</v>
      </c>
      <c r="J155" s="181">
        <f t="shared" ca="1" si="11"/>
        <v>0.62797368629170047</v>
      </c>
      <c r="K155" s="180">
        <f ca="1">IFERROR('Rumus Plafond + Atrib PP3'!S143,"")</f>
        <v>4092900.0468084267</v>
      </c>
    </row>
    <row r="156" spans="1:11" x14ac:dyDescent="0.3">
      <c r="A156" s="175">
        <f>'Rumus Plafond + Atrib PP10 (2)'!O144</f>
        <v>141</v>
      </c>
      <c r="B156" s="179">
        <f ca="1">IF(A156&lt;=Simulasi!$B$11,DATE(YEAR(B155),MONTH(B155)+1,1),"")</f>
        <v>50587</v>
      </c>
      <c r="C156" s="180">
        <f ca="1">IF(A156&lt;=Simulasi!$B$11,'Rumus Plafond + Atrib PP3'!P144,"")</f>
        <v>127636502.27548693</v>
      </c>
      <c r="D156" s="180">
        <f ca="1">IFERROR('Rumus Plafond + Atrib PP3'!R144,"")</f>
        <v>1520192.5243905389</v>
      </c>
      <c r="E156" s="181">
        <f t="shared" ca="1" si="8"/>
        <v>0.37142185418770707</v>
      </c>
      <c r="F156" s="181">
        <f t="shared" ca="1" si="9"/>
        <v>0.62857814581229299</v>
      </c>
      <c r="G156" s="180">
        <f ca="1">IFERROR('Rumus Plafond + Atrib PP3'!R144,"")</f>
        <v>1520192.5243905389</v>
      </c>
      <c r="H156" s="180">
        <f ca="1">IFERROR('Rumus Plafond + Atrib PP3'!Q144,"")</f>
        <v>2572707.522417888</v>
      </c>
      <c r="I156" s="181">
        <f t="shared" ca="1" si="10"/>
        <v>0.36467572078710553</v>
      </c>
      <c r="J156" s="181">
        <f t="shared" ca="1" si="11"/>
        <v>0.63532427921289447</v>
      </c>
      <c r="K156" s="180">
        <f ca="1">IFERROR('Rumus Plafond + Atrib PP3'!S144,"")</f>
        <v>4092900.0468084267</v>
      </c>
    </row>
    <row r="157" spans="1:11" x14ac:dyDescent="0.3">
      <c r="A157" s="175">
        <f>'Rumus Plafond + Atrib PP10 (2)'!O145</f>
        <v>142</v>
      </c>
      <c r="B157" s="179">
        <f ca="1">IF(A157&lt;=Simulasi!$B$11,DATE(YEAR(B156),MONTH(B156)+1,1),"")</f>
        <v>50618</v>
      </c>
      <c r="C157" s="180">
        <f ca="1">IF(A157&lt;=Simulasi!$B$11,'Rumus Plafond + Atrib PP3'!P145,"")</f>
        <v>125033758.39274481</v>
      </c>
      <c r="D157" s="180">
        <f ca="1">IFERROR('Rumus Plafond + Atrib PP3'!R145,"")</f>
        <v>1490156.16406631</v>
      </c>
      <c r="E157" s="181">
        <f t="shared" ca="1" si="8"/>
        <v>0.36408320433534852</v>
      </c>
      <c r="F157" s="181">
        <f t="shared" ca="1" si="9"/>
        <v>0.63591679566465142</v>
      </c>
      <c r="G157" s="180">
        <f ca="1">IFERROR('Rumus Plafond + Atrib PP3'!R145,"")</f>
        <v>1490156.16406631</v>
      </c>
      <c r="H157" s="180">
        <f ca="1">IFERROR('Rumus Plafond + Atrib PP3'!Q145,"")</f>
        <v>2602743.8827421167</v>
      </c>
      <c r="I157" s="181">
        <f t="shared" ca="1" si="10"/>
        <v>0.35723930969355661</v>
      </c>
      <c r="J157" s="181">
        <f t="shared" ca="1" si="11"/>
        <v>0.64276069030644345</v>
      </c>
      <c r="K157" s="180">
        <f ca="1">IFERROR('Rumus Plafond + Atrib PP3'!S145,"")</f>
        <v>4092900.0468084267</v>
      </c>
    </row>
    <row r="158" spans="1:11" x14ac:dyDescent="0.3">
      <c r="A158" s="175">
        <f>'Rumus Plafond + Atrib PP10 (2)'!O146</f>
        <v>143</v>
      </c>
      <c r="B158" s="179">
        <f ca="1">IF(A158&lt;=Simulasi!$B$11,DATE(YEAR(B157),MONTH(B157)+1,1),"")</f>
        <v>50649</v>
      </c>
      <c r="C158" s="180">
        <f ca="1">IF(A158&lt;=Simulasi!$B$11,'Rumus Plafond + Atrib PP3'!P146,"")</f>
        <v>122400627.47517169</v>
      </c>
      <c r="D158" s="180">
        <f ca="1">IFERROR('Rumus Plafond + Atrib PP3'!R146,"")</f>
        <v>1459769.1292352956</v>
      </c>
      <c r="E158" s="181">
        <f t="shared" ca="1" si="8"/>
        <v>0.35665887574596367</v>
      </c>
      <c r="F158" s="181">
        <f t="shared" ca="1" si="9"/>
        <v>0.64334112425403633</v>
      </c>
      <c r="G158" s="180">
        <f ca="1">IFERROR('Rumus Plafond + Atrib PP3'!R146,"")</f>
        <v>1459769.1292352956</v>
      </c>
      <c r="H158" s="180">
        <f ca="1">IFERROR('Rumus Plafond + Atrib PP3'!Q146,"")</f>
        <v>2633130.9175731312</v>
      </c>
      <c r="I158" s="181">
        <f t="shared" ca="1" si="10"/>
        <v>0.34971607850049052</v>
      </c>
      <c r="J158" s="181">
        <f t="shared" ca="1" si="11"/>
        <v>0.65028392149950942</v>
      </c>
      <c r="K158" s="180">
        <f ca="1">IFERROR('Rumus Plafond + Atrib PP3'!S146,"")</f>
        <v>4092900.0468084267</v>
      </c>
    </row>
    <row r="159" spans="1:11" x14ac:dyDescent="0.3">
      <c r="A159" s="175">
        <f>'Rumus Plafond + Atrib PP10 (2)'!O147</f>
        <v>144</v>
      </c>
      <c r="B159" s="179">
        <f ca="1">IF(A159&lt;=Simulasi!$B$11,DATE(YEAR(B158),MONTH(B158)+1,1),"")</f>
        <v>50679</v>
      </c>
      <c r="C159" s="180">
        <f ca="1">IF(A159&lt;=Simulasi!$B$11,'Rumus Plafond + Atrib PP3'!P147,"")</f>
        <v>119736754.75413589</v>
      </c>
      <c r="D159" s="180">
        <f ca="1">IFERROR('Rumus Plafond + Atrib PP3'!R147,"")</f>
        <v>1429027.3257726294</v>
      </c>
      <c r="E159" s="181">
        <f t="shared" ca="1" si="8"/>
        <v>0.3491478681202978</v>
      </c>
      <c r="F159" s="181">
        <f t="shared" ca="1" si="9"/>
        <v>0.65085213187970214</v>
      </c>
      <c r="G159" s="180">
        <f ca="1">IFERROR('Rumus Plafond + Atrib PP3'!R147,"")</f>
        <v>1429027.3257726294</v>
      </c>
      <c r="H159" s="180">
        <f ca="1">IFERROR('Rumus Plafond + Atrib PP3'!Q147,"")</f>
        <v>2663872.7210357971</v>
      </c>
      <c r="I159" s="181">
        <f t="shared" ca="1" si="10"/>
        <v>0.34210501358324541</v>
      </c>
      <c r="J159" s="181">
        <f t="shared" ca="1" si="11"/>
        <v>0.65789498641675459</v>
      </c>
      <c r="K159" s="180">
        <f ca="1">IFERROR('Rumus Plafond + Atrib PP3'!S147,"")</f>
        <v>4092900.0468084267</v>
      </c>
    </row>
    <row r="160" spans="1:11" x14ac:dyDescent="0.3">
      <c r="A160" s="175">
        <f>'Rumus Plafond + Atrib PP10 (2)'!O148</f>
        <v>145</v>
      </c>
      <c r="B160" s="179">
        <f ca="1">IF(A160&lt;=Simulasi!$B$11,DATE(YEAR(B159),MONTH(B159)+1,1),"")</f>
        <v>50710</v>
      </c>
      <c r="C160" s="180">
        <f ca="1">IF(A160&lt;=Simulasi!$B$11,'Rumus Plafond + Atrib PP3'!P148,"")</f>
        <v>117041781.31908201</v>
      </c>
      <c r="D160" s="180">
        <f ca="1">IFERROR('Rumus Plafond + Atrib PP3'!R148,"")</f>
        <v>1397926.6117545366</v>
      </c>
      <c r="E160" s="181">
        <f t="shared" ca="1" si="8"/>
        <v>0.34154916948060232</v>
      </c>
      <c r="F160" s="181">
        <f t="shared" ca="1" si="9"/>
        <v>0.65845083051939768</v>
      </c>
      <c r="G160" s="180">
        <f ca="1">IFERROR('Rumus Plafond + Atrib PP3'!R148,"")</f>
        <v>1397926.6117545366</v>
      </c>
      <c r="H160" s="180">
        <f ca="1">IFERROR('Rumus Plafond + Atrib PP3'!Q148,"")</f>
        <v>2694973.4350538901</v>
      </c>
      <c r="I160" s="181">
        <f t="shared" ca="1" si="10"/>
        <v>0.33440508948309144</v>
      </c>
      <c r="J160" s="181">
        <f t="shared" ca="1" si="11"/>
        <v>0.66559491051690856</v>
      </c>
      <c r="K160" s="180">
        <f ca="1">IFERROR('Rumus Plafond + Atrib PP3'!S148,"")</f>
        <v>4092900.0468084267</v>
      </c>
    </row>
    <row r="161" spans="1:11" x14ac:dyDescent="0.3">
      <c r="A161" s="175">
        <f>'Rumus Plafond + Atrib PP10 (2)'!O149</f>
        <v>146</v>
      </c>
      <c r="B161" s="179">
        <f ca="1">IF(A161&lt;=Simulasi!$B$11,DATE(YEAR(B160),MONTH(B160)+1,1),"")</f>
        <v>50740</v>
      </c>
      <c r="C161" s="180">
        <f ca="1">IF(A161&lt;=Simulasi!$B$11,'Rumus Plafond + Atrib PP3'!P149,"")</f>
        <v>114315344.06917386</v>
      </c>
      <c r="D161" s="180">
        <f ca="1">IFERROR('Rumus Plafond + Atrib PP3'!R149,"")</f>
        <v>1366462.7969002824</v>
      </c>
      <c r="E161" s="181">
        <f t="shared" ca="1" si="8"/>
        <v>0.33386175603428836</v>
      </c>
      <c r="F161" s="181">
        <f t="shared" ca="1" si="9"/>
        <v>0.66613824396571164</v>
      </c>
      <c r="G161" s="180">
        <f ca="1">IFERROR('Rumus Plafond + Atrib PP3'!R149,"")</f>
        <v>1366462.7969002824</v>
      </c>
      <c r="H161" s="180">
        <f ca="1">IFERROR('Rumus Plafond + Atrib PP3'!Q149,"")</f>
        <v>2726437.2499081446</v>
      </c>
      <c r="I161" s="181">
        <f t="shared" ca="1" si="10"/>
        <v>0.32661526876906816</v>
      </c>
      <c r="J161" s="181">
        <f t="shared" ca="1" si="11"/>
        <v>0.67338473123093179</v>
      </c>
      <c r="K161" s="180">
        <f ca="1">IFERROR('Rumus Plafond + Atrib PP3'!S149,"")</f>
        <v>4092900.0468084267</v>
      </c>
    </row>
    <row r="162" spans="1:11" x14ac:dyDescent="0.3">
      <c r="A162" s="175">
        <f>'Rumus Plafond + Atrib PP10 (2)'!O150</f>
        <v>147</v>
      </c>
      <c r="B162" s="179">
        <f ca="1">IF(A162&lt;=Simulasi!$B$11,DATE(YEAR(B161),MONTH(B161)+1,1),"")</f>
        <v>50771</v>
      </c>
      <c r="C162" s="180">
        <f ca="1">IF(A162&lt;=Simulasi!$B$11,'Rumus Plafond + Atrib PP3'!P150,"")</f>
        <v>111557075.66437304</v>
      </c>
      <c r="D162" s="180">
        <f ca="1">IFERROR('Rumus Plafond + Atrib PP3'!R150,"")</f>
        <v>1334631.6420076049</v>
      </c>
      <c r="E162" s="181">
        <f t="shared" ca="1" si="8"/>
        <v>0.32608459203598872</v>
      </c>
      <c r="F162" s="181">
        <f t="shared" ca="1" si="9"/>
        <v>0.67391540796401139</v>
      </c>
      <c r="G162" s="180">
        <f ca="1">IFERROR('Rumus Plafond + Atrib PP3'!R150,"")</f>
        <v>1334631.6420076049</v>
      </c>
      <c r="H162" s="180">
        <f ca="1">IFERROR('Rumus Plafond + Atrib PP3'!Q150,"")</f>
        <v>2758268.404800822</v>
      </c>
      <c r="I162" s="181">
        <f t="shared" ca="1" si="10"/>
        <v>0.31873450189820868</v>
      </c>
      <c r="J162" s="181">
        <f t="shared" ca="1" si="11"/>
        <v>0.68126549810179127</v>
      </c>
      <c r="K162" s="180">
        <f ca="1">IFERROR('Rumus Plafond + Atrib PP3'!S150,"")</f>
        <v>4092900.0468084267</v>
      </c>
    </row>
    <row r="163" spans="1:11" x14ac:dyDescent="0.3">
      <c r="A163" s="175">
        <f>'Rumus Plafond + Atrib PP10 (2)'!O151</f>
        <v>148</v>
      </c>
      <c r="B163" s="179">
        <f ca="1">IF(A163&lt;=Simulasi!$B$11,DATE(YEAR(B162),MONTH(B162)+1,1),"")</f>
        <v>50802</v>
      </c>
      <c r="C163" s="180">
        <f ca="1">IF(A163&lt;=Simulasi!$B$11,'Rumus Plafond + Atrib PP3'!P151,"")</f>
        <v>108766604.47594617</v>
      </c>
      <c r="D163" s="180">
        <f ca="1">IFERROR('Rumus Plafond + Atrib PP3'!R151,"")</f>
        <v>1302428.8583815552</v>
      </c>
      <c r="E163" s="181">
        <f t="shared" ca="1" si="8"/>
        <v>0.31821662964800884</v>
      </c>
      <c r="F163" s="181">
        <f t="shared" ca="1" si="9"/>
        <v>0.68178337035199121</v>
      </c>
      <c r="G163" s="180">
        <f ca="1">IFERROR('Rumus Plafond + Atrib PP3'!R151,"")</f>
        <v>1302428.8583815552</v>
      </c>
      <c r="H163" s="180">
        <f ca="1">IFERROR('Rumus Plafond + Atrib PP3'!Q151,"")</f>
        <v>2790471.1884268718</v>
      </c>
      <c r="I163" s="181">
        <f t="shared" ca="1" si="10"/>
        <v>0.31076172707413191</v>
      </c>
      <c r="J163" s="181">
        <f t="shared" ca="1" si="11"/>
        <v>0.68923827292586803</v>
      </c>
      <c r="K163" s="180">
        <f ca="1">IFERROR('Rumus Plafond + Atrib PP3'!S151,"")</f>
        <v>4092900.0468084267</v>
      </c>
    </row>
    <row r="164" spans="1:11" x14ac:dyDescent="0.3">
      <c r="A164" s="175">
        <f>'Rumus Plafond + Atrib PP10 (2)'!O152</f>
        <v>149</v>
      </c>
      <c r="B164" s="179">
        <f ca="1">IF(A164&lt;=Simulasi!$B$11,DATE(YEAR(B163),MONTH(B163)+1,1),"")</f>
        <v>50830</v>
      </c>
      <c r="C164" s="180">
        <f ca="1">IF(A164&lt;=Simulasi!$B$11,'Rumus Plafond + Atrib PP3'!P152,"")</f>
        <v>105943554.53639442</v>
      </c>
      <c r="D164" s="180">
        <f ca="1">IFERROR('Rumus Plafond + Atrib PP3'!R152,"")</f>
        <v>1269850.1072566716</v>
      </c>
      <c r="E164" s="181">
        <f t="shared" ca="1" si="8"/>
        <v>0.31025680879914941</v>
      </c>
      <c r="F164" s="181">
        <f t="shared" ca="1" si="9"/>
        <v>0.68974319120085059</v>
      </c>
      <c r="G164" s="180">
        <f ca="1">IFERROR('Rumus Plafond + Atrib PP3'!R152,"")</f>
        <v>1269850.1072566716</v>
      </c>
      <c r="H164" s="180">
        <f ca="1">IFERROR('Rumus Plafond + Atrib PP3'!Q152,"")</f>
        <v>2823049.9395517549</v>
      </c>
      <c r="I164" s="181">
        <f t="shared" ca="1" si="10"/>
        <v>0.30269587010398408</v>
      </c>
      <c r="J164" s="181">
        <f t="shared" ca="1" si="11"/>
        <v>0.69730412989601598</v>
      </c>
      <c r="K164" s="180">
        <f ca="1">IFERROR('Rumus Plafond + Atrib PP3'!S152,"")</f>
        <v>4092900.0468084267</v>
      </c>
    </row>
    <row r="165" spans="1:11" x14ac:dyDescent="0.3">
      <c r="A165" s="175">
        <f>'Rumus Plafond + Atrib PP10 (2)'!O153</f>
        <v>150</v>
      </c>
      <c r="B165" s="179">
        <f ca="1">IF(A165&lt;=Simulasi!$B$11,DATE(YEAR(B164),MONTH(B164)+1,1),"")</f>
        <v>50861</v>
      </c>
      <c r="C165" s="180">
        <f ca="1">IF(A165&lt;=Simulasi!$B$11,'Rumus Plafond + Atrib PP3'!P153,"")</f>
        <v>103087545.48879839</v>
      </c>
      <c r="D165" s="180">
        <f ca="1">IFERROR('Rumus Plafond + Atrib PP3'!R153,"")</f>
        <v>1236890.9992124049</v>
      </c>
      <c r="E165" s="181">
        <f t="shared" ca="1" si="8"/>
        <v>0.30220405704187947</v>
      </c>
      <c r="F165" s="181">
        <f t="shared" ca="1" si="9"/>
        <v>0.69779594295812042</v>
      </c>
      <c r="G165" s="180">
        <f ca="1">IFERROR('Rumus Plafond + Atrib PP3'!R153,"")</f>
        <v>1236890.9992124049</v>
      </c>
      <c r="H165" s="180">
        <f ca="1">IFERROR('Rumus Plafond + Atrib PP3'!Q153,"")</f>
        <v>2856009.0475960216</v>
      </c>
      <c r="I165" s="181">
        <f t="shared" ca="1" si="10"/>
        <v>0.29453584425370971</v>
      </c>
      <c r="J165" s="181">
        <f t="shared" ca="1" si="11"/>
        <v>0.70546415574629029</v>
      </c>
      <c r="K165" s="180">
        <f ca="1">IFERROR('Rumus Plafond + Atrib PP3'!S153,"")</f>
        <v>4092900.0468084267</v>
      </c>
    </row>
    <row r="166" spans="1:11" x14ac:dyDescent="0.3">
      <c r="A166" s="175">
        <f>'Rumus Plafond + Atrib PP10 (2)'!O154</f>
        <v>151</v>
      </c>
      <c r="B166" s="179">
        <f ca="1">IF(A166&lt;=Simulasi!$B$11,DATE(YEAR(B165),MONTH(B165)+1,1),"")</f>
        <v>50891</v>
      </c>
      <c r="C166" s="180">
        <f ca="1">IF(A166&lt;=Simulasi!$B$11,'Rumus Plafond + Atrib PP3'!P154,"")</f>
        <v>100198192.53557169</v>
      </c>
      <c r="D166" s="180">
        <f ca="1">IFERROR('Rumus Plafond + Atrib PP3'!R154,"")</f>
        <v>1203547.0935817214</v>
      </c>
      <c r="E166" s="181">
        <f t="shared" ca="1" si="8"/>
        <v>0.29405728940784343</v>
      </c>
      <c r="F166" s="181">
        <f t="shared" ca="1" si="9"/>
        <v>0.70594271059215652</v>
      </c>
      <c r="G166" s="180">
        <f ca="1">IFERROR('Rumus Plafond + Atrib PP3'!R154,"")</f>
        <v>1203547.0935817214</v>
      </c>
      <c r="H166" s="180">
        <f ca="1">IFERROR('Rumus Plafond + Atrib PP3'!Q154,"")</f>
        <v>2889352.9532267051</v>
      </c>
      <c r="I166" s="181">
        <f t="shared" ca="1" si="10"/>
        <v>0.28628055010163339</v>
      </c>
      <c r="J166" s="181">
        <f t="shared" ca="1" si="11"/>
        <v>0.71371944989836655</v>
      </c>
      <c r="K166" s="180">
        <f ca="1">IFERROR('Rumus Plafond + Atrib PP3'!S154,"")</f>
        <v>4092900.0468084267</v>
      </c>
    </row>
    <row r="167" spans="1:11" x14ac:dyDescent="0.3">
      <c r="A167" s="175">
        <f>'Rumus Plafond + Atrib PP10 (2)'!O155</f>
        <v>152</v>
      </c>
      <c r="B167" s="179">
        <f ca="1">IF(A167&lt;=Simulasi!$B$11,DATE(YEAR(B166),MONTH(B166)+1,1),"")</f>
        <v>50922</v>
      </c>
      <c r="C167" s="180">
        <f ca="1">IF(A167&lt;=Simulasi!$B$11,'Rumus Plafond + Atrib PP3'!P155,"")</f>
        <v>97275106.386616066</v>
      </c>
      <c r="D167" s="180">
        <f ca="1">IFERROR('Rumus Plafond + Atrib PP3'!R155,"")</f>
        <v>1169813.8978527996</v>
      </c>
      <c r="E167" s="181">
        <f t="shared" ca="1" si="8"/>
        <v>0.28581540826168</v>
      </c>
      <c r="F167" s="181">
        <f t="shared" ca="1" si="9"/>
        <v>0.71418459173832005</v>
      </c>
      <c r="G167" s="180">
        <f ca="1">IFERROR('Rumus Plafond + Atrib PP3'!R155,"")</f>
        <v>1169813.8978527996</v>
      </c>
      <c r="H167" s="180">
        <f ca="1">IFERROR('Rumus Plafond + Atrib PP3'!Q155,"")</f>
        <v>2923086.1489556273</v>
      </c>
      <c r="I167" s="181">
        <f t="shared" ca="1" si="10"/>
        <v>0.27792887539033162</v>
      </c>
      <c r="J167" s="181">
        <f t="shared" ca="1" si="11"/>
        <v>0.72207112460966838</v>
      </c>
      <c r="K167" s="180">
        <f ca="1">IFERROR('Rumus Plafond + Atrib PP3'!S155,"")</f>
        <v>4092900.0468084267</v>
      </c>
    </row>
    <row r="168" spans="1:11" x14ac:dyDescent="0.3">
      <c r="A168" s="175">
        <f>'Rumus Plafond + Atrib PP10 (2)'!O156</f>
        <v>153</v>
      </c>
      <c r="B168" s="179">
        <f ca="1">IF(A168&lt;=Simulasi!$B$11,DATE(YEAR(B167),MONTH(B167)+1,1),"")</f>
        <v>50952</v>
      </c>
      <c r="C168" s="180">
        <f ca="1">IF(A168&lt;=Simulasi!$B$11,'Rumus Plafond + Atrib PP3'!P156,"")</f>
        <v>94317893.206871375</v>
      </c>
      <c r="D168" s="180">
        <f ca="1">IFERROR('Rumus Plafond + Atrib PP3'!R156,"")</f>
        <v>1135686.8670637426</v>
      </c>
      <c r="E168" s="181">
        <f t="shared" ca="1" si="8"/>
        <v>0.27747730315313507</v>
      </c>
      <c r="F168" s="181">
        <f t="shared" ca="1" si="9"/>
        <v>0.72252269684686488</v>
      </c>
      <c r="G168" s="180">
        <f ca="1">IFERROR('Rumus Plafond + Atrib PP3'!R156,"")</f>
        <v>1135686.8670637426</v>
      </c>
      <c r="H168" s="180">
        <f ca="1">IFERROR('Rumus Plafond + Atrib PP3'!Q156,"")</f>
        <v>2957213.1797446841</v>
      </c>
      <c r="I168" s="181">
        <f t="shared" ca="1" si="10"/>
        <v>0.26947969487677537</v>
      </c>
      <c r="J168" s="181">
        <f t="shared" ca="1" si="11"/>
        <v>0.73052030512322463</v>
      </c>
      <c r="K168" s="180">
        <f ca="1">IFERROR('Rumus Plafond + Atrib PP3'!S156,"")</f>
        <v>4092900.0468084267</v>
      </c>
    </row>
    <row r="169" spans="1:11" x14ac:dyDescent="0.3">
      <c r="A169" s="175">
        <f>'Rumus Plafond + Atrib PP10 (2)'!O157</f>
        <v>154</v>
      </c>
      <c r="B169" s="179">
        <f ca="1">IF(A169&lt;=Simulasi!$B$11,DATE(YEAR(B168),MONTH(B168)+1,1),"")</f>
        <v>50983</v>
      </c>
      <c r="C169" s="180">
        <f ca="1">IF(A169&lt;=Simulasi!$B$11,'Rumus Plafond + Atrib PP3'!P157,"")</f>
        <v>91326154.563253164</v>
      </c>
      <c r="D169" s="180">
        <f ca="1">IFERROR('Rumus Plafond + Atrib PP3'!R157,"")</f>
        <v>1101161.4031902233</v>
      </c>
      <c r="E169" s="181">
        <f t="shared" ca="1" si="8"/>
        <v>0.2690418506674479</v>
      </c>
      <c r="F169" s="181">
        <f t="shared" ca="1" si="9"/>
        <v>0.73095814933255221</v>
      </c>
      <c r="G169" s="180">
        <f ca="1">IFERROR('Rumus Plafond + Atrib PP3'!R157,"")</f>
        <v>1101161.4031902233</v>
      </c>
      <c r="H169" s="180">
        <f ca="1">IFERROR('Rumus Plafond + Atrib PP3'!Q157,"")</f>
        <v>2991738.6436182037</v>
      </c>
      <c r="I169" s="181">
        <f t="shared" ca="1" si="10"/>
        <v>0.26093187018072334</v>
      </c>
      <c r="J169" s="181">
        <f t="shared" ca="1" si="11"/>
        <v>0.73906812981927672</v>
      </c>
      <c r="K169" s="180">
        <f ca="1">IFERROR('Rumus Plafond + Atrib PP3'!S157,"")</f>
        <v>4092900.0468084267</v>
      </c>
    </row>
    <row r="170" spans="1:11" x14ac:dyDescent="0.3">
      <c r="A170" s="175">
        <f>'Rumus Plafond + Atrib PP10 (2)'!O158</f>
        <v>155</v>
      </c>
      <c r="B170" s="179">
        <f ca="1">IF(A170&lt;=Simulasi!$B$11,DATE(YEAR(B169),MONTH(B169)+1,1),"")</f>
        <v>51014</v>
      </c>
      <c r="C170" s="180">
        <f ca="1">IF(A170&lt;=Simulasi!$B$11,'Rumus Plafond + Atrib PP3'!P158,"")</f>
        <v>88299487.370970726</v>
      </c>
      <c r="D170" s="180">
        <f ca="1">IFERROR('Rumus Plafond + Atrib PP3'!R158,"")</f>
        <v>1066232.8545259808</v>
      </c>
      <c r="E170" s="181">
        <f t="shared" ca="1" si="8"/>
        <v>0.26050791427399034</v>
      </c>
      <c r="F170" s="181">
        <f t="shared" ca="1" si="9"/>
        <v>0.73949208572600955</v>
      </c>
      <c r="G170" s="180">
        <f ca="1">IFERROR('Rumus Plafond + Atrib PP3'!R158,"")</f>
        <v>1066232.8545259808</v>
      </c>
      <c r="H170" s="180">
        <f ca="1">IFERROR('Rumus Plafond + Atrib PP3'!Q158,"")</f>
        <v>3026667.1922824457</v>
      </c>
      <c r="I170" s="181">
        <f t="shared" ca="1" si="10"/>
        <v>0.25228424963134494</v>
      </c>
      <c r="J170" s="181">
        <f t="shared" ca="1" si="11"/>
        <v>0.74771575036865512</v>
      </c>
      <c r="K170" s="180">
        <f ca="1">IFERROR('Rumus Plafond + Atrib PP3'!S158,"")</f>
        <v>4092900.0468084267</v>
      </c>
    </row>
    <row r="171" spans="1:11" x14ac:dyDescent="0.3">
      <c r="A171" s="175">
        <f>'Rumus Plafond + Atrib PP10 (2)'!O159</f>
        <v>156</v>
      </c>
      <c r="B171" s="179">
        <f ca="1">IF(A171&lt;=Simulasi!$B$11,DATE(YEAR(B170),MONTH(B170)+1,1),"")</f>
        <v>51044</v>
      </c>
      <c r="C171" s="180">
        <f ca="1">IF(A171&lt;=Simulasi!$B$11,'Rumus Plafond + Atrib PP3'!P159,"")</f>
        <v>85237483.839218378</v>
      </c>
      <c r="D171" s="180">
        <f ca="1">IFERROR('Rumus Plafond + Atrib PP3'!R159,"")</f>
        <v>1030896.5150560833</v>
      </c>
      <c r="E171" s="181">
        <f t="shared" ca="1" si="8"/>
        <v>0.25187434417313925</v>
      </c>
      <c r="F171" s="181">
        <f t="shared" ca="1" si="9"/>
        <v>0.74812565582686075</v>
      </c>
      <c r="G171" s="180">
        <f ca="1">IFERROR('Rumus Plafond + Atrib PP3'!R159,"")</f>
        <v>1030896.5150560833</v>
      </c>
      <c r="H171" s="180">
        <f ca="1">IFERROR('Rumus Plafond + Atrib PP3'!Q159,"")</f>
        <v>3062003.5317523433</v>
      </c>
      <c r="I171" s="181">
        <f t="shared" ca="1" si="10"/>
        <v>0.24353566811205252</v>
      </c>
      <c r="J171" s="181">
        <f t="shared" ca="1" si="11"/>
        <v>0.75646433188794748</v>
      </c>
      <c r="K171" s="180">
        <f ca="1">IFERROR('Rumus Plafond + Atrib PP3'!S159,"")</f>
        <v>4092900.0468084267</v>
      </c>
    </row>
    <row r="172" spans="1:11" x14ac:dyDescent="0.3">
      <c r="A172" s="175">
        <f>'Rumus Plafond + Atrib PP10 (2)'!O160</f>
        <v>157</v>
      </c>
      <c r="B172" s="179">
        <f ca="1">IF(A172&lt;=Simulasi!$B$11,DATE(YEAR(B171),MONTH(B171)+1,1),"")</f>
        <v>51075</v>
      </c>
      <c r="C172" s="180">
        <f ca="1">IF(A172&lt;=Simulasi!$B$11,'Rumus Plafond + Atrib PP3'!P160,"")</f>
        <v>82139731.416232824</v>
      </c>
      <c r="D172" s="180">
        <f ca="1">IFERROR('Rumus Plafond + Atrib PP3'!R160,"")</f>
        <v>995147.62382287451</v>
      </c>
      <c r="E172" s="181">
        <f t="shared" ca="1" si="8"/>
        <v>0.24313997714136057</v>
      </c>
      <c r="F172" s="181">
        <f t="shared" ca="1" si="9"/>
        <v>0.7568600228586394</v>
      </c>
      <c r="G172" s="180">
        <f ca="1">IFERROR('Rumus Plafond + Atrib PP3'!R160,"")</f>
        <v>995147.62382287451</v>
      </c>
      <c r="H172" s="180">
        <f ca="1">IFERROR('Rumus Plafond + Atrib PP3'!Q160,"")</f>
        <v>3097752.4229855523</v>
      </c>
      <c r="I172" s="181">
        <f t="shared" ca="1" si="10"/>
        <v>0.23468494690352235</v>
      </c>
      <c r="J172" s="181">
        <f t="shared" ca="1" si="11"/>
        <v>0.76531505309647763</v>
      </c>
      <c r="K172" s="180">
        <f ca="1">IFERROR('Rumus Plafond + Atrib PP3'!S160,"")</f>
        <v>4092900.0468084267</v>
      </c>
    </row>
    <row r="173" spans="1:11" x14ac:dyDescent="0.3">
      <c r="A173" s="175">
        <f>'Rumus Plafond + Atrib PP10 (2)'!O161</f>
        <v>158</v>
      </c>
      <c r="B173" s="179">
        <f ca="1">IF(A173&lt;=Simulasi!$B$11,DATE(YEAR(B172),MONTH(B172)+1,1),"")</f>
        <v>51105</v>
      </c>
      <c r="C173" s="180">
        <f ca="1">IF(A173&lt;=Simulasi!$B$11,'Rumus Plafond + Atrib PP3'!P161,"")</f>
        <v>79005812.733708918</v>
      </c>
      <c r="D173" s="180">
        <f ca="1">IFERROR('Rumus Plafond + Atrib PP3'!R161,"")</f>
        <v>958981.36428451817</v>
      </c>
      <c r="E173" s="181">
        <f t="shared" ca="1" si="8"/>
        <v>0.23430363637448595</v>
      </c>
      <c r="F173" s="181">
        <f t="shared" ca="1" si="9"/>
        <v>0.76569636362551408</v>
      </c>
      <c r="G173" s="180">
        <f ca="1">IFERROR('Rumus Plafond + Atrib PP3'!R161,"")</f>
        <v>958981.36428451817</v>
      </c>
      <c r="H173" s="180">
        <f ca="1">IFERROR('Rumus Plafond + Atrib PP3'!Q161,"")</f>
        <v>3133918.6825239086</v>
      </c>
      <c r="I173" s="181">
        <f t="shared" ca="1" si="10"/>
        <v>0.22573089352488263</v>
      </c>
      <c r="J173" s="181">
        <f t="shared" ca="1" si="11"/>
        <v>0.77426910647511737</v>
      </c>
      <c r="K173" s="180">
        <f ca="1">IFERROR('Rumus Plafond + Atrib PP3'!S161,"")</f>
        <v>4092900.0468084267</v>
      </c>
    </row>
    <row r="174" spans="1:11" x14ac:dyDescent="0.3">
      <c r="A174" s="175">
        <f>'Rumus Plafond + Atrib PP10 (2)'!O162</f>
        <v>159</v>
      </c>
      <c r="B174" s="179">
        <f ca="1">IF(A174&lt;=Simulasi!$B$11,DATE(YEAR(B173),MONTH(B173)+1,1),"")</f>
        <v>51136</v>
      </c>
      <c r="C174" s="180">
        <f ca="1">IF(A174&lt;=Simulasi!$B$11,'Rumus Plafond + Atrib PP3'!P162,"")</f>
        <v>75835305.550566539</v>
      </c>
      <c r="D174" s="180">
        <f ca="1">IFERROR('Rumus Plafond + Atrib PP3'!R162,"")</f>
        <v>922392.86366605165</v>
      </c>
      <c r="E174" s="181">
        <f t="shared" ca="1" si="8"/>
        <v>0.22536413132915811</v>
      </c>
      <c r="F174" s="181">
        <f t="shared" ca="1" si="9"/>
        <v>0.77463586867084189</v>
      </c>
      <c r="G174" s="180">
        <f ca="1">IFERROR('Rumus Plafond + Atrib PP3'!R162,"")</f>
        <v>922392.86366605165</v>
      </c>
      <c r="H174" s="180">
        <f ca="1">IFERROR('Rumus Plafond + Atrib PP3'!Q162,"")</f>
        <v>3170507.1831423752</v>
      </c>
      <c r="I174" s="181">
        <f t="shared" ca="1" si="10"/>
        <v>0.21667230157304726</v>
      </c>
      <c r="J174" s="181">
        <f t="shared" ca="1" si="11"/>
        <v>0.78332769842695271</v>
      </c>
      <c r="K174" s="180">
        <f ca="1">IFERROR('Rumus Plafond + Atrib PP3'!S162,"")</f>
        <v>4092900.0468084267</v>
      </c>
    </row>
    <row r="175" spans="1:11" x14ac:dyDescent="0.3">
      <c r="A175" s="175">
        <f>'Rumus Plafond + Atrib PP10 (2)'!O163</f>
        <v>160</v>
      </c>
      <c r="B175" s="179">
        <f ca="1">IF(A175&lt;=Simulasi!$B$11,DATE(YEAR(B174),MONTH(B174)+1,1),"")</f>
        <v>51167</v>
      </c>
      <c r="C175" s="180">
        <f ca="1">IF(A175&lt;=Simulasi!$B$11,'Rumus Plafond + Atrib PP3'!P163,"")</f>
        <v>72627782.69606097</v>
      </c>
      <c r="D175" s="180">
        <f ca="1">IFERROR('Rumus Plafond + Atrib PP3'!R163,"")</f>
        <v>885377.19230286439</v>
      </c>
      <c r="E175" s="181">
        <f t="shared" ca="1" si="8"/>
        <v>0.21632025756242601</v>
      </c>
      <c r="F175" s="181">
        <f t="shared" ca="1" si="9"/>
        <v>0.78367974243757399</v>
      </c>
      <c r="G175" s="180">
        <f ca="1">IFERROR('Rumus Plafond + Atrib PP3'!R163,"")</f>
        <v>885377.19230286439</v>
      </c>
      <c r="H175" s="180">
        <f ca="1">IFERROR('Rumus Plafond + Atrib PP3'!Q163,"")</f>
        <v>3207522.8545055622</v>
      </c>
      <c r="I175" s="181">
        <f t="shared" ca="1" si="10"/>
        <v>0.20750795056017421</v>
      </c>
      <c r="J175" s="181">
        <f t="shared" ca="1" si="11"/>
        <v>0.79249204943982587</v>
      </c>
      <c r="K175" s="180">
        <f ca="1">IFERROR('Rumus Plafond + Atrib PP3'!S163,"")</f>
        <v>4092900.0468084267</v>
      </c>
    </row>
    <row r="176" spans="1:11" x14ac:dyDescent="0.3">
      <c r="A176" s="175">
        <f>'Rumus Plafond + Atrib PP10 (2)'!O164</f>
        <v>161</v>
      </c>
      <c r="B176" s="179">
        <f ca="1">IF(A176&lt;=Simulasi!$B$11,DATE(YEAR(B175),MONTH(B175)+1,1),"")</f>
        <v>51196</v>
      </c>
      <c r="C176" s="180">
        <f ca="1">IF(A176&lt;=Simulasi!$B$11,'Rumus Plafond + Atrib PP3'!P164,"")</f>
        <v>69382812.012229055</v>
      </c>
      <c r="D176" s="180">
        <f ca="1">IFERROR('Rumus Plafond + Atrib PP3'!R164,"")</f>
        <v>847929.36297651182</v>
      </c>
      <c r="E176" s="181">
        <f t="shared" ca="1" si="8"/>
        <v>0.20717079656946732</v>
      </c>
      <c r="F176" s="181">
        <f t="shared" ca="1" si="9"/>
        <v>0.79282920343053265</v>
      </c>
      <c r="G176" s="180">
        <f ca="1">IFERROR('Rumus Plafond + Atrib PP3'!R164,"")</f>
        <v>847929.36297651182</v>
      </c>
      <c r="H176" s="180">
        <f ca="1">IFERROR('Rumus Plafond + Atrib PP3'!Q164,"")</f>
        <v>3244970.6838319148</v>
      </c>
      <c r="I176" s="181">
        <f t="shared" ca="1" si="10"/>
        <v>0.19823660574922586</v>
      </c>
      <c r="J176" s="181">
        <f t="shared" ca="1" si="11"/>
        <v>0.80176339425077403</v>
      </c>
      <c r="K176" s="180">
        <f ca="1">IFERROR('Rumus Plafond + Atrib PP3'!S164,"")</f>
        <v>4092900.0468084267</v>
      </c>
    </row>
    <row r="177" spans="1:11" x14ac:dyDescent="0.3">
      <c r="A177" s="175">
        <f>'Rumus Plafond + Atrib PP10 (2)'!O165</f>
        <v>162</v>
      </c>
      <c r="B177" s="179">
        <f ca="1">IF(A177&lt;=Simulasi!$B$11,DATE(YEAR(B176),MONTH(B176)+1,1),"")</f>
        <v>51227</v>
      </c>
      <c r="C177" s="180">
        <f ca="1">IF(A177&lt;=Simulasi!$B$11,'Rumus Plafond + Atrib PP3'!P165,"")</f>
        <v>66099956.295663401</v>
      </c>
      <c r="D177" s="180">
        <f ca="1">IFERROR('Rumus Plafond + Atrib PP3'!R165,"")</f>
        <v>810044.33024277433</v>
      </c>
      <c r="E177" s="181">
        <f t="shared" ca="1" si="8"/>
        <v>0.19791451561941587</v>
      </c>
      <c r="F177" s="181">
        <f t="shared" ca="1" si="9"/>
        <v>0.80208548438058413</v>
      </c>
      <c r="G177" s="180">
        <f ca="1">IFERROR('Rumus Plafond + Atrib PP3'!R165,"")</f>
        <v>810044.33024277433</v>
      </c>
      <c r="H177" s="180">
        <f ca="1">IFERROR('Rumus Plafond + Atrib PP3'!Q165,"")</f>
        <v>3282855.7165656523</v>
      </c>
      <c r="I177" s="181">
        <f t="shared" ca="1" si="10"/>
        <v>0.18885701798760973</v>
      </c>
      <c r="J177" s="181">
        <f t="shared" ca="1" si="11"/>
        <v>0.81114298201239021</v>
      </c>
      <c r="K177" s="180">
        <f ca="1">IFERROR('Rumus Plafond + Atrib PP3'!S165,"")</f>
        <v>4092900.0468084267</v>
      </c>
    </row>
    <row r="178" spans="1:11" x14ac:dyDescent="0.3">
      <c r="A178" s="175">
        <f>'Rumus Plafond + Atrib PP10 (2)'!O166</f>
        <v>163</v>
      </c>
      <c r="B178" s="179">
        <f ca="1">IF(A178&lt;=Simulasi!$B$11,DATE(YEAR(B177),MONTH(B177)+1,1),"")</f>
        <v>51257</v>
      </c>
      <c r="C178" s="180">
        <f ca="1">IF(A178&lt;=Simulasi!$B$11,'Rumus Plafond + Atrib PP3'!P166,"")</f>
        <v>62778773.238606848</v>
      </c>
      <c r="D178" s="180">
        <f ca="1">IFERROR('Rumus Plafond + Atrib PP3'!R166,"")</f>
        <v>771716.98975187028</v>
      </c>
      <c r="E178" s="181">
        <f t="shared" ca="1" si="8"/>
        <v>0.18855016758927254</v>
      </c>
      <c r="F178" s="181">
        <f t="shared" ca="1" si="9"/>
        <v>0.81144983241072743</v>
      </c>
      <c r="G178" s="180">
        <f ca="1">IFERROR('Rumus Plafond + Atrib PP3'!R166,"")</f>
        <v>771716.98975187028</v>
      </c>
      <c r="H178" s="180">
        <f ca="1">IFERROR('Rumus Plafond + Atrib PP3'!Q166,"")</f>
        <v>3321183.0570565565</v>
      </c>
      <c r="I178" s="181">
        <f t="shared" ca="1" si="10"/>
        <v>0.17936792353887671</v>
      </c>
      <c r="J178" s="181">
        <f t="shared" ca="1" si="11"/>
        <v>0.82063207646112324</v>
      </c>
      <c r="K178" s="180">
        <f ca="1">IFERROR('Rumus Plafond + Atrib PP3'!S166,"")</f>
        <v>4092900.0468084267</v>
      </c>
    </row>
    <row r="179" spans="1:11" x14ac:dyDescent="0.3">
      <c r="A179" s="175">
        <f>'Rumus Plafond + Atrib PP10 (2)'!O167</f>
        <v>164</v>
      </c>
      <c r="B179" s="179">
        <f ca="1">IF(A179&lt;=Simulasi!$B$11,DATE(YEAR(B178),MONTH(B178)+1,1),"")</f>
        <v>51288</v>
      </c>
      <c r="C179" s="180">
        <f ca="1">IF(A179&lt;=Simulasi!$B$11,'Rumus Plafond + Atrib PP3'!P167,"")</f>
        <v>59418815.369359158</v>
      </c>
      <c r="D179" s="180">
        <f ca="1">IFERROR('Rumus Plafond + Atrib PP3'!R167,"")</f>
        <v>732942.17756073503</v>
      </c>
      <c r="E179" s="181">
        <f t="shared" ca="1" si="8"/>
        <v>0.17907649079587731</v>
      </c>
      <c r="F179" s="181">
        <f t="shared" ca="1" si="9"/>
        <v>0.82092350920412271</v>
      </c>
      <c r="G179" s="180">
        <f ca="1">IFERROR('Rumus Plafond + Atrib PP3'!R167,"")</f>
        <v>732942.17756073503</v>
      </c>
      <c r="H179" s="180">
        <f ca="1">IFERROR('Rumus Plafond + Atrib PP3'!Q167,"")</f>
        <v>3359957.8692476917</v>
      </c>
      <c r="I179" s="181">
        <f t="shared" ca="1" si="10"/>
        <v>0.16976804391245473</v>
      </c>
      <c r="J179" s="181">
        <f t="shared" ca="1" si="11"/>
        <v>0.8302319560875453</v>
      </c>
      <c r="K179" s="180">
        <f ca="1">IFERROR('Rumus Plafond + Atrib PP3'!S167,"")</f>
        <v>4092900.0468084267</v>
      </c>
    </row>
    <row r="180" spans="1:11" x14ac:dyDescent="0.3">
      <c r="A180" s="175">
        <f>'Rumus Plafond + Atrib PP10 (2)'!O168</f>
        <v>165</v>
      </c>
      <c r="B180" s="179">
        <f ca="1">IF(A180&lt;=Simulasi!$B$11,DATE(YEAR(B179),MONTH(B179)+1,1),"")</f>
        <v>51318</v>
      </c>
      <c r="C180" s="180">
        <f ca="1">IF(A180&lt;=Simulasi!$B$11,'Rumus Plafond + Atrib PP3'!P168,"")</f>
        <v>56019629.991988003</v>
      </c>
      <c r="D180" s="180">
        <f ca="1">IFERROR('Rumus Plafond + Atrib PP3'!R168,"")</f>
        <v>693714.66943726817</v>
      </c>
      <c r="E180" s="181">
        <f t="shared" ca="1" si="8"/>
        <v>0.16949220882591917</v>
      </c>
      <c r="F180" s="181">
        <f t="shared" ca="1" si="9"/>
        <v>0.8305077911740808</v>
      </c>
      <c r="G180" s="180">
        <f ca="1">IFERROR('Rumus Plafond + Atrib PP3'!R168,"")</f>
        <v>693714.66943726817</v>
      </c>
      <c r="H180" s="180">
        <f ca="1">IFERROR('Rumus Plafond + Atrib PP3'!Q168,"")</f>
        <v>3399185.3773711585</v>
      </c>
      <c r="I180" s="181">
        <f t="shared" ca="1" si="10"/>
        <v>0.16005608569139429</v>
      </c>
      <c r="J180" s="181">
        <f t="shared" ca="1" si="11"/>
        <v>0.83994391430860571</v>
      </c>
      <c r="K180" s="180">
        <f ca="1">IFERROR('Rumus Plafond + Atrib PP3'!S168,"")</f>
        <v>4092900.0468084267</v>
      </c>
    </row>
    <row r="181" spans="1:11" x14ac:dyDescent="0.3">
      <c r="A181" s="175">
        <f>'Rumus Plafond + Atrib PP10 (2)'!O169</f>
        <v>166</v>
      </c>
      <c r="B181" s="179">
        <f ca="1">IF(A181&lt;=Simulasi!$B$11,DATE(YEAR(B180),MONTH(B180)+1,1),"")</f>
        <v>51349</v>
      </c>
      <c r="C181" s="180">
        <f ca="1">IF(A181&lt;=Simulasi!$B$11,'Rumus Plafond + Atrib PP3'!P169,"")</f>
        <v>52580759.125336036</v>
      </c>
      <c r="D181" s="180">
        <f ca="1">IFERROR('Rumus Plafond + Atrib PP3'!R169,"")</f>
        <v>654029.18015645992</v>
      </c>
      <c r="E181" s="181">
        <f t="shared" ca="1" si="8"/>
        <v>0.15979603036396178</v>
      </c>
      <c r="F181" s="181">
        <f t="shared" ca="1" si="9"/>
        <v>0.84020396963603816</v>
      </c>
      <c r="G181" s="180">
        <f ca="1">IFERROR('Rumus Plafond + Atrib PP3'!R169,"")</f>
        <v>654029.18015645992</v>
      </c>
      <c r="H181" s="180">
        <f ca="1">IFERROR('Rumus Plafond + Atrib PP3'!Q169,"")</f>
        <v>3438870.8666519667</v>
      </c>
      <c r="I181" s="181">
        <f t="shared" ca="1" si="10"/>
        <v>0.15023074035810297</v>
      </c>
      <c r="J181" s="181">
        <f t="shared" ca="1" si="11"/>
        <v>0.84976925964189698</v>
      </c>
      <c r="K181" s="180">
        <f ca="1">IFERROR('Rumus Plafond + Atrib PP3'!S169,"")</f>
        <v>4092900.0468084267</v>
      </c>
    </row>
    <row r="182" spans="1:11" x14ac:dyDescent="0.3">
      <c r="A182" s="175">
        <f>'Rumus Plafond + Atrib PP10 (2)'!O170</f>
        <v>167</v>
      </c>
      <c r="B182" s="179">
        <f ca="1">IF(A182&lt;=Simulasi!$B$11,DATE(YEAR(B181),MONTH(B181)+1,1),"")</f>
        <v>51380</v>
      </c>
      <c r="C182" s="180">
        <f ca="1">IF(A182&lt;=Simulasi!$B$11,'Rumus Plafond + Atrib PP3'!P170,"")</f>
        <v>49101739.441315904</v>
      </c>
      <c r="D182" s="180">
        <f ca="1">IFERROR('Rumus Plafond + Atrib PP3'!R170,"")</f>
        <v>613880.36278829828</v>
      </c>
      <c r="E182" s="181">
        <f t="shared" ca="1" si="8"/>
        <v>0.14998664901846104</v>
      </c>
      <c r="F182" s="181">
        <f t="shared" ca="1" si="9"/>
        <v>0.85001335098153896</v>
      </c>
      <c r="G182" s="180">
        <f ca="1">IFERROR('Rumus Plafond + Atrib PP3'!R170,"")</f>
        <v>613880.36278829828</v>
      </c>
      <c r="H182" s="180">
        <f ca="1">IFERROR('Rumus Plafond + Atrib PP3'!Q170,"")</f>
        <v>3479019.6840201286</v>
      </c>
      <c r="I182" s="181">
        <f t="shared" ca="1" si="10"/>
        <v>0.14029068411804543</v>
      </c>
      <c r="J182" s="181">
        <f t="shared" ca="1" si="11"/>
        <v>0.85970931588195465</v>
      </c>
      <c r="K182" s="180">
        <f ca="1">IFERROR('Rumus Plafond + Atrib PP3'!S170,"")</f>
        <v>4092900.0468084267</v>
      </c>
    </row>
    <row r="183" spans="1:11" x14ac:dyDescent="0.3">
      <c r="A183" s="175">
        <f>'Rumus Plafond + Atrib PP10 (2)'!O171</f>
        <v>168</v>
      </c>
      <c r="B183" s="179">
        <f ca="1">IF(A183&lt;=Simulasi!$B$11,DATE(YEAR(B182),MONTH(B182)+1,1),"")</f>
        <v>51410</v>
      </c>
      <c r="C183" s="180">
        <f ca="1">IF(A183&lt;=Simulasi!$B$11,'Rumus Plafond + Atrib PP3'!P171,"")</f>
        <v>45582102.202484839</v>
      </c>
      <c r="D183" s="180">
        <f ca="1">IFERROR('Rumus Plafond + Atrib PP3'!R171,"")</f>
        <v>573262.80797736312</v>
      </c>
      <c r="E183" s="181">
        <f t="shared" ca="1" si="8"/>
        <v>0.14006274314575154</v>
      </c>
      <c r="F183" s="181">
        <f t="shared" ca="1" si="9"/>
        <v>0.85993725685424849</v>
      </c>
      <c r="G183" s="180">
        <f ca="1">IFERROR('Rumus Plafond + Atrib PP3'!R171,"")</f>
        <v>573262.80797736312</v>
      </c>
      <c r="H183" s="180">
        <f ca="1">IFERROR('Rumus Plafond + Atrib PP3'!Q171,"")</f>
        <v>3519637.2388310637</v>
      </c>
      <c r="I183" s="181">
        <f t="shared" ca="1" si="10"/>
        <v>0.13023457772138525</v>
      </c>
      <c r="J183" s="181">
        <f t="shared" ca="1" si="11"/>
        <v>0.86976542227861475</v>
      </c>
      <c r="K183" s="180">
        <f ca="1">IFERROR('Rumus Plafond + Atrib PP3'!S171,"")</f>
        <v>4092900.0468084267</v>
      </c>
    </row>
    <row r="184" spans="1:11" x14ac:dyDescent="0.3">
      <c r="A184" s="175">
        <f>'Rumus Plafond + Atrib PP10 (2)'!O172</f>
        <v>169</v>
      </c>
      <c r="B184" s="179">
        <f ca="1">IF(A184&lt;=Simulasi!$B$11,DATE(YEAR(B183),MONTH(B183)+1,1),"")</f>
        <v>51441</v>
      </c>
      <c r="C184" s="180">
        <f ca="1">IF(A184&lt;=Simulasi!$B$11,'Rumus Plafond + Atrib PP3'!P172,"")</f>
        <v>42021373.198890425</v>
      </c>
      <c r="D184" s="180">
        <f ca="1">IFERROR('Rumus Plafond + Atrib PP3'!R172,"")</f>
        <v>532171.04321401042</v>
      </c>
      <c r="E184" s="181">
        <f t="shared" ca="1" si="8"/>
        <v>0.13002297567197818</v>
      </c>
      <c r="F184" s="181">
        <f t="shared" ca="1" si="9"/>
        <v>0.86997702432802182</v>
      </c>
      <c r="G184" s="180">
        <f ca="1">IFERROR('Rumus Plafond + Atrib PP3'!R172,"")</f>
        <v>532171.04321401042</v>
      </c>
      <c r="H184" s="180">
        <f ca="1">IFERROR('Rumus Plafond + Atrib PP3'!Q172,"")</f>
        <v>3560729.0035944162</v>
      </c>
      <c r="I184" s="181">
        <f t="shared" ca="1" si="10"/>
        <v>0.12006106628254407</v>
      </c>
      <c r="J184" s="181">
        <f t="shared" ca="1" si="11"/>
        <v>0.87993893371745591</v>
      </c>
      <c r="K184" s="180">
        <f ca="1">IFERROR('Rumus Plafond + Atrib PP3'!S172,"")</f>
        <v>4092900.0468084267</v>
      </c>
    </row>
    <row r="185" spans="1:11" x14ac:dyDescent="0.3">
      <c r="A185" s="175">
        <f>'Rumus Plafond + Atrib PP10 (2)'!O173</f>
        <v>170</v>
      </c>
      <c r="B185" s="179">
        <f ca="1">IF(A185&lt;=Simulasi!$B$11,DATE(YEAR(B184),MONTH(B184)+1,1),"")</f>
        <v>51471</v>
      </c>
      <c r="C185" s="180">
        <f ca="1">IF(A185&lt;=Simulasi!$B$11,'Rumus Plafond + Atrib PP3'!P173,"")</f>
        <v>38419072.684179045</v>
      </c>
      <c r="D185" s="180">
        <f ca="1">IFERROR('Rumus Plafond + Atrib PP3'!R173,"")</f>
        <v>490599.53209704574</v>
      </c>
      <c r="E185" s="181">
        <f t="shared" ca="1" si="8"/>
        <v>0.11986599391294855</v>
      </c>
      <c r="F185" s="181">
        <f t="shared" ca="1" si="9"/>
        <v>0.88013400608705139</v>
      </c>
      <c r="G185" s="180">
        <f ca="1">IFERROR('Rumus Plafond + Atrib PP3'!R173,"")</f>
        <v>490599.53209704574</v>
      </c>
      <c r="H185" s="180">
        <f ca="1">IFERROR('Rumus Plafond + Atrib PP3'!Q173,"")</f>
        <v>3602300.5147113809</v>
      </c>
      <c r="I185" s="181">
        <f t="shared" ca="1" si="10"/>
        <v>0.10976877909765441</v>
      </c>
      <c r="J185" s="181">
        <f t="shared" ca="1" si="11"/>
        <v>0.89023122090234552</v>
      </c>
      <c r="K185" s="180">
        <f ca="1">IFERROR('Rumus Plafond + Atrib PP3'!S173,"")</f>
        <v>4092900.0468084267</v>
      </c>
    </row>
    <row r="186" spans="1:11" x14ac:dyDescent="0.3">
      <c r="A186" s="175">
        <f>'Rumus Plafond + Atrib PP10 (2)'!O174</f>
        <v>171</v>
      </c>
      <c r="B186" s="179">
        <f ca="1">IF(A186&lt;=Simulasi!$B$11,DATE(YEAR(B185),MONTH(B185)+1,1),"")</f>
        <v>51502</v>
      </c>
      <c r="C186" s="180">
        <f ca="1">IF(A186&lt;=Simulasi!$B$11,'Rumus Plafond + Atrib PP3'!P174,"")</f>
        <v>34774715.310958408</v>
      </c>
      <c r="D186" s="180">
        <f ca="1">IFERROR('Rumus Plafond + Atrib PP3'!R174,"")</f>
        <v>448542.6735877904</v>
      </c>
      <c r="E186" s="181">
        <f t="shared" ca="1" si="8"/>
        <v>0.10959042939188224</v>
      </c>
      <c r="F186" s="181">
        <f t="shared" ca="1" si="9"/>
        <v>0.89040957060811776</v>
      </c>
      <c r="G186" s="180">
        <f ca="1">IFERROR('Rumus Plafond + Atrib PP3'!R174,"")</f>
        <v>448542.6735877904</v>
      </c>
      <c r="H186" s="180">
        <f ca="1">IFERROR('Rumus Plafond + Atrib PP3'!Q174,"")</f>
        <v>3644357.3732206365</v>
      </c>
      <c r="I186" s="181">
        <f t="shared" ca="1" si="10"/>
        <v>9.9356329459881168E-2</v>
      </c>
      <c r="J186" s="181">
        <f t="shared" ca="1" si="11"/>
        <v>0.90064367054011885</v>
      </c>
      <c r="K186" s="180">
        <f ca="1">IFERROR('Rumus Plafond + Atrib PP3'!S174,"")</f>
        <v>4092900.0468084267</v>
      </c>
    </row>
    <row r="187" spans="1:11" x14ac:dyDescent="0.3">
      <c r="A187" s="175">
        <f>'Rumus Plafond + Atrib PP10 (2)'!O175</f>
        <v>172</v>
      </c>
      <c r="B187" s="179">
        <f ca="1">IF(A187&lt;=Simulasi!$B$11,DATE(YEAR(B186),MONTH(B186)+1,1),"")</f>
        <v>51533</v>
      </c>
      <c r="C187" s="180">
        <f ca="1">IF(A187&lt;=Simulasi!$B$11,'Rumus Plafond + Atrib PP3'!P175,"")</f>
        <v>31087810.065405421</v>
      </c>
      <c r="D187" s="180">
        <f ca="1">IFERROR('Rumus Plafond + Atrib PP3'!R175,"")</f>
        <v>405994.80125543941</v>
      </c>
      <c r="E187" s="181">
        <f t="shared" ca="1" si="8"/>
        <v>9.9194897655032449E-2</v>
      </c>
      <c r="F187" s="181">
        <f t="shared" ca="1" si="9"/>
        <v>0.90080510234496758</v>
      </c>
      <c r="G187" s="180">
        <f ca="1">IFERROR('Rumus Plafond + Atrib PP3'!R175,"")</f>
        <v>405994.80125543941</v>
      </c>
      <c r="H187" s="180">
        <f ca="1">IFERROR('Rumus Plafond + Atrib PP3'!Q175,"")</f>
        <v>3686905.2455529873</v>
      </c>
      <c r="I187" s="181">
        <f t="shared" ca="1" si="10"/>
        <v>8.8822314472586913E-2</v>
      </c>
      <c r="J187" s="181">
        <f t="shared" ca="1" si="11"/>
        <v>0.91117768552741307</v>
      </c>
      <c r="K187" s="180">
        <f ca="1">IFERROR('Rumus Plafond + Atrib PP3'!S175,"")</f>
        <v>4092900.0468084267</v>
      </c>
    </row>
    <row r="188" spans="1:11" x14ac:dyDescent="0.3">
      <c r="A188" s="175">
        <f>'Rumus Plafond + Atrib PP10 (2)'!O176</f>
        <v>173</v>
      </c>
      <c r="B188" s="179">
        <f ca="1">IF(A188&lt;=Simulasi!$B$11,DATE(YEAR(B187),MONTH(B187)+1,1),"")</f>
        <v>51561</v>
      </c>
      <c r="C188" s="180">
        <f ca="1">IF(A188&lt;=Simulasi!$B$11,'Rumus Plafond + Atrib PP3'!P176,"")</f>
        <v>27357860.201110601</v>
      </c>
      <c r="D188" s="180">
        <f ca="1">IFERROR('Rumus Plafond + Atrib PP3'!R176,"")</f>
        <v>362950.18251360831</v>
      </c>
      <c r="E188" s="181">
        <f t="shared" ca="1" si="8"/>
        <v>8.867799808515496E-2</v>
      </c>
      <c r="F188" s="181">
        <f t="shared" ca="1" si="9"/>
        <v>0.91132200191484514</v>
      </c>
      <c r="G188" s="180">
        <f ca="1">IFERROR('Rumus Plafond + Atrib PP3'!R176,"")</f>
        <v>362950.18251360831</v>
      </c>
      <c r="H188" s="180">
        <f ca="1">IFERROR('Rumus Plafond + Atrib PP3'!Q176,"")</f>
        <v>3729949.8642948186</v>
      </c>
      <c r="I188" s="181">
        <f t="shared" ca="1" si="10"/>
        <v>7.8165314860315999E-2</v>
      </c>
      <c r="J188" s="181">
        <f t="shared" ca="1" si="11"/>
        <v>0.92183468513968403</v>
      </c>
      <c r="K188" s="180">
        <f ca="1">IFERROR('Rumus Plafond + Atrib PP3'!S176,"")</f>
        <v>4092900.0468084267</v>
      </c>
    </row>
    <row r="189" spans="1:11" x14ac:dyDescent="0.3">
      <c r="A189" s="175">
        <f>'Rumus Plafond + Atrib PP10 (2)'!O177</f>
        <v>174</v>
      </c>
      <c r="B189" s="179">
        <f ca="1">IF(A189&lt;=Simulasi!$B$11,DATE(YEAR(B188),MONTH(B188)+1,1),"")</f>
        <v>51592</v>
      </c>
      <c r="C189" s="180">
        <f ca="1">IF(A189&lt;=Simulasi!$B$11,'Rumus Plafond + Atrib PP3'!P177,"")</f>
        <v>23584363.172150142</v>
      </c>
      <c r="D189" s="180">
        <f ca="1">IFERROR('Rumus Plafond + Atrib PP3'!R177,"")</f>
        <v>319403.01784796629</v>
      </c>
      <c r="E189" s="181">
        <f t="shared" ca="1" si="8"/>
        <v>7.8038313712799137E-2</v>
      </c>
      <c r="F189" s="181">
        <f t="shared" ca="1" si="9"/>
        <v>0.92196168628720088</v>
      </c>
      <c r="G189" s="180">
        <f ca="1">IFERROR('Rumus Plafond + Atrib PP3'!R177,"")</f>
        <v>319403.01784796629</v>
      </c>
      <c r="H189" s="180">
        <f ca="1">IFERROR('Rumus Plafond + Atrib PP3'!Q177,"")</f>
        <v>3773497.0289604603</v>
      </c>
      <c r="I189" s="181">
        <f t="shared" ca="1" si="10"/>
        <v>6.738389477757184E-2</v>
      </c>
      <c r="J189" s="181">
        <f t="shared" ca="1" si="11"/>
        <v>0.93261610522242822</v>
      </c>
      <c r="K189" s="180">
        <f ca="1">IFERROR('Rumus Plafond + Atrib PP3'!S177,"")</f>
        <v>4092900.0468084267</v>
      </c>
    </row>
    <row r="190" spans="1:11" x14ac:dyDescent="0.3">
      <c r="A190" s="175">
        <f>'Rumus Plafond + Atrib PP10 (2)'!O178</f>
        <v>175</v>
      </c>
      <c r="B190" s="179">
        <f ca="1">IF(A190&lt;=Simulasi!$B$11,DATE(YEAR(B189),MONTH(B189)+1,1),"")</f>
        <v>51622</v>
      </c>
      <c r="C190" s="180">
        <f ca="1">IF(A190&lt;=Simulasi!$B$11,'Rumus Plafond + Atrib PP3'!P178,"")</f>
        <v>19766810.565376569</v>
      </c>
      <c r="D190" s="180">
        <f ca="1">IFERROR('Rumus Plafond + Atrib PP3'!R178,"")</f>
        <v>275347.44003485289</v>
      </c>
      <c r="E190" s="181">
        <f t="shared" ca="1" si="8"/>
        <v>6.7274411025396066E-2</v>
      </c>
      <c r="F190" s="181">
        <f t="shared" ca="1" si="9"/>
        <v>0.932725588974604</v>
      </c>
      <c r="G190" s="180">
        <f ca="1">IFERROR('Rumus Plafond + Atrib PP3'!R178,"")</f>
        <v>275347.44003485289</v>
      </c>
      <c r="H190" s="180">
        <f ca="1">IFERROR('Rumus Plafond + Atrib PP3'!Q178,"")</f>
        <v>3817552.6067735739</v>
      </c>
      <c r="I190" s="181">
        <f t="shared" ca="1" si="10"/>
        <v>5.6476601615361624E-2</v>
      </c>
      <c r="J190" s="181">
        <f t="shared" ca="1" si="11"/>
        <v>0.94352339838463839</v>
      </c>
      <c r="K190" s="180">
        <f ca="1">IFERROR('Rumus Plafond + Atrib PP3'!S178,"")</f>
        <v>4092900.0468084267</v>
      </c>
    </row>
    <row r="191" spans="1:11" x14ac:dyDescent="0.3">
      <c r="A191" s="175">
        <f>'Rumus Plafond + Atrib PP10 (2)'!O179</f>
        <v>176</v>
      </c>
      <c r="B191" s="179">
        <f ca="1">IF(A191&lt;=Simulasi!$B$11,DATE(YEAR(B190),MONTH(B190)+1,1),"")</f>
        <v>51653</v>
      </c>
      <c r="C191" s="180">
        <f ca="1">IF(A191&lt;=Simulasi!$B$11,'Rumus Plafond + Atrib PP3'!P179,"")</f>
        <v>15904688.031918913</v>
      </c>
      <c r="D191" s="180">
        <f ca="1">IFERROR('Rumus Plafond + Atrib PP3'!R179,"")</f>
        <v>230777.51335077142</v>
      </c>
      <c r="E191" s="181">
        <f t="shared" ca="1" si="8"/>
        <v>5.6384839774117561E-2</v>
      </c>
      <c r="F191" s="181">
        <f t="shared" ca="1" si="9"/>
        <v>0.94361516022588243</v>
      </c>
      <c r="G191" s="180">
        <f ca="1">IFERROR('Rumus Plafond + Atrib PP3'!R179,"")</f>
        <v>230777.51335077142</v>
      </c>
      <c r="H191" s="180">
        <f ca="1">IFERROR('Rumus Plafond + Atrib PP3'!Q179,"")</f>
        <v>3862122.5334576555</v>
      </c>
      <c r="I191" s="181">
        <f t="shared" ca="1" si="10"/>
        <v>4.5441965805482612E-2</v>
      </c>
      <c r="J191" s="181">
        <f t="shared" ca="1" si="11"/>
        <v>0.95455803419451746</v>
      </c>
      <c r="K191" s="180">
        <f ca="1">IFERROR('Rumus Plafond + Atrib PP3'!S179,"")</f>
        <v>4092900.0468084267</v>
      </c>
    </row>
    <row r="192" spans="1:11" x14ac:dyDescent="0.3">
      <c r="A192" s="175">
        <f>'Rumus Plafond + Atrib PP10 (2)'!O180</f>
        <v>177</v>
      </c>
      <c r="B192" s="179">
        <f ca="1">IF(A192&lt;=Simulasi!$B$11,DATE(YEAR(B191),MONTH(B191)+1,1),"")</f>
        <v>51683</v>
      </c>
      <c r="C192" s="180">
        <f ca="1">IF(A192&lt;=Simulasi!$B$11,'Rumus Plafond + Atrib PP3'!P180,"")</f>
        <v>11997475.21788314</v>
      </c>
      <c r="D192" s="180">
        <f ca="1">IFERROR('Rumus Plafond + Atrib PP3'!R180,"")</f>
        <v>185687.23277265331</v>
      </c>
      <c r="E192" s="181">
        <f t="shared" ca="1" si="8"/>
        <v>4.536813277848039E-2</v>
      </c>
      <c r="F192" s="181">
        <f t="shared" ca="1" si="9"/>
        <v>0.9546318672215196</v>
      </c>
      <c r="G192" s="180">
        <f ca="1">IFERROR('Rumus Plafond + Atrib PP3'!R180,"")</f>
        <v>185687.23277265331</v>
      </c>
      <c r="H192" s="180">
        <f ca="1">IFERROR('Rumus Plafond + Atrib PP3'!Q180,"")</f>
        <v>3907212.8140357733</v>
      </c>
      <c r="I192" s="181">
        <f t="shared" ca="1" si="10"/>
        <v>3.4278500622523259E-2</v>
      </c>
      <c r="J192" s="181">
        <f t="shared" ca="1" si="11"/>
        <v>0.96572149937747687</v>
      </c>
      <c r="K192" s="180">
        <f ca="1">IFERROR('Rumus Plafond + Atrib PP3'!S180,"")</f>
        <v>4092900.0468084267</v>
      </c>
    </row>
    <row r="193" spans="1:11" x14ac:dyDescent="0.3">
      <c r="A193" s="175">
        <f>'Rumus Plafond + Atrib PP10 (2)'!O181</f>
        <v>178</v>
      </c>
      <c r="B193" s="179">
        <f ca="1">IF(A193&lt;=Simulasi!$B$11,DATE(YEAR(B192),MONTH(B192)+1,1),"")</f>
        <v>51714</v>
      </c>
      <c r="C193" s="180">
        <f ca="1">IF(A193&lt;=Simulasi!$B$11,'Rumus Plafond + Atrib PP3'!P181,"")</f>
        <v>8044645.6942434981</v>
      </c>
      <c r="D193" s="180">
        <f ca="1">IFERROR('Rumus Plafond + Atrib PP3'!R181,"")</f>
        <v>140070.52316878564</v>
      </c>
      <c r="E193" s="181">
        <f t="shared" ca="1" si="8"/>
        <v>3.4222805728669148E-2</v>
      </c>
      <c r="F193" s="181">
        <f t="shared" ca="1" si="9"/>
        <v>0.96577719427133091</v>
      </c>
      <c r="G193" s="180">
        <f ca="1">IFERROR('Rumus Plafond + Atrib PP3'!R181,"")</f>
        <v>140070.52316878564</v>
      </c>
      <c r="H193" s="180">
        <f ca="1">IFERROR('Rumus Plafond + Atrib PP3'!Q181,"")</f>
        <v>3952829.5236396412</v>
      </c>
      <c r="I193" s="181">
        <f t="shared" ca="1" si="10"/>
        <v>2.2984701983552853E-2</v>
      </c>
      <c r="J193" s="181">
        <f t="shared" ca="1" si="11"/>
        <v>0.97701529801644715</v>
      </c>
      <c r="K193" s="180">
        <f ca="1">IFERROR('Rumus Plafond + Atrib PP3'!S181,"")</f>
        <v>4092900.0468084267</v>
      </c>
    </row>
    <row r="194" spans="1:11" x14ac:dyDescent="0.3">
      <c r="A194" s="175">
        <f>'Rumus Plafond + Atrib PP10 (2)'!O182</f>
        <v>179</v>
      </c>
      <c r="B194" s="179">
        <f ca="1">IF(A194&lt;=Simulasi!$B$11,DATE(YEAR(B193),MONTH(B193)+1,1),"")</f>
        <v>51745</v>
      </c>
      <c r="C194" s="180">
        <f ca="1">IF(A194&lt;=Simulasi!$B$11,'Rumus Plafond + Atrib PP3'!P182,"")</f>
        <v>4045666.8859153641</v>
      </c>
      <c r="D194" s="180">
        <f ca="1">IFERROR('Rumus Plafond + Atrib PP3'!R182,"")</f>
        <v>93921.238480292843</v>
      </c>
      <c r="E194" s="181">
        <f t="shared" ca="1" si="8"/>
        <v>2.2947356985551361E-2</v>
      </c>
      <c r="F194" s="181">
        <f t="shared" ca="1" si="9"/>
        <v>0.97705264301444872</v>
      </c>
      <c r="G194" s="180">
        <f ca="1">IFERROR('Rumus Plafond + Atrib PP3'!R182,"")</f>
        <v>93921.238480292843</v>
      </c>
      <c r="H194" s="180">
        <f ca="1">IFERROR('Rumus Plafond + Atrib PP3'!Q182,"")</f>
        <v>3998978.808328134</v>
      </c>
      <c r="I194" s="181">
        <f t="shared" ca="1" si="10"/>
        <v>1.1559048245472469E-2</v>
      </c>
      <c r="J194" s="181">
        <f t="shared" ca="1" si="11"/>
        <v>0.98844095175452762</v>
      </c>
      <c r="K194" s="180">
        <f ca="1">IFERROR('Rumus Plafond + Atrib PP3'!S182,"")</f>
        <v>4092900.0468084267</v>
      </c>
    </row>
    <row r="195" spans="1:11" x14ac:dyDescent="0.3">
      <c r="A195" s="175">
        <f>'Rumus Plafond + Atrib PP10 (2)'!O183</f>
        <v>180</v>
      </c>
      <c r="B195" s="179">
        <f ca="1">IF(A195&lt;=Simulasi!$B$11,DATE(YEAR(B194),MONTH(B194)+1,1),"")</f>
        <v>51775</v>
      </c>
      <c r="C195" s="180">
        <f ca="1">IF(A195&lt;=Simulasi!$B$11,'Rumus Plafond + Atrib PP3'!P183,"")</f>
        <v>0</v>
      </c>
      <c r="D195" s="180">
        <f ca="1">IFERROR('Rumus Plafond + Atrib PP3'!R183,"")</f>
        <v>47233.160893061875</v>
      </c>
      <c r="E195" s="181">
        <f t="shared" ca="1" si="8"/>
        <v>1.1540267378357671E-2</v>
      </c>
      <c r="F195" s="181">
        <f t="shared" ca="1" si="9"/>
        <v>0.98845973262164233</v>
      </c>
      <c r="G195" s="180">
        <f ca="1">IFERROR('Rumus Plafond + Atrib PP3'!R183,"")</f>
        <v>47233.160893061875</v>
      </c>
      <c r="H195" s="180">
        <f ca="1">IFERROR('Rumus Plafond + Atrib PP3'!Q183,"")</f>
        <v>4045666.8859153651</v>
      </c>
      <c r="I195" s="181">
        <f t="shared" ca="1" si="10"/>
        <v>0</v>
      </c>
      <c r="J195" s="181">
        <f t="shared" ca="1" si="11"/>
        <v>1</v>
      </c>
      <c r="K195" s="180">
        <f ca="1">IFERROR('Rumus Plafond + Atrib PP3'!S183,"")</f>
        <v>4092900.0468084267</v>
      </c>
    </row>
    <row r="196" spans="1:11" x14ac:dyDescent="0.3">
      <c r="A196" s="175">
        <f>'Rumus Plafond + Atrib PP3'!O184</f>
        <v>181</v>
      </c>
      <c r="B196" s="179" t="str">
        <f>IF(A196&lt;=Simulasi!$B$11,DATE(YEAR(B195),MONTH(B195)+1,1),"")</f>
        <v/>
      </c>
      <c r="C196" s="180" t="str">
        <f>IF(A196&lt;=Simulasi!$B$11,'Rumus Plafond + Atrib PP3'!P184,"")</f>
        <v/>
      </c>
      <c r="D196" s="180">
        <f ca="1">IFERROR('Rumus Plafond + Atrib PP3'!R184,"")</f>
        <v>0</v>
      </c>
      <c r="E196" s="181" t="str">
        <f t="shared" ref="E196:E255" ca="1" si="12">IFERROR(G196/K196,"")</f>
        <v/>
      </c>
      <c r="F196" s="181" t="str">
        <f t="shared" ref="F196:F255" ca="1" si="13">IFERROR(H196/K196,"")</f>
        <v/>
      </c>
      <c r="G196" s="180">
        <f ca="1">IFERROR('Rumus Plafond + Atrib PP3'!R184,"")</f>
        <v>0</v>
      </c>
      <c r="H196" s="180">
        <f ca="1">IFERROR('Rumus Plafond + Atrib PP3'!Q184,"")</f>
        <v>0</v>
      </c>
      <c r="I196" s="181" t="str">
        <f t="shared" ref="I196:I255" si="14">IFERROR(C196/$D$7,"")</f>
        <v/>
      </c>
      <c r="J196" s="181" t="str">
        <f t="shared" ref="J196:J255" si="15">IFERROR(($D$7-C196)/$D$7,"")</f>
        <v/>
      </c>
      <c r="K196" s="180">
        <f>IFERROR('Rumus Plafond + Atrib PP3'!S184,"")</f>
        <v>0</v>
      </c>
    </row>
    <row r="197" spans="1:11" x14ac:dyDescent="0.3">
      <c r="A197" s="175">
        <f>'Rumus Plafond + Atrib PP3'!O185</f>
        <v>182</v>
      </c>
      <c r="B197" s="179" t="str">
        <f>IF(A197&lt;=Simulasi!$B$11,DATE(YEAR(B196),MONTH(B196)+1,1),"")</f>
        <v/>
      </c>
      <c r="C197" s="180" t="str">
        <f>IF(A197&lt;=Simulasi!$B$11,'Rumus Plafond + Atrib PP3'!P185,"")</f>
        <v/>
      </c>
      <c r="D197" s="180">
        <f ca="1">IFERROR('Rumus Plafond + Atrib PP3'!R185,"")</f>
        <v>0</v>
      </c>
      <c r="E197" s="181" t="str">
        <f t="shared" ca="1" si="12"/>
        <v/>
      </c>
      <c r="F197" s="181" t="str">
        <f t="shared" ca="1" si="13"/>
        <v/>
      </c>
      <c r="G197" s="180">
        <f ca="1">IFERROR('Rumus Plafond + Atrib PP3'!R185,"")</f>
        <v>0</v>
      </c>
      <c r="H197" s="180">
        <f ca="1">IFERROR('Rumus Plafond + Atrib PP3'!Q185,"")</f>
        <v>0</v>
      </c>
      <c r="I197" s="181" t="str">
        <f t="shared" si="14"/>
        <v/>
      </c>
      <c r="J197" s="181" t="str">
        <f t="shared" si="15"/>
        <v/>
      </c>
      <c r="K197" s="180">
        <f>IFERROR('Rumus Plafond + Atrib PP3'!S185,"")</f>
        <v>0</v>
      </c>
    </row>
    <row r="198" spans="1:11" x14ac:dyDescent="0.3">
      <c r="A198" s="175">
        <f>'Rumus Plafond + Atrib PP3'!O186</f>
        <v>183</v>
      </c>
      <c r="B198" s="179" t="str">
        <f>IF(A198&lt;=Simulasi!$B$11,DATE(YEAR(B197),MONTH(B197)+1,1),"")</f>
        <v/>
      </c>
      <c r="C198" s="180" t="str">
        <f>IF(A198&lt;=Simulasi!$B$11,'Rumus Plafond + Atrib PP3'!P186,"")</f>
        <v/>
      </c>
      <c r="D198" s="180">
        <f ca="1">IFERROR('Rumus Plafond + Atrib PP3'!R186,"")</f>
        <v>0</v>
      </c>
      <c r="E198" s="181" t="str">
        <f t="shared" ca="1" si="12"/>
        <v/>
      </c>
      <c r="F198" s="181" t="str">
        <f t="shared" ca="1" si="13"/>
        <v/>
      </c>
      <c r="G198" s="180">
        <f ca="1">IFERROR('Rumus Plafond + Atrib PP3'!R186,"")</f>
        <v>0</v>
      </c>
      <c r="H198" s="180">
        <f ca="1">IFERROR('Rumus Plafond + Atrib PP3'!Q186,"")</f>
        <v>0</v>
      </c>
      <c r="I198" s="181" t="str">
        <f t="shared" si="14"/>
        <v/>
      </c>
      <c r="J198" s="181" t="str">
        <f t="shared" si="15"/>
        <v/>
      </c>
      <c r="K198" s="180">
        <f>IFERROR('Rumus Plafond + Atrib PP3'!S186,"")</f>
        <v>0</v>
      </c>
    </row>
    <row r="199" spans="1:11" x14ac:dyDescent="0.3">
      <c r="A199" s="175">
        <f>'Rumus Plafond + Atrib PP3'!O187</f>
        <v>184</v>
      </c>
      <c r="B199" s="179" t="str">
        <f>IF(A199&lt;=Simulasi!$B$11,DATE(YEAR(B198),MONTH(B198)+1,1),"")</f>
        <v/>
      </c>
      <c r="C199" s="180" t="str">
        <f>IF(A199&lt;=Simulasi!$B$11,'Rumus Plafond + Atrib PP3'!P187,"")</f>
        <v/>
      </c>
      <c r="D199" s="180">
        <f ca="1">IFERROR('Rumus Plafond + Atrib PP3'!R187,"")</f>
        <v>0</v>
      </c>
      <c r="E199" s="181" t="str">
        <f t="shared" ca="1" si="12"/>
        <v/>
      </c>
      <c r="F199" s="181" t="str">
        <f t="shared" ca="1" si="13"/>
        <v/>
      </c>
      <c r="G199" s="180">
        <f ca="1">IFERROR('Rumus Plafond + Atrib PP3'!R187,"")</f>
        <v>0</v>
      </c>
      <c r="H199" s="180">
        <f ca="1">IFERROR('Rumus Plafond + Atrib PP3'!Q187,"")</f>
        <v>0</v>
      </c>
      <c r="I199" s="181" t="str">
        <f t="shared" si="14"/>
        <v/>
      </c>
      <c r="J199" s="181" t="str">
        <f t="shared" si="15"/>
        <v/>
      </c>
      <c r="K199" s="180">
        <f>IFERROR('Rumus Plafond + Atrib PP3'!S187,"")</f>
        <v>0</v>
      </c>
    </row>
    <row r="200" spans="1:11" x14ac:dyDescent="0.3">
      <c r="A200" s="175">
        <f>'Rumus Plafond + Atrib PP3'!O188</f>
        <v>185</v>
      </c>
      <c r="B200" s="179" t="str">
        <f>IF(A200&lt;=Simulasi!$B$11,DATE(YEAR(B199),MONTH(B199)+1,1),"")</f>
        <v/>
      </c>
      <c r="C200" s="180" t="str">
        <f>IF(A200&lt;=Simulasi!$B$11,'Rumus Plafond + Atrib PP3'!P188,"")</f>
        <v/>
      </c>
      <c r="D200" s="180">
        <f ca="1">IFERROR('Rumus Plafond + Atrib PP3'!R188,"")</f>
        <v>0</v>
      </c>
      <c r="E200" s="181" t="str">
        <f t="shared" ca="1" si="12"/>
        <v/>
      </c>
      <c r="F200" s="181" t="str">
        <f t="shared" ca="1" si="13"/>
        <v/>
      </c>
      <c r="G200" s="180">
        <f ca="1">IFERROR('Rumus Plafond + Atrib PP3'!R188,"")</f>
        <v>0</v>
      </c>
      <c r="H200" s="180">
        <f ca="1">IFERROR('Rumus Plafond + Atrib PP3'!Q188,"")</f>
        <v>0</v>
      </c>
      <c r="I200" s="181" t="str">
        <f t="shared" si="14"/>
        <v/>
      </c>
      <c r="J200" s="181" t="str">
        <f t="shared" si="15"/>
        <v/>
      </c>
      <c r="K200" s="180">
        <f>IFERROR('Rumus Plafond + Atrib PP3'!S188,"")</f>
        <v>0</v>
      </c>
    </row>
    <row r="201" spans="1:11" x14ac:dyDescent="0.3">
      <c r="A201" s="175">
        <f>'Rumus Plafond + Atrib PP3'!O189</f>
        <v>186</v>
      </c>
      <c r="B201" s="179" t="str">
        <f>IF(A201&lt;=Simulasi!$B$11,DATE(YEAR(B200),MONTH(B200)+1,1),"")</f>
        <v/>
      </c>
      <c r="C201" s="180" t="str">
        <f>IF(A201&lt;=Simulasi!$B$11,'Rumus Plafond + Atrib PP3'!P189,"")</f>
        <v/>
      </c>
      <c r="D201" s="180">
        <f ca="1">IFERROR('Rumus Plafond + Atrib PP3'!R189,"")</f>
        <v>0</v>
      </c>
      <c r="E201" s="181" t="str">
        <f t="shared" ca="1" si="12"/>
        <v/>
      </c>
      <c r="F201" s="181" t="str">
        <f t="shared" ca="1" si="13"/>
        <v/>
      </c>
      <c r="G201" s="180">
        <f ca="1">IFERROR('Rumus Plafond + Atrib PP3'!R189,"")</f>
        <v>0</v>
      </c>
      <c r="H201" s="180">
        <f ca="1">IFERROR('Rumus Plafond + Atrib PP3'!Q189,"")</f>
        <v>0</v>
      </c>
      <c r="I201" s="181" t="str">
        <f t="shared" si="14"/>
        <v/>
      </c>
      <c r="J201" s="181" t="str">
        <f t="shared" si="15"/>
        <v/>
      </c>
      <c r="K201" s="180">
        <f>IFERROR('Rumus Plafond + Atrib PP3'!S189,"")</f>
        <v>0</v>
      </c>
    </row>
    <row r="202" spans="1:11" x14ac:dyDescent="0.3">
      <c r="A202" s="175">
        <f>'Rumus Plafond + Atrib PP3'!O190</f>
        <v>187</v>
      </c>
      <c r="B202" s="179" t="str">
        <f>IF(A202&lt;=Simulasi!$B$11,DATE(YEAR(B201),MONTH(B201)+1,1),"")</f>
        <v/>
      </c>
      <c r="C202" s="180" t="str">
        <f>IF(A202&lt;=Simulasi!$B$11,'Rumus Plafond + Atrib PP3'!P190,"")</f>
        <v/>
      </c>
      <c r="D202" s="180">
        <f ca="1">IFERROR('Rumus Plafond + Atrib PP3'!R190,"")</f>
        <v>0</v>
      </c>
      <c r="E202" s="181" t="str">
        <f t="shared" ca="1" si="12"/>
        <v/>
      </c>
      <c r="F202" s="181" t="str">
        <f t="shared" ca="1" si="13"/>
        <v/>
      </c>
      <c r="G202" s="180">
        <f ca="1">IFERROR('Rumus Plafond + Atrib PP3'!R190,"")</f>
        <v>0</v>
      </c>
      <c r="H202" s="180">
        <f ca="1">IFERROR('Rumus Plafond + Atrib PP3'!Q190,"")</f>
        <v>0</v>
      </c>
      <c r="I202" s="181" t="str">
        <f t="shared" si="14"/>
        <v/>
      </c>
      <c r="J202" s="181" t="str">
        <f t="shared" si="15"/>
        <v/>
      </c>
      <c r="K202" s="180">
        <f>IFERROR('Rumus Plafond + Atrib PP3'!S190,"")</f>
        <v>0</v>
      </c>
    </row>
    <row r="203" spans="1:11" x14ac:dyDescent="0.3">
      <c r="A203" s="175">
        <f>'Rumus Plafond + Atrib PP3'!O191</f>
        <v>188</v>
      </c>
      <c r="B203" s="179" t="str">
        <f>IF(A203&lt;=Simulasi!$B$11,DATE(YEAR(B202),MONTH(B202)+1,1),"")</f>
        <v/>
      </c>
      <c r="C203" s="180" t="str">
        <f>IF(A203&lt;=Simulasi!$B$11,'Rumus Plafond + Atrib PP3'!P191,"")</f>
        <v/>
      </c>
      <c r="D203" s="180">
        <f ca="1">IFERROR('Rumus Plafond + Atrib PP3'!R191,"")</f>
        <v>0</v>
      </c>
      <c r="E203" s="181" t="str">
        <f t="shared" ca="1" si="12"/>
        <v/>
      </c>
      <c r="F203" s="181" t="str">
        <f t="shared" ca="1" si="13"/>
        <v/>
      </c>
      <c r="G203" s="180">
        <f ca="1">IFERROR('Rumus Plafond + Atrib PP3'!R191,"")</f>
        <v>0</v>
      </c>
      <c r="H203" s="180">
        <f ca="1">IFERROR('Rumus Plafond + Atrib PP3'!Q191,"")</f>
        <v>0</v>
      </c>
      <c r="I203" s="181" t="str">
        <f t="shared" si="14"/>
        <v/>
      </c>
      <c r="J203" s="181" t="str">
        <f t="shared" si="15"/>
        <v/>
      </c>
      <c r="K203" s="180">
        <f>IFERROR('Rumus Plafond + Atrib PP3'!S191,"")</f>
        <v>0</v>
      </c>
    </row>
    <row r="204" spans="1:11" x14ac:dyDescent="0.3">
      <c r="A204" s="175">
        <f>'Rumus Plafond + Atrib PP3'!O192</f>
        <v>189</v>
      </c>
      <c r="B204" s="179" t="str">
        <f>IF(A204&lt;=Simulasi!$B$11,DATE(YEAR(B203),MONTH(B203)+1,1),"")</f>
        <v/>
      </c>
      <c r="C204" s="180" t="str">
        <f>IF(A204&lt;=Simulasi!$B$11,'Rumus Plafond + Atrib PP3'!P192,"")</f>
        <v/>
      </c>
      <c r="D204" s="180">
        <f ca="1">IFERROR('Rumus Plafond + Atrib PP3'!R192,"")</f>
        <v>0</v>
      </c>
      <c r="E204" s="181" t="str">
        <f t="shared" ca="1" si="12"/>
        <v/>
      </c>
      <c r="F204" s="181" t="str">
        <f t="shared" ca="1" si="13"/>
        <v/>
      </c>
      <c r="G204" s="180">
        <f ca="1">IFERROR('Rumus Plafond + Atrib PP3'!R192,"")</f>
        <v>0</v>
      </c>
      <c r="H204" s="180">
        <f ca="1">IFERROR('Rumus Plafond + Atrib PP3'!Q192,"")</f>
        <v>0</v>
      </c>
      <c r="I204" s="181" t="str">
        <f t="shared" si="14"/>
        <v/>
      </c>
      <c r="J204" s="181" t="str">
        <f t="shared" si="15"/>
        <v/>
      </c>
      <c r="K204" s="180">
        <f>IFERROR('Rumus Plafond + Atrib PP3'!S192,"")</f>
        <v>0</v>
      </c>
    </row>
    <row r="205" spans="1:11" x14ac:dyDescent="0.3">
      <c r="A205" s="175">
        <f>'Rumus Plafond + Atrib PP3'!O193</f>
        <v>190</v>
      </c>
      <c r="B205" s="179" t="str">
        <f>IF(A205&lt;=Simulasi!$B$11,DATE(YEAR(B204),MONTH(B204)+1,1),"")</f>
        <v/>
      </c>
      <c r="C205" s="180" t="str">
        <f>IF(A205&lt;=Simulasi!$B$11,'Rumus Plafond + Atrib PP3'!P193,"")</f>
        <v/>
      </c>
      <c r="D205" s="180">
        <f ca="1">IFERROR('Rumus Plafond + Atrib PP3'!R193,"")</f>
        <v>0</v>
      </c>
      <c r="E205" s="181" t="str">
        <f t="shared" ca="1" si="12"/>
        <v/>
      </c>
      <c r="F205" s="181" t="str">
        <f t="shared" ca="1" si="13"/>
        <v/>
      </c>
      <c r="G205" s="180">
        <f ca="1">IFERROR('Rumus Plafond + Atrib PP3'!R193,"")</f>
        <v>0</v>
      </c>
      <c r="H205" s="180">
        <f ca="1">IFERROR('Rumus Plafond + Atrib PP3'!Q193,"")</f>
        <v>0</v>
      </c>
      <c r="I205" s="181" t="str">
        <f t="shared" si="14"/>
        <v/>
      </c>
      <c r="J205" s="181" t="str">
        <f t="shared" si="15"/>
        <v/>
      </c>
      <c r="K205" s="180">
        <f>IFERROR('Rumus Plafond + Atrib PP3'!S193,"")</f>
        <v>0</v>
      </c>
    </row>
    <row r="206" spans="1:11" x14ac:dyDescent="0.3">
      <c r="A206" s="175">
        <f>'Rumus Plafond + Atrib PP3'!O194</f>
        <v>191</v>
      </c>
      <c r="B206" s="179" t="str">
        <f>IF(A206&lt;=Simulasi!$B$11,DATE(YEAR(B205),MONTH(B205)+1,1),"")</f>
        <v/>
      </c>
      <c r="C206" s="180" t="str">
        <f>IF(A206&lt;=Simulasi!$B$11,'Rumus Plafond + Atrib PP3'!P194,"")</f>
        <v/>
      </c>
      <c r="D206" s="180">
        <f ca="1">IFERROR('Rumus Plafond + Atrib PP3'!R194,"")</f>
        <v>0</v>
      </c>
      <c r="E206" s="181" t="str">
        <f t="shared" ca="1" si="12"/>
        <v/>
      </c>
      <c r="F206" s="181" t="str">
        <f t="shared" ca="1" si="13"/>
        <v/>
      </c>
      <c r="G206" s="180">
        <f ca="1">IFERROR('Rumus Plafond + Atrib PP3'!R194,"")</f>
        <v>0</v>
      </c>
      <c r="H206" s="180">
        <f ca="1">IFERROR('Rumus Plafond + Atrib PP3'!Q194,"")</f>
        <v>0</v>
      </c>
      <c r="I206" s="181" t="str">
        <f t="shared" si="14"/>
        <v/>
      </c>
      <c r="J206" s="181" t="str">
        <f t="shared" si="15"/>
        <v/>
      </c>
      <c r="K206" s="180">
        <f>IFERROR('Rumus Plafond + Atrib PP3'!S194,"")</f>
        <v>0</v>
      </c>
    </row>
    <row r="207" spans="1:11" x14ac:dyDescent="0.3">
      <c r="A207" s="175">
        <f>'Rumus Plafond + Atrib PP3'!O195</f>
        <v>192</v>
      </c>
      <c r="B207" s="179" t="str">
        <f>IF(A207&lt;=Simulasi!$B$11,DATE(YEAR(B206),MONTH(B206)+1,1),"")</f>
        <v/>
      </c>
      <c r="C207" s="180" t="str">
        <f>IF(A207&lt;=Simulasi!$B$11,'Rumus Plafond + Atrib PP3'!P195,"")</f>
        <v/>
      </c>
      <c r="D207" s="180">
        <f ca="1">IFERROR('Rumus Plafond + Atrib PP3'!R195,"")</f>
        <v>0</v>
      </c>
      <c r="E207" s="181" t="str">
        <f t="shared" ca="1" si="12"/>
        <v/>
      </c>
      <c r="F207" s="181" t="str">
        <f t="shared" ca="1" si="13"/>
        <v/>
      </c>
      <c r="G207" s="180">
        <f ca="1">IFERROR('Rumus Plafond + Atrib PP3'!R195,"")</f>
        <v>0</v>
      </c>
      <c r="H207" s="180">
        <f ca="1">IFERROR('Rumus Plafond + Atrib PP3'!Q195,"")</f>
        <v>0</v>
      </c>
      <c r="I207" s="181" t="str">
        <f t="shared" si="14"/>
        <v/>
      </c>
      <c r="J207" s="181" t="str">
        <f t="shared" si="15"/>
        <v/>
      </c>
      <c r="K207" s="180">
        <f>IFERROR('Rumus Plafond + Atrib PP3'!S195,"")</f>
        <v>0</v>
      </c>
    </row>
    <row r="208" spans="1:11" x14ac:dyDescent="0.3">
      <c r="A208" s="175">
        <f>'Rumus Plafond + Atrib PP3'!O196</f>
        <v>193</v>
      </c>
      <c r="B208" s="179" t="str">
        <f>IF(A208&lt;=Simulasi!$B$11,DATE(YEAR(B207),MONTH(B207)+1,1),"")</f>
        <v/>
      </c>
      <c r="C208" s="180" t="str">
        <f>IF(A208&lt;=Simulasi!$B$11,'Rumus Plafond + Atrib PP3'!P196,"")</f>
        <v/>
      </c>
      <c r="D208" s="180">
        <f ca="1">IFERROR('Rumus Plafond + Atrib PP3'!R196,"")</f>
        <v>0</v>
      </c>
      <c r="E208" s="181" t="str">
        <f t="shared" ca="1" si="12"/>
        <v/>
      </c>
      <c r="F208" s="181" t="str">
        <f t="shared" ca="1" si="13"/>
        <v/>
      </c>
      <c r="G208" s="180">
        <f ca="1">IFERROR('Rumus Plafond + Atrib PP3'!R196,"")</f>
        <v>0</v>
      </c>
      <c r="H208" s="180">
        <f ca="1">IFERROR('Rumus Plafond + Atrib PP3'!Q196,"")</f>
        <v>0</v>
      </c>
      <c r="I208" s="181" t="str">
        <f t="shared" si="14"/>
        <v/>
      </c>
      <c r="J208" s="181" t="str">
        <f t="shared" si="15"/>
        <v/>
      </c>
      <c r="K208" s="180">
        <f>IFERROR('Rumus Plafond + Atrib PP3'!S196,"")</f>
        <v>0</v>
      </c>
    </row>
    <row r="209" spans="1:11" x14ac:dyDescent="0.3">
      <c r="A209" s="175">
        <f>'Rumus Plafond + Atrib PP3'!O197</f>
        <v>194</v>
      </c>
      <c r="B209" s="179" t="str">
        <f>IF(A209&lt;=Simulasi!$B$11,DATE(YEAR(B208),MONTH(B208)+1,1),"")</f>
        <v/>
      </c>
      <c r="C209" s="180" t="str">
        <f>IF(A209&lt;=Simulasi!$B$11,'Rumus Plafond + Atrib PP3'!P197,"")</f>
        <v/>
      </c>
      <c r="D209" s="180">
        <f ca="1">IFERROR('Rumus Plafond + Atrib PP3'!R197,"")</f>
        <v>0</v>
      </c>
      <c r="E209" s="181" t="str">
        <f t="shared" ca="1" si="12"/>
        <v/>
      </c>
      <c r="F209" s="181" t="str">
        <f t="shared" ca="1" si="13"/>
        <v/>
      </c>
      <c r="G209" s="180">
        <f ca="1">IFERROR('Rumus Plafond + Atrib PP3'!R197,"")</f>
        <v>0</v>
      </c>
      <c r="H209" s="180">
        <f ca="1">IFERROR('Rumus Plafond + Atrib PP3'!Q197,"")</f>
        <v>0</v>
      </c>
      <c r="I209" s="181" t="str">
        <f t="shared" si="14"/>
        <v/>
      </c>
      <c r="J209" s="181" t="str">
        <f t="shared" si="15"/>
        <v/>
      </c>
      <c r="K209" s="180">
        <f>IFERROR('Rumus Plafond + Atrib PP3'!S197,"")</f>
        <v>0</v>
      </c>
    </row>
    <row r="210" spans="1:11" x14ac:dyDescent="0.3">
      <c r="A210" s="175">
        <f>'Rumus Plafond + Atrib PP3'!O198</f>
        <v>195</v>
      </c>
      <c r="B210" s="179" t="str">
        <f>IF(A210&lt;=Simulasi!$B$11,DATE(YEAR(B209),MONTH(B209)+1,1),"")</f>
        <v/>
      </c>
      <c r="C210" s="180" t="str">
        <f>IF(A210&lt;=Simulasi!$B$11,'Rumus Plafond + Atrib PP3'!P198,"")</f>
        <v/>
      </c>
      <c r="D210" s="180">
        <f ca="1">IFERROR('Rumus Plafond + Atrib PP3'!R198,"")</f>
        <v>0</v>
      </c>
      <c r="E210" s="181" t="str">
        <f t="shared" ca="1" si="12"/>
        <v/>
      </c>
      <c r="F210" s="181" t="str">
        <f t="shared" ca="1" si="13"/>
        <v/>
      </c>
      <c r="G210" s="180">
        <f ca="1">IFERROR('Rumus Plafond + Atrib PP3'!R198,"")</f>
        <v>0</v>
      </c>
      <c r="H210" s="180">
        <f ca="1">IFERROR('Rumus Plafond + Atrib PP3'!Q198,"")</f>
        <v>0</v>
      </c>
      <c r="I210" s="181" t="str">
        <f t="shared" si="14"/>
        <v/>
      </c>
      <c r="J210" s="181" t="str">
        <f t="shared" si="15"/>
        <v/>
      </c>
      <c r="K210" s="180">
        <f>IFERROR('Rumus Plafond + Atrib PP3'!S198,"")</f>
        <v>0</v>
      </c>
    </row>
    <row r="211" spans="1:11" x14ac:dyDescent="0.3">
      <c r="A211" s="175">
        <f>'Rumus Plafond + Atrib PP3'!O199</f>
        <v>196</v>
      </c>
      <c r="B211" s="179" t="str">
        <f>IF(A211&lt;=Simulasi!$B$11,DATE(YEAR(B210),MONTH(B210)+1,1),"")</f>
        <v/>
      </c>
      <c r="C211" s="180" t="str">
        <f>IF(A211&lt;=Simulasi!$B$11,'Rumus Plafond + Atrib PP3'!P199,"")</f>
        <v/>
      </c>
      <c r="D211" s="180">
        <f ca="1">IFERROR('Rumus Plafond + Atrib PP3'!R199,"")</f>
        <v>0</v>
      </c>
      <c r="E211" s="181" t="str">
        <f t="shared" ca="1" si="12"/>
        <v/>
      </c>
      <c r="F211" s="181" t="str">
        <f t="shared" ca="1" si="13"/>
        <v/>
      </c>
      <c r="G211" s="180">
        <f ca="1">IFERROR('Rumus Plafond + Atrib PP3'!R199,"")</f>
        <v>0</v>
      </c>
      <c r="H211" s="180">
        <f ca="1">IFERROR('Rumus Plafond + Atrib PP3'!Q199,"")</f>
        <v>0</v>
      </c>
      <c r="I211" s="181" t="str">
        <f t="shared" si="14"/>
        <v/>
      </c>
      <c r="J211" s="181" t="str">
        <f t="shared" si="15"/>
        <v/>
      </c>
      <c r="K211" s="180">
        <f>IFERROR('Rumus Plafond + Atrib PP3'!S199,"")</f>
        <v>0</v>
      </c>
    </row>
    <row r="212" spans="1:11" x14ac:dyDescent="0.3">
      <c r="A212" s="175">
        <f>'Rumus Plafond + Atrib PP3'!O200</f>
        <v>197</v>
      </c>
      <c r="B212" s="179" t="str">
        <f>IF(A212&lt;=Simulasi!$B$11,DATE(YEAR(B211),MONTH(B211)+1,1),"")</f>
        <v/>
      </c>
      <c r="C212" s="180" t="str">
        <f>IF(A212&lt;=Simulasi!$B$11,'Rumus Plafond + Atrib PP3'!P200,"")</f>
        <v/>
      </c>
      <c r="D212" s="180">
        <f ca="1">IFERROR('Rumus Plafond + Atrib PP3'!R200,"")</f>
        <v>0</v>
      </c>
      <c r="E212" s="181" t="str">
        <f t="shared" ca="1" si="12"/>
        <v/>
      </c>
      <c r="F212" s="181" t="str">
        <f t="shared" ca="1" si="13"/>
        <v/>
      </c>
      <c r="G212" s="180">
        <f ca="1">IFERROR('Rumus Plafond + Atrib PP3'!R200,"")</f>
        <v>0</v>
      </c>
      <c r="H212" s="180">
        <f ca="1">IFERROR('Rumus Plafond + Atrib PP3'!Q200,"")</f>
        <v>0</v>
      </c>
      <c r="I212" s="181" t="str">
        <f t="shared" si="14"/>
        <v/>
      </c>
      <c r="J212" s="181" t="str">
        <f t="shared" si="15"/>
        <v/>
      </c>
      <c r="K212" s="180">
        <f>IFERROR('Rumus Plafond + Atrib PP3'!S200,"")</f>
        <v>0</v>
      </c>
    </row>
    <row r="213" spans="1:11" x14ac:dyDescent="0.3">
      <c r="A213" s="175">
        <f>'Rumus Plafond + Atrib PP3'!O201</f>
        <v>198</v>
      </c>
      <c r="B213" s="179" t="str">
        <f>IF(A213&lt;=Simulasi!$B$11,DATE(YEAR(B212),MONTH(B212)+1,1),"")</f>
        <v/>
      </c>
      <c r="C213" s="180" t="str">
        <f>IF(A213&lt;=Simulasi!$B$11,'Rumus Plafond + Atrib PP3'!P201,"")</f>
        <v/>
      </c>
      <c r="D213" s="180">
        <f ca="1">IFERROR('Rumus Plafond + Atrib PP3'!R201,"")</f>
        <v>0</v>
      </c>
      <c r="E213" s="181" t="str">
        <f t="shared" ca="1" si="12"/>
        <v/>
      </c>
      <c r="F213" s="181" t="str">
        <f t="shared" ca="1" si="13"/>
        <v/>
      </c>
      <c r="G213" s="180">
        <f ca="1">IFERROR('Rumus Plafond + Atrib PP3'!R201,"")</f>
        <v>0</v>
      </c>
      <c r="H213" s="180">
        <f ca="1">IFERROR('Rumus Plafond + Atrib PP3'!Q201,"")</f>
        <v>0</v>
      </c>
      <c r="I213" s="181" t="str">
        <f t="shared" si="14"/>
        <v/>
      </c>
      <c r="J213" s="181" t="str">
        <f t="shared" si="15"/>
        <v/>
      </c>
      <c r="K213" s="180">
        <f>IFERROR('Rumus Plafond + Atrib PP3'!S201,"")</f>
        <v>0</v>
      </c>
    </row>
    <row r="214" spans="1:11" x14ac:dyDescent="0.3">
      <c r="A214" s="175">
        <f>'Rumus Plafond + Atrib PP3'!O202</f>
        <v>199</v>
      </c>
      <c r="B214" s="179" t="str">
        <f>IF(A214&lt;=Simulasi!$B$11,DATE(YEAR(B213),MONTH(B213)+1,1),"")</f>
        <v/>
      </c>
      <c r="C214" s="180" t="str">
        <f>IF(A214&lt;=Simulasi!$B$11,'Rumus Plafond + Atrib PP3'!P202,"")</f>
        <v/>
      </c>
      <c r="D214" s="180">
        <f ca="1">IFERROR('Rumus Plafond + Atrib PP3'!R202,"")</f>
        <v>0</v>
      </c>
      <c r="E214" s="181" t="str">
        <f t="shared" ca="1" si="12"/>
        <v/>
      </c>
      <c r="F214" s="181" t="str">
        <f t="shared" ca="1" si="13"/>
        <v/>
      </c>
      <c r="G214" s="180">
        <f ca="1">IFERROR('Rumus Plafond + Atrib PP3'!R202,"")</f>
        <v>0</v>
      </c>
      <c r="H214" s="180">
        <f ca="1">IFERROR('Rumus Plafond + Atrib PP3'!Q202,"")</f>
        <v>0</v>
      </c>
      <c r="I214" s="181" t="str">
        <f t="shared" si="14"/>
        <v/>
      </c>
      <c r="J214" s="181" t="str">
        <f t="shared" si="15"/>
        <v/>
      </c>
      <c r="K214" s="180">
        <f>IFERROR('Rumus Plafond + Atrib PP3'!S202,"")</f>
        <v>0</v>
      </c>
    </row>
    <row r="215" spans="1:11" x14ac:dyDescent="0.3">
      <c r="A215" s="175">
        <f>'Rumus Plafond + Atrib PP3'!O203</f>
        <v>200</v>
      </c>
      <c r="B215" s="179" t="str">
        <f>IF(A215&lt;=Simulasi!$B$11,DATE(YEAR(B214),MONTH(B214)+1,1),"")</f>
        <v/>
      </c>
      <c r="C215" s="180" t="str">
        <f>IF(A215&lt;=Simulasi!$B$11,'Rumus Plafond + Atrib PP3'!P203,"")</f>
        <v/>
      </c>
      <c r="D215" s="180">
        <f ca="1">IFERROR('Rumus Plafond + Atrib PP3'!R203,"")</f>
        <v>0</v>
      </c>
      <c r="E215" s="181" t="str">
        <f t="shared" ca="1" si="12"/>
        <v/>
      </c>
      <c r="F215" s="181" t="str">
        <f t="shared" ca="1" si="13"/>
        <v/>
      </c>
      <c r="G215" s="180">
        <f ca="1">IFERROR('Rumus Plafond + Atrib PP3'!R203,"")</f>
        <v>0</v>
      </c>
      <c r="H215" s="180">
        <f ca="1">IFERROR('Rumus Plafond + Atrib PP3'!Q203,"")</f>
        <v>0</v>
      </c>
      <c r="I215" s="181" t="str">
        <f t="shared" si="14"/>
        <v/>
      </c>
      <c r="J215" s="181" t="str">
        <f t="shared" si="15"/>
        <v/>
      </c>
      <c r="K215" s="180">
        <f>IFERROR('Rumus Plafond + Atrib PP3'!S203,"")</f>
        <v>0</v>
      </c>
    </row>
    <row r="216" spans="1:11" x14ac:dyDescent="0.3">
      <c r="A216" s="175">
        <f>'Rumus Plafond + Atrib PP3'!O204</f>
        <v>201</v>
      </c>
      <c r="B216" s="179" t="str">
        <f>IF(A216&lt;=Simulasi!$B$11,DATE(YEAR(B215),MONTH(B215)+1,1),"")</f>
        <v/>
      </c>
      <c r="C216" s="180" t="str">
        <f>IF(A216&lt;=Simulasi!$B$11,'Rumus Plafond + Atrib PP3'!P204,"")</f>
        <v/>
      </c>
      <c r="D216" s="180">
        <f ca="1">IFERROR('Rumus Plafond + Atrib PP3'!R204,"")</f>
        <v>0</v>
      </c>
      <c r="E216" s="181" t="str">
        <f t="shared" ca="1" si="12"/>
        <v/>
      </c>
      <c r="F216" s="181" t="str">
        <f t="shared" ca="1" si="13"/>
        <v/>
      </c>
      <c r="G216" s="180">
        <f ca="1">IFERROR('Rumus Plafond + Atrib PP3'!R204,"")</f>
        <v>0</v>
      </c>
      <c r="H216" s="180">
        <f ca="1">IFERROR('Rumus Plafond + Atrib PP3'!Q204,"")</f>
        <v>0</v>
      </c>
      <c r="I216" s="181" t="str">
        <f t="shared" si="14"/>
        <v/>
      </c>
      <c r="J216" s="181" t="str">
        <f t="shared" si="15"/>
        <v/>
      </c>
      <c r="K216" s="180">
        <f>IFERROR('Rumus Plafond + Atrib PP3'!S204,"")</f>
        <v>0</v>
      </c>
    </row>
    <row r="217" spans="1:11" x14ac:dyDescent="0.3">
      <c r="A217" s="175">
        <f>'Rumus Plafond + Atrib PP3'!O205</f>
        <v>202</v>
      </c>
      <c r="B217" s="179" t="str">
        <f>IF(A217&lt;=Simulasi!$B$11,DATE(YEAR(B216),MONTH(B216)+1,1),"")</f>
        <v/>
      </c>
      <c r="C217" s="180" t="str">
        <f>IF(A217&lt;=Simulasi!$B$11,'Rumus Plafond + Atrib PP3'!P205,"")</f>
        <v/>
      </c>
      <c r="D217" s="180">
        <f ca="1">IFERROR('Rumus Plafond + Atrib PP3'!R205,"")</f>
        <v>0</v>
      </c>
      <c r="E217" s="181" t="str">
        <f t="shared" ca="1" si="12"/>
        <v/>
      </c>
      <c r="F217" s="181" t="str">
        <f t="shared" ca="1" si="13"/>
        <v/>
      </c>
      <c r="G217" s="180">
        <f ca="1">IFERROR('Rumus Plafond + Atrib PP3'!R205,"")</f>
        <v>0</v>
      </c>
      <c r="H217" s="180">
        <f ca="1">IFERROR('Rumus Plafond + Atrib PP3'!Q205,"")</f>
        <v>0</v>
      </c>
      <c r="I217" s="181" t="str">
        <f t="shared" si="14"/>
        <v/>
      </c>
      <c r="J217" s="181" t="str">
        <f t="shared" si="15"/>
        <v/>
      </c>
      <c r="K217" s="180">
        <f>IFERROR('Rumus Plafond + Atrib PP3'!S205,"")</f>
        <v>0</v>
      </c>
    </row>
    <row r="218" spans="1:11" x14ac:dyDescent="0.3">
      <c r="A218" s="175">
        <f>'Rumus Plafond + Atrib PP3'!O206</f>
        <v>203</v>
      </c>
      <c r="B218" s="179" t="str">
        <f>IF(A218&lt;=Simulasi!$B$11,DATE(YEAR(B217),MONTH(B217)+1,1),"")</f>
        <v/>
      </c>
      <c r="C218" s="180" t="str">
        <f>IF(A218&lt;=Simulasi!$B$11,'Rumus Plafond + Atrib PP3'!P206,"")</f>
        <v/>
      </c>
      <c r="D218" s="180">
        <f ca="1">IFERROR('Rumus Plafond + Atrib PP3'!R206,"")</f>
        <v>0</v>
      </c>
      <c r="E218" s="181" t="str">
        <f t="shared" ca="1" si="12"/>
        <v/>
      </c>
      <c r="F218" s="181" t="str">
        <f t="shared" ca="1" si="13"/>
        <v/>
      </c>
      <c r="G218" s="180">
        <f ca="1">IFERROR('Rumus Plafond + Atrib PP3'!R206,"")</f>
        <v>0</v>
      </c>
      <c r="H218" s="180">
        <f ca="1">IFERROR('Rumus Plafond + Atrib PP3'!Q206,"")</f>
        <v>0</v>
      </c>
      <c r="I218" s="181" t="str">
        <f t="shared" si="14"/>
        <v/>
      </c>
      <c r="J218" s="181" t="str">
        <f t="shared" si="15"/>
        <v/>
      </c>
      <c r="K218" s="180">
        <f>IFERROR('Rumus Plafond + Atrib PP3'!S206,"")</f>
        <v>0</v>
      </c>
    </row>
    <row r="219" spans="1:11" x14ac:dyDescent="0.3">
      <c r="A219" s="175">
        <f>'Rumus Plafond + Atrib PP3'!O207</f>
        <v>204</v>
      </c>
      <c r="B219" s="179" t="str">
        <f>IF(A219&lt;=Simulasi!$B$11,DATE(YEAR(B218),MONTH(B218)+1,1),"")</f>
        <v/>
      </c>
      <c r="C219" s="180" t="str">
        <f>IF(A219&lt;=Simulasi!$B$11,'Rumus Plafond + Atrib PP3'!P207,"")</f>
        <v/>
      </c>
      <c r="D219" s="180">
        <f ca="1">IFERROR('Rumus Plafond + Atrib PP3'!R207,"")</f>
        <v>0</v>
      </c>
      <c r="E219" s="181" t="str">
        <f t="shared" ca="1" si="12"/>
        <v/>
      </c>
      <c r="F219" s="181" t="str">
        <f t="shared" ca="1" si="13"/>
        <v/>
      </c>
      <c r="G219" s="180">
        <f ca="1">IFERROR('Rumus Plafond + Atrib PP3'!R207,"")</f>
        <v>0</v>
      </c>
      <c r="H219" s="180">
        <f ca="1">IFERROR('Rumus Plafond + Atrib PP3'!Q207,"")</f>
        <v>0</v>
      </c>
      <c r="I219" s="181" t="str">
        <f t="shared" si="14"/>
        <v/>
      </c>
      <c r="J219" s="181" t="str">
        <f t="shared" si="15"/>
        <v/>
      </c>
      <c r="K219" s="180">
        <f>IFERROR('Rumus Plafond + Atrib PP3'!S207,"")</f>
        <v>0</v>
      </c>
    </row>
    <row r="220" spans="1:11" x14ac:dyDescent="0.3">
      <c r="A220" s="175">
        <f>'Rumus Plafond + Atrib PP3'!O208</f>
        <v>205</v>
      </c>
      <c r="B220" s="179" t="str">
        <f>IF(A220&lt;=Simulasi!$B$11,DATE(YEAR(B219),MONTH(B219)+1,1),"")</f>
        <v/>
      </c>
      <c r="C220" s="180" t="str">
        <f>IF(A220&lt;=Simulasi!$B$11,'Rumus Plafond + Atrib PP3'!P208,"")</f>
        <v/>
      </c>
      <c r="D220" s="180">
        <f ca="1">IFERROR('Rumus Plafond + Atrib PP3'!R208,"")</f>
        <v>0</v>
      </c>
      <c r="E220" s="181" t="str">
        <f t="shared" ca="1" si="12"/>
        <v/>
      </c>
      <c r="F220" s="181" t="str">
        <f t="shared" ca="1" si="13"/>
        <v/>
      </c>
      <c r="G220" s="180">
        <f ca="1">IFERROR('Rumus Plafond + Atrib PP3'!R208,"")</f>
        <v>0</v>
      </c>
      <c r="H220" s="180">
        <f ca="1">IFERROR('Rumus Plafond + Atrib PP3'!Q208,"")</f>
        <v>0</v>
      </c>
      <c r="I220" s="181" t="str">
        <f t="shared" si="14"/>
        <v/>
      </c>
      <c r="J220" s="181" t="str">
        <f t="shared" si="15"/>
        <v/>
      </c>
      <c r="K220" s="180">
        <f>IFERROR('Rumus Plafond + Atrib PP3'!S208,"")</f>
        <v>0</v>
      </c>
    </row>
    <row r="221" spans="1:11" x14ac:dyDescent="0.3">
      <c r="A221" s="175">
        <f>'Rumus Plafond + Atrib PP3'!O209</f>
        <v>206</v>
      </c>
      <c r="B221" s="179" t="str">
        <f>IF(A221&lt;=Simulasi!$B$11,DATE(YEAR(B220),MONTH(B220)+1,1),"")</f>
        <v/>
      </c>
      <c r="C221" s="180" t="str">
        <f>IF(A221&lt;=Simulasi!$B$11,'Rumus Plafond + Atrib PP3'!P209,"")</f>
        <v/>
      </c>
      <c r="D221" s="180">
        <f ca="1">IFERROR('Rumus Plafond + Atrib PP3'!R209,"")</f>
        <v>0</v>
      </c>
      <c r="E221" s="181" t="str">
        <f t="shared" ca="1" si="12"/>
        <v/>
      </c>
      <c r="F221" s="181" t="str">
        <f t="shared" ca="1" si="13"/>
        <v/>
      </c>
      <c r="G221" s="180">
        <f ca="1">IFERROR('Rumus Plafond + Atrib PP3'!R209,"")</f>
        <v>0</v>
      </c>
      <c r="H221" s="180">
        <f ca="1">IFERROR('Rumus Plafond + Atrib PP3'!Q209,"")</f>
        <v>0</v>
      </c>
      <c r="I221" s="181" t="str">
        <f t="shared" si="14"/>
        <v/>
      </c>
      <c r="J221" s="181" t="str">
        <f t="shared" si="15"/>
        <v/>
      </c>
      <c r="K221" s="180">
        <f>IFERROR('Rumus Plafond + Atrib PP3'!S209,"")</f>
        <v>0</v>
      </c>
    </row>
    <row r="222" spans="1:11" x14ac:dyDescent="0.3">
      <c r="A222" s="175">
        <f>'Rumus Plafond + Atrib PP3'!O210</f>
        <v>207</v>
      </c>
      <c r="B222" s="179" t="str">
        <f>IF(A222&lt;=Simulasi!$B$11,DATE(YEAR(B221),MONTH(B221)+1,1),"")</f>
        <v/>
      </c>
      <c r="C222" s="180" t="str">
        <f>IF(A222&lt;=Simulasi!$B$11,'Rumus Plafond + Atrib PP3'!P210,"")</f>
        <v/>
      </c>
      <c r="D222" s="180">
        <f ca="1">IFERROR('Rumus Plafond + Atrib PP3'!R210,"")</f>
        <v>0</v>
      </c>
      <c r="E222" s="181" t="str">
        <f t="shared" ca="1" si="12"/>
        <v/>
      </c>
      <c r="F222" s="181" t="str">
        <f t="shared" ca="1" si="13"/>
        <v/>
      </c>
      <c r="G222" s="180">
        <f ca="1">IFERROR('Rumus Plafond + Atrib PP3'!R210,"")</f>
        <v>0</v>
      </c>
      <c r="H222" s="180">
        <f ca="1">IFERROR('Rumus Plafond + Atrib PP3'!Q210,"")</f>
        <v>0</v>
      </c>
      <c r="I222" s="181" t="str">
        <f t="shared" si="14"/>
        <v/>
      </c>
      <c r="J222" s="181" t="str">
        <f t="shared" si="15"/>
        <v/>
      </c>
      <c r="K222" s="180">
        <f>IFERROR('Rumus Plafond + Atrib PP3'!S210,"")</f>
        <v>0</v>
      </c>
    </row>
    <row r="223" spans="1:11" x14ac:dyDescent="0.3">
      <c r="A223" s="175">
        <f>'Rumus Plafond + Atrib PP3'!O211</f>
        <v>208</v>
      </c>
      <c r="B223" s="179" t="str">
        <f>IF(A223&lt;=Simulasi!$B$11,DATE(YEAR(B222),MONTH(B222)+1,1),"")</f>
        <v/>
      </c>
      <c r="C223" s="180" t="str">
        <f>IF(A223&lt;=Simulasi!$B$11,'Rumus Plafond + Atrib PP3'!P211,"")</f>
        <v/>
      </c>
      <c r="D223" s="180">
        <f ca="1">IFERROR('Rumus Plafond + Atrib PP3'!R211,"")</f>
        <v>0</v>
      </c>
      <c r="E223" s="181" t="str">
        <f t="shared" ca="1" si="12"/>
        <v/>
      </c>
      <c r="F223" s="181" t="str">
        <f t="shared" ca="1" si="13"/>
        <v/>
      </c>
      <c r="G223" s="180">
        <f ca="1">IFERROR('Rumus Plafond + Atrib PP3'!R211,"")</f>
        <v>0</v>
      </c>
      <c r="H223" s="180">
        <f ca="1">IFERROR('Rumus Plafond + Atrib PP3'!Q211,"")</f>
        <v>0</v>
      </c>
      <c r="I223" s="181" t="str">
        <f t="shared" si="14"/>
        <v/>
      </c>
      <c r="J223" s="181" t="str">
        <f t="shared" si="15"/>
        <v/>
      </c>
      <c r="K223" s="180">
        <f>IFERROR('Rumus Plafond + Atrib PP3'!S211,"")</f>
        <v>0</v>
      </c>
    </row>
    <row r="224" spans="1:11" x14ac:dyDescent="0.3">
      <c r="A224" s="175">
        <f>'Rumus Plafond + Atrib PP3'!O212</f>
        <v>209</v>
      </c>
      <c r="B224" s="179" t="str">
        <f>IF(A224&lt;=Simulasi!$B$11,DATE(YEAR(B223),MONTH(B223)+1,1),"")</f>
        <v/>
      </c>
      <c r="C224" s="180" t="str">
        <f>IF(A224&lt;=Simulasi!$B$11,'Rumus Plafond + Atrib PP3'!P212,"")</f>
        <v/>
      </c>
      <c r="D224" s="180">
        <f ca="1">IFERROR('Rumus Plafond + Atrib PP3'!R212,"")</f>
        <v>0</v>
      </c>
      <c r="E224" s="181" t="str">
        <f t="shared" ca="1" si="12"/>
        <v/>
      </c>
      <c r="F224" s="181" t="str">
        <f t="shared" ca="1" si="13"/>
        <v/>
      </c>
      <c r="G224" s="180">
        <f ca="1">IFERROR('Rumus Plafond + Atrib PP3'!R212,"")</f>
        <v>0</v>
      </c>
      <c r="H224" s="180">
        <f ca="1">IFERROR('Rumus Plafond + Atrib PP3'!Q212,"")</f>
        <v>0</v>
      </c>
      <c r="I224" s="181" t="str">
        <f t="shared" si="14"/>
        <v/>
      </c>
      <c r="J224" s="181" t="str">
        <f t="shared" si="15"/>
        <v/>
      </c>
      <c r="K224" s="180">
        <f>IFERROR('Rumus Plafond + Atrib PP3'!S212,"")</f>
        <v>0</v>
      </c>
    </row>
    <row r="225" spans="1:11" x14ac:dyDescent="0.3">
      <c r="A225" s="175">
        <f>'Rumus Plafond + Atrib PP3'!O213</f>
        <v>210</v>
      </c>
      <c r="B225" s="179" t="str">
        <f>IF(A225&lt;=Simulasi!$B$11,DATE(YEAR(B224),MONTH(B224)+1,1),"")</f>
        <v/>
      </c>
      <c r="C225" s="180" t="str">
        <f>IF(A225&lt;=Simulasi!$B$11,'Rumus Plafond + Atrib PP3'!P213,"")</f>
        <v/>
      </c>
      <c r="D225" s="180">
        <f ca="1">IFERROR('Rumus Plafond + Atrib PP3'!R213,"")</f>
        <v>0</v>
      </c>
      <c r="E225" s="181" t="str">
        <f t="shared" ca="1" si="12"/>
        <v/>
      </c>
      <c r="F225" s="181" t="str">
        <f t="shared" ca="1" si="13"/>
        <v/>
      </c>
      <c r="G225" s="180">
        <f ca="1">IFERROR('Rumus Plafond + Atrib PP3'!R213,"")</f>
        <v>0</v>
      </c>
      <c r="H225" s="180">
        <f ca="1">IFERROR('Rumus Plafond + Atrib PP3'!Q213,"")</f>
        <v>0</v>
      </c>
      <c r="I225" s="181" t="str">
        <f t="shared" si="14"/>
        <v/>
      </c>
      <c r="J225" s="181" t="str">
        <f t="shared" si="15"/>
        <v/>
      </c>
      <c r="K225" s="180">
        <f>IFERROR('Rumus Plafond + Atrib PP3'!S213,"")</f>
        <v>0</v>
      </c>
    </row>
    <row r="226" spans="1:11" x14ac:dyDescent="0.3">
      <c r="A226" s="175">
        <f>'Rumus Plafond + Atrib PP3'!O214</f>
        <v>211</v>
      </c>
      <c r="B226" s="179" t="str">
        <f>IF(A226&lt;=Simulasi!$B$11,DATE(YEAR(B225),MONTH(B225)+1,1),"")</f>
        <v/>
      </c>
      <c r="C226" s="180" t="str">
        <f>IF(A226&lt;=Simulasi!$B$11,'Rumus Plafond + Atrib PP3'!P214,"")</f>
        <v/>
      </c>
      <c r="D226" s="180">
        <f ca="1">IFERROR('Rumus Plafond + Atrib PP3'!R214,"")</f>
        <v>0</v>
      </c>
      <c r="E226" s="181" t="str">
        <f t="shared" ca="1" si="12"/>
        <v/>
      </c>
      <c r="F226" s="181" t="str">
        <f t="shared" ca="1" si="13"/>
        <v/>
      </c>
      <c r="G226" s="180">
        <f ca="1">IFERROR('Rumus Plafond + Atrib PP3'!R214,"")</f>
        <v>0</v>
      </c>
      <c r="H226" s="180">
        <f ca="1">IFERROR('Rumus Plafond + Atrib PP3'!Q214,"")</f>
        <v>0</v>
      </c>
      <c r="I226" s="181" t="str">
        <f t="shared" si="14"/>
        <v/>
      </c>
      <c r="J226" s="181" t="str">
        <f t="shared" si="15"/>
        <v/>
      </c>
      <c r="K226" s="180">
        <f>IFERROR('Rumus Plafond + Atrib PP3'!S214,"")</f>
        <v>0</v>
      </c>
    </row>
    <row r="227" spans="1:11" x14ac:dyDescent="0.3">
      <c r="A227" s="175">
        <f>'Rumus Plafond + Atrib PP3'!O215</f>
        <v>212</v>
      </c>
      <c r="B227" s="179" t="str">
        <f>IF(A227&lt;=Simulasi!$B$11,DATE(YEAR(B226),MONTH(B226)+1,1),"")</f>
        <v/>
      </c>
      <c r="C227" s="180" t="str">
        <f>IF(A227&lt;=Simulasi!$B$11,'Rumus Plafond + Atrib PP3'!P215,"")</f>
        <v/>
      </c>
      <c r="D227" s="180">
        <f ca="1">IFERROR('Rumus Plafond + Atrib PP3'!R215,"")</f>
        <v>0</v>
      </c>
      <c r="E227" s="181" t="str">
        <f t="shared" ca="1" si="12"/>
        <v/>
      </c>
      <c r="F227" s="181" t="str">
        <f t="shared" ca="1" si="13"/>
        <v/>
      </c>
      <c r="G227" s="180">
        <f ca="1">IFERROR('Rumus Plafond + Atrib PP3'!R215,"")</f>
        <v>0</v>
      </c>
      <c r="H227" s="180">
        <f ca="1">IFERROR('Rumus Plafond + Atrib PP3'!Q215,"")</f>
        <v>0</v>
      </c>
      <c r="I227" s="181" t="str">
        <f t="shared" si="14"/>
        <v/>
      </c>
      <c r="J227" s="181" t="str">
        <f t="shared" si="15"/>
        <v/>
      </c>
      <c r="K227" s="180">
        <f>IFERROR('Rumus Plafond + Atrib PP3'!S215,"")</f>
        <v>0</v>
      </c>
    </row>
    <row r="228" spans="1:11" x14ac:dyDescent="0.3">
      <c r="A228" s="175">
        <f>'Rumus Plafond + Atrib PP3'!O216</f>
        <v>213</v>
      </c>
      <c r="B228" s="179" t="str">
        <f>IF(A228&lt;=Simulasi!$B$11,DATE(YEAR(B227),MONTH(B227)+1,1),"")</f>
        <v/>
      </c>
      <c r="C228" s="180" t="str">
        <f>IF(A228&lt;=Simulasi!$B$11,'Rumus Plafond + Atrib PP3'!P216,"")</f>
        <v/>
      </c>
      <c r="D228" s="180">
        <f ca="1">IFERROR('Rumus Plafond + Atrib PP3'!R216,"")</f>
        <v>0</v>
      </c>
      <c r="E228" s="181" t="str">
        <f t="shared" ca="1" si="12"/>
        <v/>
      </c>
      <c r="F228" s="181" t="str">
        <f t="shared" ca="1" si="13"/>
        <v/>
      </c>
      <c r="G228" s="180">
        <f ca="1">IFERROR('Rumus Plafond + Atrib PP3'!R216,"")</f>
        <v>0</v>
      </c>
      <c r="H228" s="180">
        <f ca="1">IFERROR('Rumus Plafond + Atrib PP3'!Q216,"")</f>
        <v>0</v>
      </c>
      <c r="I228" s="181" t="str">
        <f t="shared" si="14"/>
        <v/>
      </c>
      <c r="J228" s="181" t="str">
        <f t="shared" si="15"/>
        <v/>
      </c>
      <c r="K228" s="180">
        <f>IFERROR('Rumus Plafond + Atrib PP3'!S216,"")</f>
        <v>0</v>
      </c>
    </row>
    <row r="229" spans="1:11" x14ac:dyDescent="0.3">
      <c r="A229" s="175">
        <f>'Rumus Plafond + Atrib PP3'!O217</f>
        <v>214</v>
      </c>
      <c r="B229" s="179" t="str">
        <f>IF(A229&lt;=Simulasi!$B$11,DATE(YEAR(B228),MONTH(B228)+1,1),"")</f>
        <v/>
      </c>
      <c r="C229" s="180" t="str">
        <f>IF(A229&lt;=Simulasi!$B$11,'Rumus Plafond + Atrib PP3'!P217,"")</f>
        <v/>
      </c>
      <c r="D229" s="180">
        <f ca="1">IFERROR('Rumus Plafond + Atrib PP3'!R217,"")</f>
        <v>0</v>
      </c>
      <c r="E229" s="181" t="str">
        <f t="shared" ca="1" si="12"/>
        <v/>
      </c>
      <c r="F229" s="181" t="str">
        <f t="shared" ca="1" si="13"/>
        <v/>
      </c>
      <c r="G229" s="180">
        <f ca="1">IFERROR('Rumus Plafond + Atrib PP3'!R217,"")</f>
        <v>0</v>
      </c>
      <c r="H229" s="180">
        <f ca="1">IFERROR('Rumus Plafond + Atrib PP3'!Q217,"")</f>
        <v>0</v>
      </c>
      <c r="I229" s="181" t="str">
        <f t="shared" si="14"/>
        <v/>
      </c>
      <c r="J229" s="181" t="str">
        <f t="shared" si="15"/>
        <v/>
      </c>
      <c r="K229" s="180">
        <f>IFERROR('Rumus Plafond + Atrib PP3'!S217,"")</f>
        <v>0</v>
      </c>
    </row>
    <row r="230" spans="1:11" x14ac:dyDescent="0.3">
      <c r="A230" s="175">
        <f>'Rumus Plafond + Atrib PP3'!O218</f>
        <v>215</v>
      </c>
      <c r="B230" s="179" t="str">
        <f>IF(A230&lt;=Simulasi!$B$11,DATE(YEAR(B229),MONTH(B229)+1,1),"")</f>
        <v/>
      </c>
      <c r="C230" s="180" t="str">
        <f>IF(A230&lt;=Simulasi!$B$11,'Rumus Plafond + Atrib PP3'!P218,"")</f>
        <v/>
      </c>
      <c r="D230" s="180">
        <f ca="1">IFERROR('Rumus Plafond + Atrib PP3'!R218,"")</f>
        <v>0</v>
      </c>
      <c r="E230" s="181" t="str">
        <f t="shared" ca="1" si="12"/>
        <v/>
      </c>
      <c r="F230" s="181" t="str">
        <f t="shared" ca="1" si="13"/>
        <v/>
      </c>
      <c r="G230" s="180">
        <f ca="1">IFERROR('Rumus Plafond + Atrib PP3'!R218,"")</f>
        <v>0</v>
      </c>
      <c r="H230" s="180">
        <f ca="1">IFERROR('Rumus Plafond + Atrib PP3'!Q218,"")</f>
        <v>0</v>
      </c>
      <c r="I230" s="181" t="str">
        <f t="shared" si="14"/>
        <v/>
      </c>
      <c r="J230" s="181" t="str">
        <f t="shared" si="15"/>
        <v/>
      </c>
      <c r="K230" s="180">
        <f>IFERROR('Rumus Plafond + Atrib PP3'!S218,"")</f>
        <v>0</v>
      </c>
    </row>
    <row r="231" spans="1:11" x14ac:dyDescent="0.3">
      <c r="A231" s="175">
        <f>'Rumus Plafond + Atrib PP3'!O219</f>
        <v>216</v>
      </c>
      <c r="B231" s="179" t="str">
        <f>IF(A231&lt;=Simulasi!$B$11,DATE(YEAR(B230),MONTH(B230)+1,1),"")</f>
        <v/>
      </c>
      <c r="C231" s="180" t="str">
        <f>IF(A231&lt;=Simulasi!$B$11,'Rumus Plafond + Atrib PP3'!P219,"")</f>
        <v/>
      </c>
      <c r="D231" s="180">
        <f ca="1">IFERROR('Rumus Plafond + Atrib PP3'!R219,"")</f>
        <v>0</v>
      </c>
      <c r="E231" s="181" t="str">
        <f t="shared" ca="1" si="12"/>
        <v/>
      </c>
      <c r="F231" s="181" t="str">
        <f t="shared" ca="1" si="13"/>
        <v/>
      </c>
      <c r="G231" s="180">
        <f ca="1">IFERROR('Rumus Plafond + Atrib PP3'!R219,"")</f>
        <v>0</v>
      </c>
      <c r="H231" s="180">
        <f ca="1">IFERROR('Rumus Plafond + Atrib PP3'!Q219,"")</f>
        <v>0</v>
      </c>
      <c r="I231" s="181" t="str">
        <f t="shared" si="14"/>
        <v/>
      </c>
      <c r="J231" s="181" t="str">
        <f t="shared" si="15"/>
        <v/>
      </c>
      <c r="K231" s="180">
        <f>IFERROR('Rumus Plafond + Atrib PP3'!S219,"")</f>
        <v>0</v>
      </c>
    </row>
    <row r="232" spans="1:11" x14ac:dyDescent="0.3">
      <c r="A232" s="175">
        <f>'Rumus Plafond + Atrib PP3'!O220</f>
        <v>217</v>
      </c>
      <c r="B232" s="179" t="str">
        <f>IF(A232&lt;=Simulasi!$B$11,DATE(YEAR(B231),MONTH(B231)+1,1),"")</f>
        <v/>
      </c>
      <c r="C232" s="180" t="str">
        <f>IF(A232&lt;=Simulasi!$B$11,'Rumus Plafond + Atrib PP3'!P220,"")</f>
        <v/>
      </c>
      <c r="D232" s="180">
        <f ca="1">IFERROR('Rumus Plafond + Atrib PP3'!R220,"")</f>
        <v>0</v>
      </c>
      <c r="E232" s="181" t="str">
        <f t="shared" ca="1" si="12"/>
        <v/>
      </c>
      <c r="F232" s="181" t="str">
        <f t="shared" ca="1" si="13"/>
        <v/>
      </c>
      <c r="G232" s="180">
        <f ca="1">IFERROR('Rumus Plafond + Atrib PP3'!R220,"")</f>
        <v>0</v>
      </c>
      <c r="H232" s="180">
        <f ca="1">IFERROR('Rumus Plafond + Atrib PP3'!Q220,"")</f>
        <v>0</v>
      </c>
      <c r="I232" s="181" t="str">
        <f t="shared" si="14"/>
        <v/>
      </c>
      <c r="J232" s="181" t="str">
        <f t="shared" si="15"/>
        <v/>
      </c>
      <c r="K232" s="180">
        <f>IFERROR('Rumus Plafond + Atrib PP3'!S220,"")</f>
        <v>0</v>
      </c>
    </row>
    <row r="233" spans="1:11" x14ac:dyDescent="0.3">
      <c r="A233" s="175">
        <f>'Rumus Plafond + Atrib PP3'!O221</f>
        <v>218</v>
      </c>
      <c r="B233" s="179" t="str">
        <f>IF(A233&lt;=Simulasi!$B$11,DATE(YEAR(B232),MONTH(B232)+1,1),"")</f>
        <v/>
      </c>
      <c r="C233" s="180" t="str">
        <f>IF(A233&lt;=Simulasi!$B$11,'Rumus Plafond + Atrib PP3'!P221,"")</f>
        <v/>
      </c>
      <c r="D233" s="180">
        <f ca="1">IFERROR('Rumus Plafond + Atrib PP3'!R221,"")</f>
        <v>0</v>
      </c>
      <c r="E233" s="181" t="str">
        <f t="shared" ca="1" si="12"/>
        <v/>
      </c>
      <c r="F233" s="181" t="str">
        <f t="shared" ca="1" si="13"/>
        <v/>
      </c>
      <c r="G233" s="180">
        <f ca="1">IFERROR('Rumus Plafond + Atrib PP3'!R221,"")</f>
        <v>0</v>
      </c>
      <c r="H233" s="180">
        <f ca="1">IFERROR('Rumus Plafond + Atrib PP3'!Q221,"")</f>
        <v>0</v>
      </c>
      <c r="I233" s="181" t="str">
        <f t="shared" si="14"/>
        <v/>
      </c>
      <c r="J233" s="181" t="str">
        <f t="shared" si="15"/>
        <v/>
      </c>
      <c r="K233" s="180">
        <f>IFERROR('Rumus Plafond + Atrib PP3'!S221,"")</f>
        <v>0</v>
      </c>
    </row>
    <row r="234" spans="1:11" x14ac:dyDescent="0.3">
      <c r="A234" s="175">
        <f>'Rumus Plafond + Atrib PP3'!O222</f>
        <v>219</v>
      </c>
      <c r="B234" s="179" t="str">
        <f>IF(A234&lt;=Simulasi!$B$11,DATE(YEAR(B233),MONTH(B233)+1,1),"")</f>
        <v/>
      </c>
      <c r="C234" s="180" t="str">
        <f>IF(A234&lt;=Simulasi!$B$11,'Rumus Plafond + Atrib PP3'!P222,"")</f>
        <v/>
      </c>
      <c r="D234" s="180">
        <f ca="1">IFERROR('Rumus Plafond + Atrib PP3'!R222,"")</f>
        <v>0</v>
      </c>
      <c r="E234" s="181" t="str">
        <f t="shared" ca="1" si="12"/>
        <v/>
      </c>
      <c r="F234" s="181" t="str">
        <f t="shared" ca="1" si="13"/>
        <v/>
      </c>
      <c r="G234" s="180">
        <f ca="1">IFERROR('Rumus Plafond + Atrib PP3'!R222,"")</f>
        <v>0</v>
      </c>
      <c r="H234" s="180">
        <f ca="1">IFERROR('Rumus Plafond + Atrib PP3'!Q222,"")</f>
        <v>0</v>
      </c>
      <c r="I234" s="181" t="str">
        <f t="shared" si="14"/>
        <v/>
      </c>
      <c r="J234" s="181" t="str">
        <f t="shared" si="15"/>
        <v/>
      </c>
      <c r="K234" s="180">
        <f>IFERROR('Rumus Plafond + Atrib PP3'!S222,"")</f>
        <v>0</v>
      </c>
    </row>
    <row r="235" spans="1:11" x14ac:dyDescent="0.3">
      <c r="A235" s="175">
        <f>'Rumus Plafond + Atrib PP3'!O223</f>
        <v>220</v>
      </c>
      <c r="B235" s="179" t="str">
        <f>IF(A235&lt;=Simulasi!$B$11,DATE(YEAR(B234),MONTH(B234)+1,1),"")</f>
        <v/>
      </c>
      <c r="C235" s="180" t="str">
        <f>IF(A235&lt;=Simulasi!$B$11,'Rumus Plafond + Atrib PP3'!P223,"")</f>
        <v/>
      </c>
      <c r="D235" s="180">
        <f ca="1">IFERROR('Rumus Plafond + Atrib PP3'!R223,"")</f>
        <v>0</v>
      </c>
      <c r="E235" s="181" t="str">
        <f t="shared" ca="1" si="12"/>
        <v/>
      </c>
      <c r="F235" s="181" t="str">
        <f t="shared" ca="1" si="13"/>
        <v/>
      </c>
      <c r="G235" s="180">
        <f ca="1">IFERROR('Rumus Plafond + Atrib PP3'!R223,"")</f>
        <v>0</v>
      </c>
      <c r="H235" s="180">
        <f ca="1">IFERROR('Rumus Plafond + Atrib PP3'!Q223,"")</f>
        <v>0</v>
      </c>
      <c r="I235" s="181" t="str">
        <f t="shared" si="14"/>
        <v/>
      </c>
      <c r="J235" s="181" t="str">
        <f t="shared" si="15"/>
        <v/>
      </c>
      <c r="K235" s="180">
        <f>IFERROR('Rumus Plafond + Atrib PP3'!S223,"")</f>
        <v>0</v>
      </c>
    </row>
    <row r="236" spans="1:11" x14ac:dyDescent="0.3">
      <c r="A236" s="175">
        <f>'Rumus Plafond + Atrib PP3'!O224</f>
        <v>221</v>
      </c>
      <c r="B236" s="179" t="str">
        <f>IF(A236&lt;=Simulasi!$B$11,DATE(YEAR(B235),MONTH(B235)+1,1),"")</f>
        <v/>
      </c>
      <c r="C236" s="180" t="str">
        <f>IF(A236&lt;=Simulasi!$B$11,'Rumus Plafond + Atrib PP3'!P224,"")</f>
        <v/>
      </c>
      <c r="D236" s="180">
        <f ca="1">IFERROR('Rumus Plafond + Atrib PP3'!R224,"")</f>
        <v>0</v>
      </c>
      <c r="E236" s="181" t="str">
        <f t="shared" ca="1" si="12"/>
        <v/>
      </c>
      <c r="F236" s="181" t="str">
        <f t="shared" ca="1" si="13"/>
        <v/>
      </c>
      <c r="G236" s="180">
        <f ca="1">IFERROR('Rumus Plafond + Atrib PP3'!R224,"")</f>
        <v>0</v>
      </c>
      <c r="H236" s="180">
        <f ca="1">IFERROR('Rumus Plafond + Atrib PP3'!Q224,"")</f>
        <v>0</v>
      </c>
      <c r="I236" s="181" t="str">
        <f t="shared" si="14"/>
        <v/>
      </c>
      <c r="J236" s="181" t="str">
        <f t="shared" si="15"/>
        <v/>
      </c>
      <c r="K236" s="180">
        <f>IFERROR('Rumus Plafond + Atrib PP3'!S224,"")</f>
        <v>0</v>
      </c>
    </row>
    <row r="237" spans="1:11" x14ac:dyDescent="0.3">
      <c r="A237" s="175">
        <f>'Rumus Plafond + Atrib PP3'!O225</f>
        <v>222</v>
      </c>
      <c r="B237" s="179" t="str">
        <f>IF(A237&lt;=Simulasi!$B$11,DATE(YEAR(B236),MONTH(B236)+1,1),"")</f>
        <v/>
      </c>
      <c r="C237" s="180" t="str">
        <f>IF(A237&lt;=Simulasi!$B$11,'Rumus Plafond + Atrib PP3'!P225,"")</f>
        <v/>
      </c>
      <c r="D237" s="180">
        <f ca="1">IFERROR('Rumus Plafond + Atrib PP3'!R225,"")</f>
        <v>0</v>
      </c>
      <c r="E237" s="181" t="str">
        <f t="shared" ca="1" si="12"/>
        <v/>
      </c>
      <c r="F237" s="181" t="str">
        <f t="shared" ca="1" si="13"/>
        <v/>
      </c>
      <c r="G237" s="180">
        <f ca="1">IFERROR('Rumus Plafond + Atrib PP3'!R225,"")</f>
        <v>0</v>
      </c>
      <c r="H237" s="180">
        <f ca="1">IFERROR('Rumus Plafond + Atrib PP3'!Q225,"")</f>
        <v>0</v>
      </c>
      <c r="I237" s="181" t="str">
        <f t="shared" si="14"/>
        <v/>
      </c>
      <c r="J237" s="181" t="str">
        <f t="shared" si="15"/>
        <v/>
      </c>
      <c r="K237" s="180">
        <f>IFERROR('Rumus Plafond + Atrib PP3'!S225,"")</f>
        <v>0</v>
      </c>
    </row>
    <row r="238" spans="1:11" x14ac:dyDescent="0.3">
      <c r="A238" s="175">
        <f>'Rumus Plafond + Atrib PP3'!O226</f>
        <v>223</v>
      </c>
      <c r="B238" s="179" t="str">
        <f>IF(A238&lt;=Simulasi!$B$11,DATE(YEAR(B237),MONTH(B237)+1,1),"")</f>
        <v/>
      </c>
      <c r="C238" s="180" t="str">
        <f>IF(A238&lt;=Simulasi!$B$11,'Rumus Plafond + Atrib PP3'!P226,"")</f>
        <v/>
      </c>
      <c r="D238" s="180">
        <f ca="1">IFERROR('Rumus Plafond + Atrib PP3'!R226,"")</f>
        <v>0</v>
      </c>
      <c r="E238" s="181" t="str">
        <f t="shared" ca="1" si="12"/>
        <v/>
      </c>
      <c r="F238" s="181" t="str">
        <f t="shared" ca="1" si="13"/>
        <v/>
      </c>
      <c r="G238" s="180">
        <f ca="1">IFERROR('Rumus Plafond + Atrib PP3'!R226,"")</f>
        <v>0</v>
      </c>
      <c r="H238" s="180">
        <f ca="1">IFERROR('Rumus Plafond + Atrib PP3'!Q226,"")</f>
        <v>0</v>
      </c>
      <c r="I238" s="181" t="str">
        <f t="shared" si="14"/>
        <v/>
      </c>
      <c r="J238" s="181" t="str">
        <f t="shared" si="15"/>
        <v/>
      </c>
      <c r="K238" s="180">
        <f>IFERROR('Rumus Plafond + Atrib PP3'!S226,"")</f>
        <v>0</v>
      </c>
    </row>
    <row r="239" spans="1:11" x14ac:dyDescent="0.3">
      <c r="A239" s="175">
        <f>'Rumus Plafond + Atrib PP3'!O227</f>
        <v>224</v>
      </c>
      <c r="B239" s="179" t="str">
        <f>IF(A239&lt;=Simulasi!$B$11,DATE(YEAR(B238),MONTH(B238)+1,1),"")</f>
        <v/>
      </c>
      <c r="C239" s="180" t="str">
        <f>IF(A239&lt;=Simulasi!$B$11,'Rumus Plafond + Atrib PP3'!P227,"")</f>
        <v/>
      </c>
      <c r="D239" s="180">
        <f ca="1">IFERROR('Rumus Plafond + Atrib PP3'!R227,"")</f>
        <v>0</v>
      </c>
      <c r="E239" s="181" t="str">
        <f t="shared" ca="1" si="12"/>
        <v/>
      </c>
      <c r="F239" s="181" t="str">
        <f t="shared" ca="1" si="13"/>
        <v/>
      </c>
      <c r="G239" s="180">
        <f ca="1">IFERROR('Rumus Plafond + Atrib PP3'!R227,"")</f>
        <v>0</v>
      </c>
      <c r="H239" s="180">
        <f ca="1">IFERROR('Rumus Plafond + Atrib PP3'!Q227,"")</f>
        <v>0</v>
      </c>
      <c r="I239" s="181" t="str">
        <f t="shared" si="14"/>
        <v/>
      </c>
      <c r="J239" s="181" t="str">
        <f t="shared" si="15"/>
        <v/>
      </c>
      <c r="K239" s="180">
        <f>IFERROR('Rumus Plafond + Atrib PP3'!S227,"")</f>
        <v>0</v>
      </c>
    </row>
    <row r="240" spans="1:11" x14ac:dyDescent="0.3">
      <c r="A240" s="175">
        <f>'Rumus Plafond + Atrib PP3'!O228</f>
        <v>225</v>
      </c>
      <c r="B240" s="179" t="str">
        <f>IF(A240&lt;=Simulasi!$B$11,DATE(YEAR(B239),MONTH(B239)+1,1),"")</f>
        <v/>
      </c>
      <c r="C240" s="180" t="str">
        <f>IF(A240&lt;=Simulasi!$B$11,'Rumus Plafond + Atrib PP3'!P228,"")</f>
        <v/>
      </c>
      <c r="D240" s="180">
        <f ca="1">IFERROR('Rumus Plafond + Atrib PP3'!R228,"")</f>
        <v>0</v>
      </c>
      <c r="E240" s="181" t="str">
        <f t="shared" ca="1" si="12"/>
        <v/>
      </c>
      <c r="F240" s="181" t="str">
        <f t="shared" ca="1" si="13"/>
        <v/>
      </c>
      <c r="G240" s="180">
        <f ca="1">IFERROR('Rumus Plafond + Atrib PP3'!R228,"")</f>
        <v>0</v>
      </c>
      <c r="H240" s="180">
        <f ca="1">IFERROR('Rumus Plafond + Atrib PP3'!Q228,"")</f>
        <v>0</v>
      </c>
      <c r="I240" s="181" t="str">
        <f t="shared" si="14"/>
        <v/>
      </c>
      <c r="J240" s="181" t="str">
        <f t="shared" si="15"/>
        <v/>
      </c>
      <c r="K240" s="180">
        <f>IFERROR('Rumus Plafond + Atrib PP3'!S228,"")</f>
        <v>0</v>
      </c>
    </row>
    <row r="241" spans="1:11" x14ac:dyDescent="0.3">
      <c r="A241" s="175">
        <f>'Rumus Plafond + Atrib PP3'!O229</f>
        <v>226</v>
      </c>
      <c r="B241" s="179" t="str">
        <f>IF(A241&lt;=Simulasi!$B$11,DATE(YEAR(B240),MONTH(B240)+1,1),"")</f>
        <v/>
      </c>
      <c r="C241" s="180" t="str">
        <f>IF(A241&lt;=Simulasi!$B$11,'Rumus Plafond + Atrib PP3'!P229,"")</f>
        <v/>
      </c>
      <c r="D241" s="180">
        <f ca="1">IFERROR('Rumus Plafond + Atrib PP3'!R229,"")</f>
        <v>0</v>
      </c>
      <c r="E241" s="181" t="str">
        <f t="shared" ca="1" si="12"/>
        <v/>
      </c>
      <c r="F241" s="181" t="str">
        <f t="shared" ca="1" si="13"/>
        <v/>
      </c>
      <c r="G241" s="180">
        <f ca="1">IFERROR('Rumus Plafond + Atrib PP3'!R229,"")</f>
        <v>0</v>
      </c>
      <c r="H241" s="180">
        <f ca="1">IFERROR('Rumus Plafond + Atrib PP3'!Q229,"")</f>
        <v>0</v>
      </c>
      <c r="I241" s="181" t="str">
        <f t="shared" si="14"/>
        <v/>
      </c>
      <c r="J241" s="181" t="str">
        <f t="shared" si="15"/>
        <v/>
      </c>
      <c r="K241" s="180">
        <f>IFERROR('Rumus Plafond + Atrib PP3'!S229,"")</f>
        <v>0</v>
      </c>
    </row>
    <row r="242" spans="1:11" x14ac:dyDescent="0.3">
      <c r="A242" s="175">
        <f>'Rumus Plafond + Atrib PP3'!O230</f>
        <v>227</v>
      </c>
      <c r="B242" s="179" t="str">
        <f>IF(A242&lt;=Simulasi!$B$11,DATE(YEAR(B241),MONTH(B241)+1,1),"")</f>
        <v/>
      </c>
      <c r="C242" s="180" t="str">
        <f>IF(A242&lt;=Simulasi!$B$11,'Rumus Plafond + Atrib PP3'!P230,"")</f>
        <v/>
      </c>
      <c r="D242" s="180">
        <f ca="1">IFERROR('Rumus Plafond + Atrib PP3'!R230,"")</f>
        <v>0</v>
      </c>
      <c r="E242" s="181" t="str">
        <f t="shared" ca="1" si="12"/>
        <v/>
      </c>
      <c r="F242" s="181" t="str">
        <f t="shared" ca="1" si="13"/>
        <v/>
      </c>
      <c r="G242" s="180">
        <f ca="1">IFERROR('Rumus Plafond + Atrib PP3'!R230,"")</f>
        <v>0</v>
      </c>
      <c r="H242" s="180">
        <f ca="1">IFERROR('Rumus Plafond + Atrib PP3'!Q230,"")</f>
        <v>0</v>
      </c>
      <c r="I242" s="181" t="str">
        <f t="shared" si="14"/>
        <v/>
      </c>
      <c r="J242" s="181" t="str">
        <f t="shared" si="15"/>
        <v/>
      </c>
      <c r="K242" s="180">
        <f>IFERROR('Rumus Plafond + Atrib PP3'!S230,"")</f>
        <v>0</v>
      </c>
    </row>
    <row r="243" spans="1:11" x14ac:dyDescent="0.3">
      <c r="A243" s="175">
        <f>'Rumus Plafond + Atrib PP3'!O231</f>
        <v>228</v>
      </c>
      <c r="B243" s="179" t="str">
        <f>IF(A243&lt;=Simulasi!$B$11,DATE(YEAR(B242),MONTH(B242)+1,1),"")</f>
        <v/>
      </c>
      <c r="C243" s="180" t="str">
        <f>IF(A243&lt;=Simulasi!$B$11,'Rumus Plafond + Atrib PP3'!P231,"")</f>
        <v/>
      </c>
      <c r="D243" s="180">
        <f ca="1">IFERROR('Rumus Plafond + Atrib PP3'!R231,"")</f>
        <v>0</v>
      </c>
      <c r="E243" s="181" t="str">
        <f t="shared" ca="1" si="12"/>
        <v/>
      </c>
      <c r="F243" s="181" t="str">
        <f t="shared" ca="1" si="13"/>
        <v/>
      </c>
      <c r="G243" s="180">
        <f ca="1">IFERROR('Rumus Plafond + Atrib PP3'!R231,"")</f>
        <v>0</v>
      </c>
      <c r="H243" s="180">
        <f ca="1">IFERROR('Rumus Plafond + Atrib PP3'!Q231,"")</f>
        <v>0</v>
      </c>
      <c r="I243" s="181" t="str">
        <f t="shared" si="14"/>
        <v/>
      </c>
      <c r="J243" s="181" t="str">
        <f t="shared" si="15"/>
        <v/>
      </c>
      <c r="K243" s="180">
        <f>IFERROR('Rumus Plafond + Atrib PP3'!S231,"")</f>
        <v>0</v>
      </c>
    </row>
    <row r="244" spans="1:11" x14ac:dyDescent="0.3">
      <c r="A244" s="175">
        <f>'Rumus Plafond + Atrib PP3'!O232</f>
        <v>229</v>
      </c>
      <c r="B244" s="179" t="str">
        <f>IF(A244&lt;=Simulasi!$B$11,DATE(YEAR(B243),MONTH(B243)+1,1),"")</f>
        <v/>
      </c>
      <c r="C244" s="180" t="str">
        <f>IF(A244&lt;=Simulasi!$B$11,'Rumus Plafond + Atrib PP3'!P232,"")</f>
        <v/>
      </c>
      <c r="D244" s="180">
        <f ca="1">IFERROR('Rumus Plafond + Atrib PP3'!R232,"")</f>
        <v>0</v>
      </c>
      <c r="E244" s="181" t="str">
        <f t="shared" ca="1" si="12"/>
        <v/>
      </c>
      <c r="F244" s="181" t="str">
        <f t="shared" ca="1" si="13"/>
        <v/>
      </c>
      <c r="G244" s="180">
        <f ca="1">IFERROR('Rumus Plafond + Atrib PP3'!R232,"")</f>
        <v>0</v>
      </c>
      <c r="H244" s="180">
        <f ca="1">IFERROR('Rumus Plafond + Atrib PP3'!Q232,"")</f>
        <v>0</v>
      </c>
      <c r="I244" s="181" t="str">
        <f t="shared" si="14"/>
        <v/>
      </c>
      <c r="J244" s="181" t="str">
        <f t="shared" si="15"/>
        <v/>
      </c>
      <c r="K244" s="180">
        <f>IFERROR('Rumus Plafond + Atrib PP3'!S232,"")</f>
        <v>0</v>
      </c>
    </row>
    <row r="245" spans="1:11" x14ac:dyDescent="0.3">
      <c r="A245" s="175">
        <f>'Rumus Plafond + Atrib PP3'!O233</f>
        <v>230</v>
      </c>
      <c r="B245" s="179" t="str">
        <f>IF(A245&lt;=Simulasi!$B$11,DATE(YEAR(B244),MONTH(B244)+1,1),"")</f>
        <v/>
      </c>
      <c r="C245" s="180" t="str">
        <f>IF(A245&lt;=Simulasi!$B$11,'Rumus Plafond + Atrib PP3'!P233,"")</f>
        <v/>
      </c>
      <c r="D245" s="180">
        <f ca="1">IFERROR('Rumus Plafond + Atrib PP3'!R233,"")</f>
        <v>0</v>
      </c>
      <c r="E245" s="181" t="str">
        <f t="shared" ca="1" si="12"/>
        <v/>
      </c>
      <c r="F245" s="181" t="str">
        <f t="shared" ca="1" si="13"/>
        <v/>
      </c>
      <c r="G245" s="180">
        <f ca="1">IFERROR('Rumus Plafond + Atrib PP3'!R233,"")</f>
        <v>0</v>
      </c>
      <c r="H245" s="180">
        <f ca="1">IFERROR('Rumus Plafond + Atrib PP3'!Q233,"")</f>
        <v>0</v>
      </c>
      <c r="I245" s="181" t="str">
        <f t="shared" si="14"/>
        <v/>
      </c>
      <c r="J245" s="181" t="str">
        <f t="shared" si="15"/>
        <v/>
      </c>
      <c r="K245" s="180">
        <f>IFERROR('Rumus Plafond + Atrib PP3'!S233,"")</f>
        <v>0</v>
      </c>
    </row>
    <row r="246" spans="1:11" x14ac:dyDescent="0.3">
      <c r="A246" s="175">
        <f>'Rumus Plafond + Atrib PP3'!O234</f>
        <v>231</v>
      </c>
      <c r="B246" s="179" t="str">
        <f>IF(A246&lt;=Simulasi!$B$11,DATE(YEAR(B245),MONTH(B245)+1,1),"")</f>
        <v/>
      </c>
      <c r="C246" s="180" t="str">
        <f>IF(A246&lt;=Simulasi!$B$11,'Rumus Plafond + Atrib PP3'!P234,"")</f>
        <v/>
      </c>
      <c r="D246" s="180">
        <f ca="1">IFERROR('Rumus Plafond + Atrib PP3'!R234,"")</f>
        <v>0</v>
      </c>
      <c r="E246" s="181" t="str">
        <f t="shared" ca="1" si="12"/>
        <v/>
      </c>
      <c r="F246" s="181" t="str">
        <f t="shared" ca="1" si="13"/>
        <v/>
      </c>
      <c r="G246" s="180">
        <f ca="1">IFERROR('Rumus Plafond + Atrib PP3'!R234,"")</f>
        <v>0</v>
      </c>
      <c r="H246" s="180">
        <f ca="1">IFERROR('Rumus Plafond + Atrib PP3'!Q234,"")</f>
        <v>0</v>
      </c>
      <c r="I246" s="181" t="str">
        <f t="shared" si="14"/>
        <v/>
      </c>
      <c r="J246" s="181" t="str">
        <f t="shared" si="15"/>
        <v/>
      </c>
      <c r="K246" s="180">
        <f>IFERROR('Rumus Plafond + Atrib PP3'!S234,"")</f>
        <v>0</v>
      </c>
    </row>
    <row r="247" spans="1:11" x14ac:dyDescent="0.3">
      <c r="A247" s="175">
        <f>'Rumus Plafond + Atrib PP3'!O235</f>
        <v>232</v>
      </c>
      <c r="B247" s="179" t="str">
        <f>IF(A247&lt;=Simulasi!$B$11,DATE(YEAR(B246),MONTH(B246)+1,1),"")</f>
        <v/>
      </c>
      <c r="C247" s="180" t="str">
        <f>IF(A247&lt;=Simulasi!$B$11,'Rumus Plafond + Atrib PP3'!P235,"")</f>
        <v/>
      </c>
      <c r="D247" s="180">
        <f ca="1">IFERROR('Rumus Plafond + Atrib PP3'!R235,"")</f>
        <v>0</v>
      </c>
      <c r="E247" s="181" t="str">
        <f t="shared" ca="1" si="12"/>
        <v/>
      </c>
      <c r="F247" s="181" t="str">
        <f t="shared" ca="1" si="13"/>
        <v/>
      </c>
      <c r="G247" s="180">
        <f ca="1">IFERROR('Rumus Plafond + Atrib PP3'!R235,"")</f>
        <v>0</v>
      </c>
      <c r="H247" s="180">
        <f ca="1">IFERROR('Rumus Plafond + Atrib PP3'!Q235,"")</f>
        <v>0</v>
      </c>
      <c r="I247" s="181" t="str">
        <f t="shared" si="14"/>
        <v/>
      </c>
      <c r="J247" s="181" t="str">
        <f t="shared" si="15"/>
        <v/>
      </c>
      <c r="K247" s="180">
        <f>IFERROR('Rumus Plafond + Atrib PP3'!S235,"")</f>
        <v>0</v>
      </c>
    </row>
    <row r="248" spans="1:11" x14ac:dyDescent="0.3">
      <c r="A248" s="175">
        <f>'Rumus Plafond + Atrib PP3'!O236</f>
        <v>233</v>
      </c>
      <c r="B248" s="179" t="str">
        <f>IF(A248&lt;=Simulasi!$B$11,DATE(YEAR(B247),MONTH(B247)+1,1),"")</f>
        <v/>
      </c>
      <c r="C248" s="180" t="str">
        <f>IF(A248&lt;=Simulasi!$B$11,'Rumus Plafond + Atrib PP3'!P236,"")</f>
        <v/>
      </c>
      <c r="D248" s="180">
        <f ca="1">IFERROR('Rumus Plafond + Atrib PP3'!R236,"")</f>
        <v>0</v>
      </c>
      <c r="E248" s="181" t="str">
        <f t="shared" ca="1" si="12"/>
        <v/>
      </c>
      <c r="F248" s="181" t="str">
        <f t="shared" ca="1" si="13"/>
        <v/>
      </c>
      <c r="G248" s="180">
        <f ca="1">IFERROR('Rumus Plafond + Atrib PP3'!R236,"")</f>
        <v>0</v>
      </c>
      <c r="H248" s="180">
        <f ca="1">IFERROR('Rumus Plafond + Atrib PP3'!Q236,"")</f>
        <v>0</v>
      </c>
      <c r="I248" s="181" t="str">
        <f t="shared" si="14"/>
        <v/>
      </c>
      <c r="J248" s="181" t="str">
        <f t="shared" si="15"/>
        <v/>
      </c>
      <c r="K248" s="180">
        <f>IFERROR('Rumus Plafond + Atrib PP3'!S236,"")</f>
        <v>0</v>
      </c>
    </row>
    <row r="249" spans="1:11" x14ac:dyDescent="0.3">
      <c r="A249" s="175">
        <f>'Rumus Plafond + Atrib PP3'!O237</f>
        <v>234</v>
      </c>
      <c r="B249" s="179" t="str">
        <f>IF(A249&lt;=Simulasi!$B$11,DATE(YEAR(B248),MONTH(B248)+1,1),"")</f>
        <v/>
      </c>
      <c r="C249" s="180" t="str">
        <f>IF(A249&lt;=Simulasi!$B$11,'Rumus Plafond + Atrib PP3'!P237,"")</f>
        <v/>
      </c>
      <c r="D249" s="180">
        <f ca="1">IFERROR('Rumus Plafond + Atrib PP3'!R237,"")</f>
        <v>0</v>
      </c>
      <c r="E249" s="181" t="str">
        <f t="shared" ca="1" si="12"/>
        <v/>
      </c>
      <c r="F249" s="181" t="str">
        <f t="shared" ca="1" si="13"/>
        <v/>
      </c>
      <c r="G249" s="180">
        <f ca="1">IFERROR('Rumus Plafond + Atrib PP3'!R237,"")</f>
        <v>0</v>
      </c>
      <c r="H249" s="180">
        <f ca="1">IFERROR('Rumus Plafond + Atrib PP3'!Q237,"")</f>
        <v>0</v>
      </c>
      <c r="I249" s="181" t="str">
        <f t="shared" si="14"/>
        <v/>
      </c>
      <c r="J249" s="181" t="str">
        <f t="shared" si="15"/>
        <v/>
      </c>
      <c r="K249" s="180">
        <f>IFERROR('Rumus Plafond + Atrib PP3'!S237,"")</f>
        <v>0</v>
      </c>
    </row>
    <row r="250" spans="1:11" x14ac:dyDescent="0.3">
      <c r="A250" s="175">
        <f>'Rumus Plafond + Atrib PP3'!O238</f>
        <v>235</v>
      </c>
      <c r="B250" s="179" t="str">
        <f>IF(A250&lt;=Simulasi!$B$11,DATE(YEAR(B249),MONTH(B249)+1,1),"")</f>
        <v/>
      </c>
      <c r="C250" s="180" t="str">
        <f>IF(A250&lt;=Simulasi!$B$11,'Rumus Plafond + Atrib PP3'!P238,"")</f>
        <v/>
      </c>
      <c r="D250" s="180">
        <f ca="1">IFERROR('Rumus Plafond + Atrib PP3'!R238,"")</f>
        <v>0</v>
      </c>
      <c r="E250" s="181" t="str">
        <f t="shared" ca="1" si="12"/>
        <v/>
      </c>
      <c r="F250" s="181" t="str">
        <f t="shared" ca="1" si="13"/>
        <v/>
      </c>
      <c r="G250" s="180">
        <f ca="1">IFERROR('Rumus Plafond + Atrib PP3'!R238,"")</f>
        <v>0</v>
      </c>
      <c r="H250" s="180">
        <f ca="1">IFERROR('Rumus Plafond + Atrib PP3'!Q238,"")</f>
        <v>0</v>
      </c>
      <c r="I250" s="181" t="str">
        <f t="shared" si="14"/>
        <v/>
      </c>
      <c r="J250" s="181" t="str">
        <f t="shared" si="15"/>
        <v/>
      </c>
      <c r="K250" s="180">
        <f>IFERROR('Rumus Plafond + Atrib PP3'!S238,"")</f>
        <v>0</v>
      </c>
    </row>
    <row r="251" spans="1:11" x14ac:dyDescent="0.3">
      <c r="A251" s="175">
        <f>'Rumus Plafond + Atrib PP3'!O239</f>
        <v>236</v>
      </c>
      <c r="B251" s="179" t="str">
        <f>IF(A251&lt;=Simulasi!$B$11,DATE(YEAR(B250),MONTH(B250)+1,1),"")</f>
        <v/>
      </c>
      <c r="C251" s="180" t="str">
        <f>IF(A251&lt;=Simulasi!$B$11,'Rumus Plafond + Atrib PP3'!P239,"")</f>
        <v/>
      </c>
      <c r="D251" s="180">
        <f ca="1">IFERROR('Rumus Plafond + Atrib PP3'!R239,"")</f>
        <v>0</v>
      </c>
      <c r="E251" s="181" t="str">
        <f t="shared" ca="1" si="12"/>
        <v/>
      </c>
      <c r="F251" s="181" t="str">
        <f t="shared" ca="1" si="13"/>
        <v/>
      </c>
      <c r="G251" s="180">
        <f ca="1">IFERROR('Rumus Plafond + Atrib PP3'!R239,"")</f>
        <v>0</v>
      </c>
      <c r="H251" s="180">
        <f ca="1">IFERROR('Rumus Plafond + Atrib PP3'!Q239,"")</f>
        <v>0</v>
      </c>
      <c r="I251" s="181" t="str">
        <f t="shared" si="14"/>
        <v/>
      </c>
      <c r="J251" s="181" t="str">
        <f t="shared" si="15"/>
        <v/>
      </c>
      <c r="K251" s="180">
        <f>IFERROR('Rumus Plafond + Atrib PP3'!S239,"")</f>
        <v>0</v>
      </c>
    </row>
    <row r="252" spans="1:11" x14ac:dyDescent="0.3">
      <c r="A252" s="175">
        <f>'Rumus Plafond + Atrib PP3'!O240</f>
        <v>237</v>
      </c>
      <c r="B252" s="179" t="str">
        <f>IF(A252&lt;=Simulasi!$B$11,DATE(YEAR(B251),MONTH(B251)+1,1),"")</f>
        <v/>
      </c>
      <c r="C252" s="180" t="str">
        <f>IF(A252&lt;=Simulasi!$B$11,'Rumus Plafond + Atrib PP3'!P240,"")</f>
        <v/>
      </c>
      <c r="D252" s="180">
        <f ca="1">IFERROR('Rumus Plafond + Atrib PP3'!R240,"")</f>
        <v>0</v>
      </c>
      <c r="E252" s="181" t="str">
        <f t="shared" ca="1" si="12"/>
        <v/>
      </c>
      <c r="F252" s="181" t="str">
        <f t="shared" ca="1" si="13"/>
        <v/>
      </c>
      <c r="G252" s="180">
        <f ca="1">IFERROR('Rumus Plafond + Atrib PP3'!R240,"")</f>
        <v>0</v>
      </c>
      <c r="H252" s="180">
        <f ca="1">IFERROR('Rumus Plafond + Atrib PP3'!Q240,"")</f>
        <v>0</v>
      </c>
      <c r="I252" s="181" t="str">
        <f t="shared" si="14"/>
        <v/>
      </c>
      <c r="J252" s="181" t="str">
        <f t="shared" si="15"/>
        <v/>
      </c>
      <c r="K252" s="180">
        <f>IFERROR('Rumus Plafond + Atrib PP3'!S240,"")</f>
        <v>0</v>
      </c>
    </row>
    <row r="253" spans="1:11" x14ac:dyDescent="0.3">
      <c r="A253" s="175">
        <f>'Rumus Plafond + Atrib PP3'!O241</f>
        <v>238</v>
      </c>
      <c r="B253" s="179" t="str">
        <f>IF(A253&lt;=Simulasi!$B$11,DATE(YEAR(B252),MONTH(B252)+1,1),"")</f>
        <v/>
      </c>
      <c r="C253" s="180" t="str">
        <f>IF(A253&lt;=Simulasi!$B$11,'Rumus Plafond + Atrib PP3'!P241,"")</f>
        <v/>
      </c>
      <c r="D253" s="180">
        <f ca="1">IFERROR('Rumus Plafond + Atrib PP3'!R241,"")</f>
        <v>0</v>
      </c>
      <c r="E253" s="181" t="str">
        <f t="shared" ca="1" si="12"/>
        <v/>
      </c>
      <c r="F253" s="181" t="str">
        <f t="shared" ca="1" si="13"/>
        <v/>
      </c>
      <c r="G253" s="180">
        <f ca="1">IFERROR('Rumus Plafond + Atrib PP3'!R241,"")</f>
        <v>0</v>
      </c>
      <c r="H253" s="180">
        <f ca="1">IFERROR('Rumus Plafond + Atrib PP3'!Q241,"")</f>
        <v>0</v>
      </c>
      <c r="I253" s="181" t="str">
        <f t="shared" si="14"/>
        <v/>
      </c>
      <c r="J253" s="181" t="str">
        <f t="shared" si="15"/>
        <v/>
      </c>
      <c r="K253" s="180">
        <f>IFERROR('Rumus Plafond + Atrib PP3'!S241,"")</f>
        <v>0</v>
      </c>
    </row>
    <row r="254" spans="1:11" x14ac:dyDescent="0.3">
      <c r="A254" s="175">
        <f>'Rumus Plafond + Atrib PP3'!O242</f>
        <v>239</v>
      </c>
      <c r="B254" s="179" t="str">
        <f>IF(A254&lt;=Simulasi!$B$11,DATE(YEAR(B253),MONTH(B253)+1,1),"")</f>
        <v/>
      </c>
      <c r="C254" s="180" t="str">
        <f>IF(A254&lt;=Simulasi!$B$11,'Rumus Plafond + Atrib PP3'!P242,"")</f>
        <v/>
      </c>
      <c r="D254" s="180">
        <f ca="1">IFERROR('Rumus Plafond + Atrib PP3'!R242,"")</f>
        <v>0</v>
      </c>
      <c r="E254" s="181" t="str">
        <f t="shared" ca="1" si="12"/>
        <v/>
      </c>
      <c r="F254" s="181" t="str">
        <f t="shared" ca="1" si="13"/>
        <v/>
      </c>
      <c r="G254" s="180">
        <f ca="1">IFERROR('Rumus Plafond + Atrib PP3'!R242,"")</f>
        <v>0</v>
      </c>
      <c r="H254" s="180">
        <f ca="1">IFERROR('Rumus Plafond + Atrib PP3'!Q242,"")</f>
        <v>0</v>
      </c>
      <c r="I254" s="181" t="str">
        <f t="shared" si="14"/>
        <v/>
      </c>
      <c r="J254" s="181" t="str">
        <f t="shared" si="15"/>
        <v/>
      </c>
      <c r="K254" s="180">
        <f>IFERROR('Rumus Plafond + Atrib PP3'!S242,"")</f>
        <v>0</v>
      </c>
    </row>
    <row r="255" spans="1:11" x14ac:dyDescent="0.3">
      <c r="A255" s="175">
        <f>'Rumus Plafond + Atrib PP3'!O243</f>
        <v>240</v>
      </c>
      <c r="B255" s="179" t="str">
        <f>IF(A255&lt;=Simulasi!$B$11,DATE(YEAR(B254),MONTH(B254)+1,1),"")</f>
        <v/>
      </c>
      <c r="C255" s="180" t="str">
        <f>IF(A255&lt;=Simulasi!$B$11,'Rumus Plafond + Atrib PP3'!P243,"")</f>
        <v/>
      </c>
      <c r="D255" s="180">
        <f ca="1">IFERROR('Rumus Plafond + Atrib PP3'!R243,"")</f>
        <v>0</v>
      </c>
      <c r="E255" s="181" t="str">
        <f t="shared" ca="1" si="12"/>
        <v/>
      </c>
      <c r="F255" s="181" t="str">
        <f t="shared" ca="1" si="13"/>
        <v/>
      </c>
      <c r="G255" s="180">
        <f ca="1">IFERROR('Rumus Plafond + Atrib PP3'!R243,"")</f>
        <v>0</v>
      </c>
      <c r="H255" s="180">
        <f ca="1">IFERROR('Rumus Plafond + Atrib PP3'!Q243,"")</f>
        <v>0</v>
      </c>
      <c r="I255" s="181" t="str">
        <f t="shared" si="14"/>
        <v/>
      </c>
      <c r="J255" s="181" t="str">
        <f t="shared" si="15"/>
        <v/>
      </c>
      <c r="K255" s="180">
        <f>IFERROR('Rumus Plafond + Atrib PP3'!S243,"")</f>
        <v>0</v>
      </c>
    </row>
    <row r="256" spans="1:11" x14ac:dyDescent="0.15">
      <c r="A256" s="175"/>
    </row>
    <row r="257" spans="1:1" x14ac:dyDescent="0.15">
      <c r="A257" s="175"/>
    </row>
    <row r="258" spans="1:1" x14ac:dyDescent="0.15">
      <c r="A258" s="175"/>
    </row>
    <row r="259" spans="1:1" x14ac:dyDescent="0.15">
      <c r="A259" s="175"/>
    </row>
    <row r="260" spans="1:1" x14ac:dyDescent="0.15">
      <c r="A260" s="175"/>
    </row>
    <row r="261" spans="1:1" x14ac:dyDescent="0.15">
      <c r="A261" s="175"/>
    </row>
    <row r="262" spans="1:1" x14ac:dyDescent="0.15">
      <c r="A262" s="175"/>
    </row>
    <row r="263" spans="1:1" x14ac:dyDescent="0.15">
      <c r="A263" s="175"/>
    </row>
    <row r="264" spans="1:1" x14ac:dyDescent="0.15">
      <c r="A264" s="175"/>
    </row>
    <row r="265" spans="1:1" x14ac:dyDescent="0.15">
      <c r="A265" s="175"/>
    </row>
    <row r="266" spans="1:1" x14ac:dyDescent="0.15">
      <c r="A266" s="175"/>
    </row>
    <row r="267" spans="1:1" x14ac:dyDescent="0.15">
      <c r="A267" s="175"/>
    </row>
    <row r="268" spans="1:1" x14ac:dyDescent="0.15">
      <c r="A268" s="175"/>
    </row>
    <row r="269" spans="1:1" x14ac:dyDescent="0.15">
      <c r="A269" s="175"/>
    </row>
    <row r="270" spans="1:1" x14ac:dyDescent="0.15">
      <c r="A270" s="175"/>
    </row>
    <row r="271" spans="1:1" x14ac:dyDescent="0.15">
      <c r="A271" s="175"/>
    </row>
    <row r="272" spans="1:1" x14ac:dyDescent="0.15">
      <c r="A272" s="175"/>
    </row>
    <row r="273" spans="1:1" x14ac:dyDescent="0.15">
      <c r="A273" s="175"/>
    </row>
    <row r="274" spans="1:1" x14ac:dyDescent="0.15">
      <c r="A274" s="175"/>
    </row>
    <row r="275" spans="1:1" x14ac:dyDescent="0.15">
      <c r="A275" s="175"/>
    </row>
    <row r="276" spans="1:1" x14ac:dyDescent="0.15">
      <c r="A276" s="175"/>
    </row>
    <row r="277" spans="1:1" x14ac:dyDescent="0.15">
      <c r="A277" s="175"/>
    </row>
    <row r="278" spans="1:1" x14ac:dyDescent="0.15">
      <c r="A278" s="175"/>
    </row>
    <row r="279" spans="1:1" x14ac:dyDescent="0.15">
      <c r="A279" s="175"/>
    </row>
    <row r="280" spans="1:1" x14ac:dyDescent="0.15">
      <c r="A280" s="175"/>
    </row>
    <row r="281" spans="1:1" x14ac:dyDescent="0.15">
      <c r="A281" s="175"/>
    </row>
    <row r="282" spans="1:1" x14ac:dyDescent="0.15">
      <c r="A282" s="175"/>
    </row>
    <row r="283" spans="1:1" x14ac:dyDescent="0.15">
      <c r="A283" s="175"/>
    </row>
    <row r="284" spans="1:1" x14ac:dyDescent="0.15">
      <c r="A284" s="175"/>
    </row>
    <row r="285" spans="1:1" x14ac:dyDescent="0.15">
      <c r="A285" s="175"/>
    </row>
    <row r="286" spans="1:1" x14ac:dyDescent="0.15">
      <c r="A286" s="175"/>
    </row>
    <row r="287" spans="1:1" x14ac:dyDescent="0.15">
      <c r="A287" s="175"/>
    </row>
    <row r="288" spans="1:1" x14ac:dyDescent="0.15">
      <c r="A288" s="175"/>
    </row>
    <row r="289" spans="1:1" x14ac:dyDescent="0.15">
      <c r="A289" s="175"/>
    </row>
    <row r="290" spans="1:1" x14ac:dyDescent="0.15">
      <c r="A290" s="175"/>
    </row>
    <row r="291" spans="1:1" x14ac:dyDescent="0.15">
      <c r="A291" s="175"/>
    </row>
    <row r="292" spans="1:1" x14ac:dyDescent="0.15">
      <c r="A292" s="175"/>
    </row>
    <row r="293" spans="1:1" x14ac:dyDescent="0.15">
      <c r="A293" s="175"/>
    </row>
  </sheetData>
  <sheetProtection algorithmName="SHA-512" hashValue="RGkUNYcslJM4UNzB3DkIdGwtivq3GOOs+LFyacklCA9ErFj9wHnU3ibHZCHgBPcfexEBZUJUCH48zT3RXzLthQ==" saltValue="Q0cRgdQmz4I6vxjdBuZCXQ==" spinCount="100000" sheet="1" objects="1" scenarios="1"/>
  <mergeCells count="1">
    <mergeCell ref="A6:L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8D08E"/>
  </sheetPr>
  <dimension ref="A1:W247"/>
  <sheetViews>
    <sheetView topLeftCell="H172" zoomScale="104" workbookViewId="0">
      <selection activeCell="H172" sqref="A1:XFD1048576"/>
    </sheetView>
  </sheetViews>
  <sheetFormatPr defaultColWidth="6.0078125" defaultRowHeight="18.75" x14ac:dyDescent="0.25"/>
  <cols>
    <col min="1" max="1" width="6.0078125" style="186" customWidth="1"/>
    <col min="2" max="2" width="28.390625" style="187" customWidth="1"/>
    <col min="3" max="3" width="15.44140625" style="187" customWidth="1"/>
    <col min="4" max="4" width="6.1015625" style="187" customWidth="1"/>
    <col min="5" max="5" width="6.1015625" style="186" customWidth="1"/>
    <col min="6" max="6" width="6.0078125" style="186"/>
    <col min="7" max="7" width="7.859375" style="186" customWidth="1"/>
    <col min="8" max="8" width="6.47265625" style="186" customWidth="1"/>
    <col min="9" max="9" width="13.0390625" style="186" customWidth="1"/>
    <col min="10" max="11" width="11.09765625" style="186" customWidth="1"/>
    <col min="12" max="12" width="10.078125" style="186" customWidth="1"/>
    <col min="13" max="14" width="6.0078125" style="186"/>
    <col min="15" max="15" width="6.0078125" style="186" customWidth="1"/>
    <col min="16" max="16" width="13.0390625" style="186" customWidth="1"/>
    <col min="17" max="17" width="9.33984375" style="186" customWidth="1"/>
    <col min="18" max="18" width="9.7109375" style="186" customWidth="1"/>
    <col min="19" max="19" width="8.4140625" style="186" customWidth="1"/>
    <col min="20" max="20" width="6.0078125" style="186"/>
    <col min="21" max="21" width="15.07421875" style="186" customWidth="1"/>
    <col min="22" max="22" width="10.44921875" style="186" customWidth="1"/>
    <col min="23" max="23" width="6.0078125" style="186" customWidth="1"/>
    <col min="24" max="16384" width="6.0078125" style="186"/>
  </cols>
  <sheetData>
    <row r="1" spans="1:23" x14ac:dyDescent="0.25">
      <c r="B1" s="188" t="s">
        <v>194</v>
      </c>
      <c r="I1" s="189" t="s">
        <v>195</v>
      </c>
      <c r="J1" s="189" t="s">
        <v>196</v>
      </c>
      <c r="K1" s="189" t="s">
        <v>197</v>
      </c>
      <c r="L1" s="189" t="s">
        <v>198</v>
      </c>
      <c r="O1" s="186" t="s">
        <v>53</v>
      </c>
    </row>
    <row r="2" spans="1:23" x14ac:dyDescent="0.25">
      <c r="B2" s="187" t="s">
        <v>55</v>
      </c>
      <c r="C2" s="190">
        <f>'Rumus Plafond + Atrib PP10 (2)'!C2</f>
        <v>8134916</v>
      </c>
      <c r="H2" s="81" t="s">
        <v>56</v>
      </c>
      <c r="I2" s="81" t="s">
        <v>199</v>
      </c>
      <c r="J2" s="81" t="s">
        <v>58</v>
      </c>
      <c r="K2" s="81" t="s">
        <v>59</v>
      </c>
      <c r="L2" s="81" t="s">
        <v>60</v>
      </c>
      <c r="O2" s="81" t="s">
        <v>56</v>
      </c>
      <c r="P2" s="81" t="s">
        <v>57</v>
      </c>
      <c r="Q2" s="81" t="s">
        <v>58</v>
      </c>
      <c r="R2" s="81" t="s">
        <v>59</v>
      </c>
      <c r="S2" s="81" t="s">
        <v>60</v>
      </c>
      <c r="U2" s="186" t="s">
        <v>61</v>
      </c>
    </row>
    <row r="3" spans="1:23" x14ac:dyDescent="0.25">
      <c r="B3" s="187" t="s">
        <v>200</v>
      </c>
      <c r="C3" s="190">
        <f>'Rumus Plafond + Atrib PP10 (2)'!C3</f>
        <v>4600000</v>
      </c>
      <c r="H3" s="191">
        <v>1</v>
      </c>
      <c r="I3" s="192">
        <f ca="1">C44-J3</f>
        <v>712737060.90855181</v>
      </c>
      <c r="J3" s="193">
        <f ca="1">L3-K3</f>
        <v>-4737060.9085518094</v>
      </c>
      <c r="K3" s="193">
        <f ca="1">$C$54/12*C44</f>
        <v>6341356.8363295868</v>
      </c>
      <c r="L3" s="193">
        <f ca="1">$C$55</f>
        <v>1604295.9277777777</v>
      </c>
      <c r="O3" s="81">
        <v>0</v>
      </c>
      <c r="P3" s="82">
        <f ca="1">IF(Simulasi!C14="1",MIN(C14,C20),MIN(C14,C46))</f>
        <v>178000000</v>
      </c>
      <c r="Q3" s="81"/>
      <c r="R3" s="81"/>
      <c r="S3" s="81"/>
      <c r="U3" s="186" t="s">
        <v>201</v>
      </c>
      <c r="V3" s="194">
        <v>10000</v>
      </c>
    </row>
    <row r="4" spans="1:23" x14ac:dyDescent="0.25">
      <c r="B4" s="187" t="s">
        <v>70</v>
      </c>
      <c r="C4" s="195" t="str">
        <f>'Rumus Plafond + Atrib PP10 (2)'!C4</f>
        <v>70%</v>
      </c>
      <c r="D4" s="195"/>
      <c r="I4" s="189" t="s">
        <v>202</v>
      </c>
      <c r="J4" s="189" t="s">
        <v>203</v>
      </c>
      <c r="K4" s="189" t="s">
        <v>204</v>
      </c>
      <c r="L4" s="189" t="s">
        <v>205</v>
      </c>
      <c r="O4" s="196">
        <v>1</v>
      </c>
      <c r="P4" s="197">
        <f ca="1">P3-Q4</f>
        <v>177990000</v>
      </c>
      <c r="Q4" s="197">
        <f ca="1">S4-R4</f>
        <v>10000.000000000233</v>
      </c>
      <c r="R4" s="197">
        <f t="shared" ref="R4:R35" ca="1" si="0">IF(O4&lt;=$C$9,P3*$V$6/12,P3*$V$16/12)</f>
        <v>1594295.9277777774</v>
      </c>
      <c r="S4" s="197">
        <f ca="1">IFERROR(IF(O4&lt;=$C$8,IF(O4&lt;=$C$9,$V$7,$V$17),0),0)</f>
        <v>1604295.9277777777</v>
      </c>
      <c r="U4" s="186" t="s">
        <v>69</v>
      </c>
      <c r="V4" s="194">
        <f ca="1">C11/12*P3</f>
        <v>1372083.3333333333</v>
      </c>
    </row>
    <row r="5" spans="1:23" x14ac:dyDescent="0.25">
      <c r="B5" s="187" t="s">
        <v>72</v>
      </c>
      <c r="C5" s="195" t="str">
        <f>'Rumus Plafond + Atrib PP10 (2)'!C5</f>
        <v>90%</v>
      </c>
      <c r="H5" s="191">
        <v>2</v>
      </c>
      <c r="I5" s="198">
        <f ca="1">I3-J5</f>
        <v>717516550.33910441</v>
      </c>
      <c r="J5" s="198">
        <f ca="1">L5-K5</f>
        <v>-4779489.4305525934</v>
      </c>
      <c r="K5" s="198">
        <f ca="1">$C$54/12*I3</f>
        <v>6383785.3583303709</v>
      </c>
      <c r="L5" s="193">
        <f ca="1">L3</f>
        <v>1604295.9277777777</v>
      </c>
      <c r="O5" s="196">
        <v>2</v>
      </c>
      <c r="P5" s="197">
        <f t="shared" ref="P5:P68" ca="1" si="1">P4-Q5</f>
        <v>177979910.43281305</v>
      </c>
      <c r="Q5" s="197">
        <f t="shared" ref="Q5:Q68" ca="1" si="2">S5-R5</f>
        <v>10089.567186953966</v>
      </c>
      <c r="R5" s="197">
        <f t="shared" ca="1" si="0"/>
        <v>1594206.3605908237</v>
      </c>
      <c r="S5" s="197">
        <f t="shared" ref="S5:S68" ca="1" si="3">IFERROR(IF(O5&lt;=$C$8,IF(O5&lt;=$C$9,$V$7,$V$17),0),0)</f>
        <v>1604295.9277777777</v>
      </c>
      <c r="U5" s="186" t="s">
        <v>71</v>
      </c>
      <c r="V5" s="194">
        <f>C13/C8</f>
        <v>222212.59444444443</v>
      </c>
    </row>
    <row r="6" spans="1:23" x14ac:dyDescent="0.25">
      <c r="B6" s="187" t="s">
        <v>74</v>
      </c>
      <c r="C6" s="190">
        <f>VLOOKUP(Simulasi!C4,Simulasi!$F$4:$G$6,2,FALSE)</f>
        <v>5694441.1999999993</v>
      </c>
      <c r="D6" s="199" t="s">
        <v>75</v>
      </c>
      <c r="H6" s="191">
        <v>3</v>
      </c>
      <c r="I6" s="198">
        <f t="shared" ref="I6:I26" ca="1" si="4">I5-J6</f>
        <v>722338848.31199396</v>
      </c>
      <c r="J6" s="198">
        <f t="shared" ref="J6:J26" ca="1" si="5">L6-K6</f>
        <v>-4822297.9728895985</v>
      </c>
      <c r="K6" s="198">
        <f t="shared" ref="K6:K13" ca="1" si="6">$C$54/12*I5</f>
        <v>6426593.9006673759</v>
      </c>
      <c r="L6" s="193">
        <f ca="1">L5</f>
        <v>1604295.9277777777</v>
      </c>
      <c r="O6" s="196">
        <v>3</v>
      </c>
      <c r="P6" s="197">
        <f t="shared" ca="1" si="1"/>
        <v>177969730.49621105</v>
      </c>
      <c r="Q6" s="197">
        <f t="shared" ca="1" si="2"/>
        <v>10179.936602005735</v>
      </c>
      <c r="R6" s="197">
        <f t="shared" ca="1" si="0"/>
        <v>1594115.9911757719</v>
      </c>
      <c r="S6" s="197">
        <f t="shared" ca="1" si="3"/>
        <v>1604295.9277777777</v>
      </c>
      <c r="U6" s="186" t="s">
        <v>73</v>
      </c>
      <c r="V6" s="200">
        <f ca="1">(V4+V5)/P3*12</f>
        <v>0.10748062434456927</v>
      </c>
    </row>
    <row r="7" spans="1:23" x14ac:dyDescent="0.25">
      <c r="B7" s="187" t="s">
        <v>76</v>
      </c>
      <c r="C7" s="190">
        <f>C3*C5</f>
        <v>4140000</v>
      </c>
      <c r="D7" s="199" t="s">
        <v>77</v>
      </c>
      <c r="H7" s="191">
        <v>4</v>
      </c>
      <c r="I7" s="198">
        <f t="shared" ca="1" si="4"/>
        <v>727204338.25129199</v>
      </c>
      <c r="J7" s="198">
        <f t="shared" ca="1" si="5"/>
        <v>-4865489.9392980747</v>
      </c>
      <c r="K7" s="198">
        <f t="shared" ca="1" si="6"/>
        <v>6469785.8670758521</v>
      </c>
      <c r="L7" s="193">
        <f t="shared" ref="L7:L26" ca="1" si="7">L6</f>
        <v>1604295.9277777777</v>
      </c>
      <c r="O7" s="196">
        <v>4</v>
      </c>
      <c r="P7" s="197">
        <f t="shared" ca="1" si="1"/>
        <v>177959459.38078058</v>
      </c>
      <c r="Q7" s="197">
        <f t="shared" ca="1" si="2"/>
        <v>10271.115430486621</v>
      </c>
      <c r="R7" s="197">
        <f t="shared" ca="1" si="0"/>
        <v>1594024.812347291</v>
      </c>
      <c r="S7" s="197">
        <f t="shared" ca="1" si="3"/>
        <v>1604295.9277777777</v>
      </c>
      <c r="U7" s="186" t="s">
        <v>206</v>
      </c>
      <c r="V7" s="201">
        <f ca="1">SUM(V3:V5)</f>
        <v>1604295.9277777777</v>
      </c>
    </row>
    <row r="8" spans="1:23" x14ac:dyDescent="0.25">
      <c r="B8" s="187" t="s">
        <v>81</v>
      </c>
      <c r="C8" s="187">
        <f>'Rumus Plafond + Atrib PP10 (2)'!C8</f>
        <v>180</v>
      </c>
      <c r="H8" s="191">
        <v>5</v>
      </c>
      <c r="I8" s="198">
        <f t="shared" ca="1" si="4"/>
        <v>732113407.01529157</v>
      </c>
      <c r="J8" s="198">
        <f t="shared" ca="1" si="5"/>
        <v>-4909068.763999573</v>
      </c>
      <c r="K8" s="198">
        <f t="shared" ca="1" si="6"/>
        <v>6513364.6917773504</v>
      </c>
      <c r="L8" s="193">
        <f t="shared" ca="1" si="7"/>
        <v>1604295.9277777777</v>
      </c>
      <c r="O8" s="196">
        <v>5</v>
      </c>
      <c r="P8" s="197">
        <f t="shared" ca="1" si="1"/>
        <v>177949096.26985848</v>
      </c>
      <c r="Q8" s="197">
        <f t="shared" ca="1" si="2"/>
        <v>10363.110922085121</v>
      </c>
      <c r="R8" s="197">
        <f t="shared" ca="1" si="0"/>
        <v>1593932.8168556925</v>
      </c>
      <c r="S8" s="197">
        <f t="shared" ca="1" si="3"/>
        <v>1604295.9277777777</v>
      </c>
    </row>
    <row r="9" spans="1:23" x14ac:dyDescent="0.25">
      <c r="B9" s="187" t="s">
        <v>165</v>
      </c>
      <c r="C9" s="187">
        <f ca="1">'Rumus Plafond + Atrib PP10 (2)'!C9</f>
        <v>120</v>
      </c>
      <c r="H9" s="191">
        <v>6</v>
      </c>
      <c r="I9" s="198">
        <f t="shared" ca="1" si="4"/>
        <v>737066444.9272666</v>
      </c>
      <c r="J9" s="198">
        <f t="shared" ca="1" si="5"/>
        <v>-4953037.9119749973</v>
      </c>
      <c r="K9" s="198">
        <f t="shared" ca="1" si="6"/>
        <v>6557333.8397527747</v>
      </c>
      <c r="L9" s="193">
        <f t="shared" ca="1" si="7"/>
        <v>1604295.9277777777</v>
      </c>
      <c r="O9" s="196">
        <v>6</v>
      </c>
      <c r="P9" s="197">
        <f t="shared" ca="1" si="1"/>
        <v>177938640.33946705</v>
      </c>
      <c r="Q9" s="197">
        <f t="shared" ca="1" si="2"/>
        <v>10455.930391423404</v>
      </c>
      <c r="R9" s="197">
        <f t="shared" ca="1" si="0"/>
        <v>1593839.9973863543</v>
      </c>
      <c r="S9" s="197">
        <f t="shared" ca="1" si="3"/>
        <v>1604295.9277777777</v>
      </c>
      <c r="U9" s="186" t="s">
        <v>79</v>
      </c>
    </row>
    <row r="10" spans="1:23" x14ac:dyDescent="0.25">
      <c r="B10" s="187" t="s">
        <v>167</v>
      </c>
      <c r="C10" s="187">
        <f ca="1">C8-C9</f>
        <v>60</v>
      </c>
      <c r="E10" s="202"/>
      <c r="H10" s="191">
        <v>7</v>
      </c>
      <c r="I10" s="198">
        <f t="shared" ca="1" si="4"/>
        <v>742063845.80650675</v>
      </c>
      <c r="J10" s="198">
        <f t="shared" ca="1" si="5"/>
        <v>-4997400.8792401142</v>
      </c>
      <c r="K10" s="198">
        <f t="shared" ca="1" si="6"/>
        <v>6601696.8070178917</v>
      </c>
      <c r="L10" s="193">
        <f t="shared" ca="1" si="7"/>
        <v>1604295.9277777777</v>
      </c>
      <c r="O10" s="196">
        <v>7</v>
      </c>
      <c r="P10" s="197">
        <f t="shared" ca="1" si="1"/>
        <v>177928090.75824842</v>
      </c>
      <c r="Q10" s="197">
        <f t="shared" ca="1" si="2"/>
        <v>10549.581218637759</v>
      </c>
      <c r="R10" s="197">
        <f t="shared" ca="1" si="0"/>
        <v>1593746.3465591399</v>
      </c>
      <c r="S10" s="197">
        <f t="shared" ca="1" si="3"/>
        <v>1604295.9277777777</v>
      </c>
      <c r="U10" s="186" t="s">
        <v>82</v>
      </c>
      <c r="V10" s="203">
        <f ca="1">VLOOKUP(C9,O4:P183,2,FALSE)</f>
        <v>175861446.77945298</v>
      </c>
    </row>
    <row r="11" spans="1:23" x14ac:dyDescent="0.25">
      <c r="B11" s="187" t="s">
        <v>88</v>
      </c>
      <c r="C11" s="204">
        <f>Simulasi!B12</f>
        <v>9.2499999999999999E-2</v>
      </c>
      <c r="E11" s="202"/>
      <c r="H11" s="191">
        <v>8</v>
      </c>
      <c r="I11" s="198">
        <f t="shared" ca="1" si="4"/>
        <v>747106006.99963021</v>
      </c>
      <c r="J11" s="198">
        <f t="shared" ca="1" si="5"/>
        <v>-5042161.1931235166</v>
      </c>
      <c r="K11" s="198">
        <f t="shared" ca="1" si="6"/>
        <v>6646457.1209012941</v>
      </c>
      <c r="L11" s="193">
        <f t="shared" ca="1" si="7"/>
        <v>1604295.9277777777</v>
      </c>
      <c r="O11" s="196">
        <v>8</v>
      </c>
      <c r="P11" s="197">
        <f t="shared" ca="1" si="1"/>
        <v>177917446.68739846</v>
      </c>
      <c r="Q11" s="197">
        <f t="shared" ca="1" si="2"/>
        <v>10644.070849967189</v>
      </c>
      <c r="R11" s="197">
        <f t="shared" ca="1" si="0"/>
        <v>1593651.8569278105</v>
      </c>
      <c r="S11" s="197">
        <f t="shared" ca="1" si="3"/>
        <v>1604295.9277777777</v>
      </c>
      <c r="U11" s="186" t="s">
        <v>84</v>
      </c>
      <c r="V11" s="193">
        <f>C13/C8</f>
        <v>222212.59444444443</v>
      </c>
    </row>
    <row r="12" spans="1:23" x14ac:dyDescent="0.25">
      <c r="B12" s="187" t="s">
        <v>207</v>
      </c>
      <c r="C12" s="204">
        <f>Simulasi!B13</f>
        <v>0.105</v>
      </c>
      <c r="E12" s="202"/>
      <c r="H12" s="191">
        <v>9</v>
      </c>
      <c r="I12" s="198">
        <f t="shared" ca="1" si="4"/>
        <v>752193329.41217732</v>
      </c>
      <c r="J12" s="198">
        <f t="shared" ca="1" si="5"/>
        <v>-5087322.4125470892</v>
      </c>
      <c r="K12" s="198">
        <f t="shared" ca="1" si="6"/>
        <v>6691618.3403248666</v>
      </c>
      <c r="L12" s="193">
        <f t="shared" ca="1" si="7"/>
        <v>1604295.9277777777</v>
      </c>
      <c r="O12" s="196">
        <v>9</v>
      </c>
      <c r="P12" s="197">
        <f t="shared" ca="1" si="1"/>
        <v>177906707.28060013</v>
      </c>
      <c r="Q12" s="197">
        <f t="shared" ca="1" si="2"/>
        <v>10739.406798344105</v>
      </c>
      <c r="R12" s="197">
        <f t="shared" ca="1" si="0"/>
        <v>1593556.5209794336</v>
      </c>
      <c r="S12" s="197">
        <f t="shared" ca="1" si="3"/>
        <v>1604295.9277777777</v>
      </c>
      <c r="U12" s="186" t="s">
        <v>87</v>
      </c>
      <c r="V12" s="202">
        <f>C12</f>
        <v>0.105</v>
      </c>
    </row>
    <row r="13" spans="1:23" x14ac:dyDescent="0.25">
      <c r="B13" s="187" t="s">
        <v>208</v>
      </c>
      <c r="C13" s="190">
        <f>IF(Simulasi!$C$14="2",Simulasi!B21,0)</f>
        <v>39998267</v>
      </c>
      <c r="E13" s="202"/>
      <c r="H13" s="191">
        <v>10</v>
      </c>
      <c r="I13" s="198">
        <f t="shared" ca="1" si="4"/>
        <v>757326217.54048634</v>
      </c>
      <c r="J13" s="198">
        <f t="shared" ca="1" si="5"/>
        <v>-5132888.1283089789</v>
      </c>
      <c r="K13" s="198">
        <f t="shared" ca="1" si="6"/>
        <v>6737184.0560867563</v>
      </c>
      <c r="L13" s="193">
        <f t="shared" ca="1" si="7"/>
        <v>1604295.9277777777</v>
      </c>
      <c r="O13" s="196">
        <v>10</v>
      </c>
      <c r="P13" s="197">
        <f t="shared" ca="1" si="1"/>
        <v>177895871.68395615</v>
      </c>
      <c r="Q13" s="197">
        <f t="shared" ca="1" si="2"/>
        <v>10835.596643991768</v>
      </c>
      <c r="R13" s="197">
        <f t="shared" ca="1" si="0"/>
        <v>1593460.3311337859</v>
      </c>
      <c r="S13" s="197">
        <f t="shared" ca="1" si="3"/>
        <v>1604295.9277777777</v>
      </c>
      <c r="U13" s="186" t="s">
        <v>90</v>
      </c>
      <c r="V13" s="186">
        <f ca="1">C10</f>
        <v>60</v>
      </c>
    </row>
    <row r="14" spans="1:23" x14ac:dyDescent="0.25">
      <c r="B14" s="187" t="s">
        <v>96</v>
      </c>
      <c r="C14" s="190">
        <f>Simulasi!B10</f>
        <v>480000000</v>
      </c>
      <c r="E14" s="202"/>
      <c r="H14" s="191"/>
      <c r="I14" s="198"/>
      <c r="J14" s="198"/>
      <c r="K14" s="198"/>
      <c r="L14" s="193"/>
      <c r="O14" s="196">
        <v>11</v>
      </c>
      <c r="P14" s="197">
        <f t="shared" ca="1" si="1"/>
        <v>177884939.03592113</v>
      </c>
      <c r="Q14" s="197">
        <f t="shared" ca="1" si="2"/>
        <v>10932.648035028484</v>
      </c>
      <c r="R14" s="197">
        <f t="shared" ca="1" si="0"/>
        <v>1593363.2797427492</v>
      </c>
      <c r="S14" s="197">
        <f t="shared" ca="1" si="3"/>
        <v>1604295.9277777777</v>
      </c>
      <c r="U14" s="186" t="s">
        <v>93</v>
      </c>
      <c r="V14" s="203">
        <f ca="1">PMT(V12/12,V13,-V10,0,0)</f>
        <v>3779948.4174291678</v>
      </c>
      <c r="W14" s="186">
        <v>5007084.3499999996</v>
      </c>
    </row>
    <row r="15" spans="1:23" ht="15" x14ac:dyDescent="0.2">
      <c r="B15" s="248"/>
      <c r="C15" s="248"/>
      <c r="D15" s="248"/>
      <c r="E15" s="248"/>
      <c r="H15" s="191">
        <v>11</v>
      </c>
      <c r="I15" s="198">
        <f ca="1">I13-J15</f>
        <v>762505079.50385547</v>
      </c>
      <c r="J15" s="198">
        <f t="shared" ca="1" si="5"/>
        <v>-5178861.9633691022</v>
      </c>
      <c r="K15" s="198">
        <f ca="1">$C$54/12*I13</f>
        <v>6783157.8911468796</v>
      </c>
      <c r="L15" s="193">
        <f ca="1">L13</f>
        <v>1604295.9277777777</v>
      </c>
      <c r="O15" s="196">
        <v>12</v>
      </c>
      <c r="P15" s="197">
        <f t="shared" ca="1" si="1"/>
        <v>177873908.46723306</v>
      </c>
      <c r="Q15" s="197">
        <f t="shared" ca="1" si="2"/>
        <v>11030.568688074127</v>
      </c>
      <c r="R15" s="197">
        <f t="shared" ca="1" si="0"/>
        <v>1593265.3590897035</v>
      </c>
      <c r="S15" s="197">
        <f t="shared" ca="1" si="3"/>
        <v>1604295.9277777777</v>
      </c>
      <c r="U15" s="186" t="s">
        <v>95</v>
      </c>
      <c r="V15" s="205">
        <f ca="1">V11+V14</f>
        <v>4002161.0118736122</v>
      </c>
    </row>
    <row r="16" spans="1:23" ht="14.25" customHeight="1" x14ac:dyDescent="0.2">
      <c r="A16" s="250">
        <v>1</v>
      </c>
      <c r="B16" s="247" t="s">
        <v>209</v>
      </c>
      <c r="C16" s="247"/>
      <c r="D16" s="247"/>
      <c r="E16" s="247"/>
      <c r="F16" s="206"/>
      <c r="G16" s="206"/>
      <c r="H16" s="191">
        <v>12</v>
      </c>
      <c r="I16" s="198">
        <f t="shared" ca="1" si="4"/>
        <v>767730327.07699263</v>
      </c>
      <c r="J16" s="198">
        <f t="shared" ca="1" si="5"/>
        <v>-5225247.573137207</v>
      </c>
      <c r="K16" s="198">
        <f t="shared" ref="K16:K26" ca="1" si="8">$C$54/12*I15</f>
        <v>6829543.5009149844</v>
      </c>
      <c r="L16" s="193">
        <f t="shared" ca="1" si="7"/>
        <v>1604295.9277777777</v>
      </c>
      <c r="O16" s="196">
        <v>13</v>
      </c>
      <c r="P16" s="197">
        <f t="shared" ca="1" si="1"/>
        <v>177862779.1008442</v>
      </c>
      <c r="Q16" s="197">
        <f t="shared" ca="1" si="2"/>
        <v>11129.366388862953</v>
      </c>
      <c r="R16" s="197">
        <f t="shared" ca="1" si="0"/>
        <v>1593166.5613889147</v>
      </c>
      <c r="S16" s="197">
        <f t="shared" ca="1" si="3"/>
        <v>1604295.9277777777</v>
      </c>
      <c r="U16" s="186" t="s">
        <v>97</v>
      </c>
      <c r="V16" s="200">
        <f ca="1">(IF(V11&gt;0,ROUND(RATE(V13,V15,-V10,0,0,0.01)*12*10000, )/10000,RATE(V13,V15,-V10,0,0,0.01)*12)+IF(C13&gt;0,0.01,0))</f>
        <v>0.1401</v>
      </c>
    </row>
    <row r="17" spans="1:22" ht="15" x14ac:dyDescent="0.2">
      <c r="A17" s="250"/>
      <c r="B17" s="247"/>
      <c r="C17" s="247"/>
      <c r="D17" s="247"/>
      <c r="E17" s="247"/>
      <c r="F17" s="206"/>
      <c r="G17" s="206"/>
      <c r="H17" s="191">
        <v>13</v>
      </c>
      <c r="I17" s="198">
        <f t="shared" ca="1" si="4"/>
        <v>773002375.72275615</v>
      </c>
      <c r="J17" s="198">
        <f t="shared" ca="1" si="5"/>
        <v>-5272048.6457635183</v>
      </c>
      <c r="K17" s="198">
        <f t="shared" ca="1" si="8"/>
        <v>6876344.5735412957</v>
      </c>
      <c r="L17" s="193">
        <f t="shared" ca="1" si="7"/>
        <v>1604295.9277777777</v>
      </c>
      <c r="O17" s="196">
        <v>14</v>
      </c>
      <c r="P17" s="197">
        <f t="shared" ca="1" si="1"/>
        <v>177851550.05185133</v>
      </c>
      <c r="Q17" s="197">
        <f t="shared" ca="1" si="2"/>
        <v>11229.048992865719</v>
      </c>
      <c r="R17" s="197">
        <f t="shared" ca="1" si="0"/>
        <v>1593066.8787849119</v>
      </c>
      <c r="S17" s="197">
        <f t="shared" ca="1" si="3"/>
        <v>1604295.9277777777</v>
      </c>
      <c r="U17" s="186" t="s">
        <v>100</v>
      </c>
      <c r="V17" s="203">
        <f ca="1">PMT(V16/12,V13,-V10,0,0)</f>
        <v>4092900.0468084267</v>
      </c>
    </row>
    <row r="18" spans="1:22" ht="15" x14ac:dyDescent="0.2">
      <c r="A18" s="250"/>
      <c r="B18" s="247"/>
      <c r="C18" s="247"/>
      <c r="D18" s="247"/>
      <c r="E18" s="247"/>
      <c r="F18" s="206"/>
      <c r="G18" s="206"/>
      <c r="H18" s="191">
        <v>14</v>
      </c>
      <c r="I18" s="198">
        <f t="shared" ca="1" si="4"/>
        <v>778321644.62518811</v>
      </c>
      <c r="J18" s="198">
        <f t="shared" ca="1" si="5"/>
        <v>-5319268.9024319854</v>
      </c>
      <c r="K18" s="198">
        <f t="shared" ca="1" si="8"/>
        <v>6923564.8302097628</v>
      </c>
      <c r="L18" s="193">
        <f t="shared" ca="1" si="7"/>
        <v>1604295.9277777777</v>
      </c>
      <c r="O18" s="196">
        <v>15</v>
      </c>
      <c r="P18" s="197">
        <f t="shared" ca="1" si="1"/>
        <v>177840220.42742541</v>
      </c>
      <c r="Q18" s="197">
        <f t="shared" ca="1" si="2"/>
        <v>11329.624425911577</v>
      </c>
      <c r="R18" s="197">
        <f t="shared" ca="1" si="0"/>
        <v>1592966.3033518661</v>
      </c>
      <c r="S18" s="197">
        <f t="shared" ca="1" si="3"/>
        <v>1604295.9277777777</v>
      </c>
    </row>
    <row r="19" spans="1:22" ht="15" x14ac:dyDescent="0.2">
      <c r="A19" s="250"/>
      <c r="B19" s="247"/>
      <c r="C19" s="247"/>
      <c r="D19" s="247"/>
      <c r="E19" s="247"/>
      <c r="H19" s="191">
        <v>15</v>
      </c>
      <c r="I19" s="198">
        <f t="shared" ca="1" si="4"/>
        <v>783688556.72284424</v>
      </c>
      <c r="J19" s="198">
        <f t="shared" ca="1" si="5"/>
        <v>-5366912.097656155</v>
      </c>
      <c r="K19" s="198">
        <f t="shared" ca="1" si="8"/>
        <v>6971208.0254339324</v>
      </c>
      <c r="L19" s="193">
        <f t="shared" ca="1" si="7"/>
        <v>1604295.9277777777</v>
      </c>
      <c r="O19" s="196">
        <v>16</v>
      </c>
      <c r="P19" s="197">
        <f t="shared" ca="1" si="1"/>
        <v>177828789.32674059</v>
      </c>
      <c r="Q19" s="197">
        <f t="shared" ca="1" si="2"/>
        <v>11431.100684818812</v>
      </c>
      <c r="R19" s="197">
        <f t="shared" ca="1" si="0"/>
        <v>1592864.8270929588</v>
      </c>
      <c r="S19" s="197">
        <f t="shared" ca="1" si="3"/>
        <v>1604295.9277777777</v>
      </c>
      <c r="U19" s="186" t="s">
        <v>103</v>
      </c>
      <c r="V19" s="197">
        <f ca="1">VLOOKUP(C8,O4:P183,2,FALSE)</f>
        <v>0</v>
      </c>
    </row>
    <row r="20" spans="1:22" x14ac:dyDescent="0.25">
      <c r="A20" s="250"/>
      <c r="B20" s="187" t="s">
        <v>101</v>
      </c>
      <c r="C20" s="207">
        <f ca="1">ROUND(-PV(C12/12,C10,C7, ,0)/10^6, )*10^6</f>
        <v>193000000</v>
      </c>
      <c r="D20" s="199" t="s">
        <v>210</v>
      </c>
      <c r="H20" s="191">
        <v>16</v>
      </c>
      <c r="I20" s="198">
        <f t="shared" ca="1" si="4"/>
        <v>789103538.74242198</v>
      </c>
      <c r="J20" s="198">
        <f t="shared" ca="1" si="5"/>
        <v>-5414982.0195776969</v>
      </c>
      <c r="K20" s="198">
        <f t="shared" ca="1" si="8"/>
        <v>7019277.9473554743</v>
      </c>
      <c r="L20" s="193">
        <f t="shared" ca="1" si="7"/>
        <v>1604295.9277777777</v>
      </c>
      <c r="O20" s="196">
        <v>17</v>
      </c>
      <c r="P20" s="197">
        <f t="shared" ca="1" si="1"/>
        <v>177817255.84090257</v>
      </c>
      <c r="Q20" s="197">
        <f t="shared" ca="1" si="2"/>
        <v>11533.485838031396</v>
      </c>
      <c r="R20" s="197">
        <f t="shared" ca="1" si="0"/>
        <v>1592762.4419397463</v>
      </c>
      <c r="S20" s="197">
        <f t="shared" ca="1" si="3"/>
        <v>1604295.9277777777</v>
      </c>
    </row>
    <row r="21" spans="1:22" x14ac:dyDescent="0.25">
      <c r="A21" s="191"/>
      <c r="H21" s="191">
        <v>17</v>
      </c>
      <c r="I21" s="198">
        <f t="shared" ca="1" si="4"/>
        <v>794567021.23268962</v>
      </c>
      <c r="J21" s="198">
        <f t="shared" ca="1" si="5"/>
        <v>-5463482.490267599</v>
      </c>
      <c r="K21" s="198">
        <f t="shared" ca="1" si="8"/>
        <v>7067778.4180453764</v>
      </c>
      <c r="L21" s="193">
        <f t="shared" ca="1" si="7"/>
        <v>1604295.9277777777</v>
      </c>
      <c r="O21" s="196">
        <v>18</v>
      </c>
      <c r="P21" s="197">
        <f t="shared" ca="1" si="1"/>
        <v>177805619.05287629</v>
      </c>
      <c r="Q21" s="197">
        <f t="shared" ca="1" si="2"/>
        <v>11636.788026259746</v>
      </c>
      <c r="R21" s="197">
        <f t="shared" ca="1" si="0"/>
        <v>1592659.1397515179</v>
      </c>
      <c r="S21" s="197">
        <f t="shared" ca="1" si="3"/>
        <v>1604295.9277777777</v>
      </c>
    </row>
    <row r="22" spans="1:22" x14ac:dyDescent="0.25">
      <c r="A22" s="250">
        <v>2</v>
      </c>
      <c r="B22" s="187" t="s">
        <v>211</v>
      </c>
      <c r="H22" s="191">
        <v>18</v>
      </c>
      <c r="I22" s="198">
        <f t="shared" ca="1" si="4"/>
        <v>800079438.59871972</v>
      </c>
      <c r="J22" s="198">
        <f t="shared" ca="1" si="5"/>
        <v>-5512417.3660300653</v>
      </c>
      <c r="K22" s="198">
        <f t="shared" ca="1" si="8"/>
        <v>7116713.2938078428</v>
      </c>
      <c r="L22" s="193">
        <f t="shared" ca="1" si="7"/>
        <v>1604295.9277777777</v>
      </c>
      <c r="O22" s="196">
        <v>19</v>
      </c>
      <c r="P22" s="197">
        <f t="shared" ca="1" si="1"/>
        <v>177793878.03741315</v>
      </c>
      <c r="Q22" s="197">
        <f t="shared" ca="1" si="2"/>
        <v>11741.015463128919</v>
      </c>
      <c r="R22" s="197">
        <f t="shared" ca="1" si="0"/>
        <v>1592554.9123146487</v>
      </c>
      <c r="S22" s="197">
        <f t="shared" ca="1" si="3"/>
        <v>1604295.9277777777</v>
      </c>
    </row>
    <row r="23" spans="1:22" x14ac:dyDescent="0.25">
      <c r="A23" s="250"/>
      <c r="B23" s="187" t="s">
        <v>212</v>
      </c>
      <c r="H23" s="191">
        <v>19</v>
      </c>
      <c r="I23" s="198">
        <f t="shared" ca="1" si="4"/>
        <v>805641229.13642883</v>
      </c>
      <c r="J23" s="198">
        <f t="shared" ca="1" si="5"/>
        <v>-5561790.5377091281</v>
      </c>
      <c r="K23" s="198">
        <f t="shared" ca="1" si="8"/>
        <v>7166086.4654869055</v>
      </c>
      <c r="L23" s="193">
        <f t="shared" ca="1" si="7"/>
        <v>1604295.9277777777</v>
      </c>
      <c r="O23" s="196">
        <v>20</v>
      </c>
      <c r="P23" s="197">
        <f t="shared" ca="1" si="1"/>
        <v>177782031.86097732</v>
      </c>
      <c r="Q23" s="197">
        <f t="shared" ca="1" si="2"/>
        <v>11846.176435830304</v>
      </c>
      <c r="R23" s="197">
        <f t="shared" ca="1" si="0"/>
        <v>1592449.7513419474</v>
      </c>
      <c r="S23" s="197">
        <f t="shared" ca="1" si="3"/>
        <v>1604295.9277777777</v>
      </c>
    </row>
    <row r="24" spans="1:22" x14ac:dyDescent="0.25">
      <c r="A24" s="250"/>
      <c r="B24" s="187" t="s">
        <v>213</v>
      </c>
      <c r="C24" s="190">
        <f>C6</f>
        <v>5694441.1999999993</v>
      </c>
      <c r="D24" s="199" t="s">
        <v>214</v>
      </c>
      <c r="H24" s="191">
        <v>20</v>
      </c>
      <c r="I24" s="198">
        <f t="shared" ca="1" si="4"/>
        <v>811252835.0674268</v>
      </c>
      <c r="J24" s="198">
        <f t="shared" ca="1" si="5"/>
        <v>-5611605.9309980199</v>
      </c>
      <c r="K24" s="198">
        <f t="shared" ca="1" si="8"/>
        <v>7215901.8587757973</v>
      </c>
      <c r="L24" s="193">
        <f t="shared" ca="1" si="7"/>
        <v>1604295.9277777777</v>
      </c>
      <c r="O24" s="196">
        <v>21</v>
      </c>
      <c r="P24" s="197">
        <f t="shared" ca="1" si="1"/>
        <v>177770079.58167154</v>
      </c>
      <c r="Q24" s="197">
        <f t="shared" ca="1" si="2"/>
        <v>11952.279305781703</v>
      </c>
      <c r="R24" s="197">
        <f t="shared" ca="1" si="0"/>
        <v>1592343.648471996</v>
      </c>
      <c r="S24" s="197">
        <f t="shared" ca="1" si="3"/>
        <v>1604295.9277777777</v>
      </c>
    </row>
    <row r="25" spans="1:22" x14ac:dyDescent="0.25">
      <c r="A25" s="250"/>
      <c r="B25" s="187" t="s">
        <v>201</v>
      </c>
      <c r="C25" s="190">
        <v>10000</v>
      </c>
      <c r="D25" s="208"/>
      <c r="H25" s="191">
        <v>21</v>
      </c>
      <c r="I25" s="198">
        <f t="shared" ca="1" si="4"/>
        <v>816914702.5741781</v>
      </c>
      <c r="J25" s="198">
        <f t="shared" ca="1" si="5"/>
        <v>-5661867.5067512989</v>
      </c>
      <c r="K25" s="198">
        <f t="shared" ca="1" si="8"/>
        <v>7266163.4345290763</v>
      </c>
      <c r="L25" s="193">
        <f t="shared" ca="1" si="7"/>
        <v>1604295.9277777777</v>
      </c>
      <c r="O25" s="196">
        <v>22</v>
      </c>
      <c r="P25" s="197">
        <f t="shared" ca="1" si="1"/>
        <v>177758020.24916226</v>
      </c>
      <c r="Q25" s="197">
        <f t="shared" ca="1" si="2"/>
        <v>12059.332509292522</v>
      </c>
      <c r="R25" s="197">
        <f t="shared" ca="1" si="0"/>
        <v>1592236.5952684851</v>
      </c>
      <c r="S25" s="197">
        <f t="shared" ca="1" si="3"/>
        <v>1604295.9277777777</v>
      </c>
    </row>
    <row r="26" spans="1:22" x14ac:dyDescent="0.25">
      <c r="A26" s="250"/>
      <c r="B26" s="187" t="s">
        <v>215</v>
      </c>
      <c r="C26" s="190">
        <f>C24-C25</f>
        <v>5684441.1999999993</v>
      </c>
      <c r="D26" s="199" t="s">
        <v>216</v>
      </c>
      <c r="H26" s="191">
        <v>22</v>
      </c>
      <c r="I26" s="209">
        <f t="shared" ca="1" si="4"/>
        <v>822627281.83547783</v>
      </c>
      <c r="J26" s="198">
        <f t="shared" ca="1" si="5"/>
        <v>-5712579.2612997871</v>
      </c>
      <c r="K26" s="198">
        <f t="shared" ca="1" si="8"/>
        <v>7316875.1890775645</v>
      </c>
      <c r="L26" s="193">
        <f t="shared" ca="1" si="7"/>
        <v>1604295.9277777777</v>
      </c>
      <c r="O26" s="196">
        <v>23</v>
      </c>
      <c r="P26" s="197">
        <f t="shared" ca="1" si="1"/>
        <v>177745852.90460402</v>
      </c>
      <c r="Q26" s="197">
        <f t="shared" ca="1" si="2"/>
        <v>12167.344558231998</v>
      </c>
      <c r="R26" s="197">
        <f t="shared" ca="1" si="0"/>
        <v>1592128.5832195457</v>
      </c>
      <c r="S26" s="197">
        <f t="shared" ca="1" si="3"/>
        <v>1604295.9277777777</v>
      </c>
    </row>
    <row r="27" spans="1:22" x14ac:dyDescent="0.25">
      <c r="A27" s="250"/>
      <c r="B27" s="187" t="s">
        <v>217</v>
      </c>
      <c r="C27" s="190">
        <f>IF(ROUNDDOWN(C26/(C11/12)/10^6, )*10^6&gt;800000000,800000000,ROUNDDOWN(C26/(C11/12)/10^6, )*10^6)</f>
        <v>737000000</v>
      </c>
      <c r="D27" s="199" t="s">
        <v>218</v>
      </c>
      <c r="O27" s="196">
        <v>24</v>
      </c>
      <c r="P27" s="197">
        <f t="shared" ca="1" si="1"/>
        <v>177733576.58056331</v>
      </c>
      <c r="Q27" s="197">
        <f t="shared" ca="1" si="2"/>
        <v>12276.324040709995</v>
      </c>
      <c r="R27" s="197">
        <f t="shared" ca="1" si="0"/>
        <v>1592019.6037370677</v>
      </c>
      <c r="S27" s="197">
        <f t="shared" ca="1" si="3"/>
        <v>1604295.9277777777</v>
      </c>
    </row>
    <row r="28" spans="1:22" x14ac:dyDescent="0.25">
      <c r="A28" s="191"/>
      <c r="H28" s="210" t="s">
        <v>219</v>
      </c>
      <c r="O28" s="196">
        <v>25</v>
      </c>
      <c r="P28" s="197">
        <f t="shared" ca="1" si="1"/>
        <v>177721190.30094156</v>
      </c>
      <c r="Q28" s="197">
        <f t="shared" ca="1" si="2"/>
        <v>12386.279621755937</v>
      </c>
      <c r="R28" s="197">
        <f t="shared" ca="1" si="0"/>
        <v>1591909.6481560217</v>
      </c>
      <c r="S28" s="197">
        <f t="shared" ca="1" si="3"/>
        <v>1604295.9277777777</v>
      </c>
    </row>
    <row r="29" spans="1:22" ht="15" x14ac:dyDescent="0.2">
      <c r="A29" s="191"/>
      <c r="B29" s="247" t="s">
        <v>220</v>
      </c>
      <c r="C29" s="247"/>
      <c r="D29" s="247"/>
      <c r="E29" s="247"/>
      <c r="I29" s="189" t="s">
        <v>221</v>
      </c>
      <c r="J29" s="189" t="s">
        <v>222</v>
      </c>
      <c r="K29" s="189" t="s">
        <v>223</v>
      </c>
      <c r="L29" s="189" t="s">
        <v>224</v>
      </c>
      <c r="O29" s="196">
        <v>26</v>
      </c>
      <c r="P29" s="197">
        <f t="shared" ca="1" si="1"/>
        <v>177708693.08089754</v>
      </c>
      <c r="Q29" s="197">
        <f t="shared" ca="1" si="2"/>
        <v>12497.220044010319</v>
      </c>
      <c r="R29" s="197">
        <f t="shared" ca="1" si="0"/>
        <v>1591798.7077337673</v>
      </c>
      <c r="S29" s="197">
        <f t="shared" ca="1" si="3"/>
        <v>1604295.9277777777</v>
      </c>
    </row>
    <row r="30" spans="1:22" ht="15" x14ac:dyDescent="0.2">
      <c r="B30" s="247"/>
      <c r="C30" s="247"/>
      <c r="D30" s="247"/>
      <c r="E30" s="247"/>
      <c r="H30" s="191">
        <v>23</v>
      </c>
      <c r="I30" s="198">
        <f ca="1">I26-J30</f>
        <v>812295878.25461364</v>
      </c>
      <c r="J30" s="198">
        <f ca="1">L30-K30</f>
        <v>10331403.580864241</v>
      </c>
      <c r="K30" s="198">
        <f ca="1">$C$63/12*I26</f>
        <v>7575026.2202350255</v>
      </c>
      <c r="L30" s="193">
        <f ca="1">$C$64</f>
        <v>17906429.801099267</v>
      </c>
      <c r="O30" s="196">
        <v>27</v>
      </c>
      <c r="P30" s="197">
        <f t="shared" ca="1" si="1"/>
        <v>177696083.92676911</v>
      </c>
      <c r="Q30" s="197">
        <f t="shared" ca="1" si="2"/>
        <v>12609.15412841877</v>
      </c>
      <c r="R30" s="197">
        <f t="shared" ca="1" si="0"/>
        <v>1591686.7736493589</v>
      </c>
      <c r="S30" s="197">
        <f t="shared" ca="1" si="3"/>
        <v>1604295.9277777777</v>
      </c>
    </row>
    <row r="31" spans="1:22" ht="32.1" customHeight="1" x14ac:dyDescent="0.25">
      <c r="B31" s="187" t="s">
        <v>225</v>
      </c>
      <c r="C31" s="190">
        <f ca="1">MIN(C20,C27)</f>
        <v>193000000</v>
      </c>
      <c r="D31" s="249" t="s">
        <v>226</v>
      </c>
      <c r="E31" s="247"/>
      <c r="H31" s="191">
        <v>24</v>
      </c>
      <c r="I31" s="198">
        <f ca="1">I30-J31</f>
        <v>801869339.66577566</v>
      </c>
      <c r="J31" s="198">
        <f ca="1">L31-K31</f>
        <v>10426538.588838033</v>
      </c>
      <c r="K31" s="198">
        <f ca="1">$C$63/12*I30</f>
        <v>7479891.2122612344</v>
      </c>
      <c r="L31" s="193">
        <f ca="1">L30</f>
        <v>17906429.801099267</v>
      </c>
      <c r="O31" s="196">
        <v>28</v>
      </c>
      <c r="P31" s="197">
        <f t="shared" ca="1" si="1"/>
        <v>177683361.83599418</v>
      </c>
      <c r="Q31" s="197">
        <f t="shared" ca="1" si="2"/>
        <v>12722.09077493404</v>
      </c>
      <c r="R31" s="197">
        <f t="shared" ca="1" si="0"/>
        <v>1591573.8370028436</v>
      </c>
      <c r="S31" s="197">
        <f t="shared" ca="1" si="3"/>
        <v>1604295.9277777777</v>
      </c>
    </row>
    <row r="32" spans="1:22" x14ac:dyDescent="0.2">
      <c r="B32" s="211"/>
      <c r="C32" s="211"/>
      <c r="D32" s="211"/>
      <c r="E32" s="212"/>
      <c r="H32" s="191">
        <v>25</v>
      </c>
      <c r="I32" s="198">
        <f t="shared" ref="I32:I95" ca="1" si="9">I31-J32</f>
        <v>791346790.03409874</v>
      </c>
      <c r="J32" s="198">
        <f t="shared" ref="J32:J95" ca="1" si="10">L32-K32</f>
        <v>10522549.631676916</v>
      </c>
      <c r="K32" s="198">
        <f t="shared" ref="K32:K95" ca="1" si="11">$C$63/12*I31</f>
        <v>7383880.1694223518</v>
      </c>
      <c r="L32" s="193">
        <f t="shared" ref="L32:L95" ca="1" si="12">L31</f>
        <v>17906429.801099267</v>
      </c>
      <c r="O32" s="196">
        <v>29</v>
      </c>
      <c r="P32" s="197">
        <f t="shared" ca="1" si="1"/>
        <v>177670525.79703096</v>
      </c>
      <c r="Q32" s="197">
        <f t="shared" ca="1" si="2"/>
        <v>12836.038963222178</v>
      </c>
      <c r="R32" s="197">
        <f t="shared" ca="1" si="0"/>
        <v>1591459.8888145555</v>
      </c>
      <c r="S32" s="197">
        <f t="shared" ca="1" si="3"/>
        <v>1604295.9277777777</v>
      </c>
    </row>
    <row r="33" spans="1:19" x14ac:dyDescent="0.25">
      <c r="A33" s="250">
        <v>3</v>
      </c>
      <c r="B33" s="187" t="s">
        <v>227</v>
      </c>
      <c r="H33" s="191">
        <v>26</v>
      </c>
      <c r="I33" s="198">
        <f t="shared" ca="1" si="9"/>
        <v>780727345.25789678</v>
      </c>
      <c r="J33" s="198">
        <f t="shared" ca="1" si="10"/>
        <v>10619444.776201941</v>
      </c>
      <c r="K33" s="198">
        <f t="shared" ca="1" si="11"/>
        <v>7286985.0248973267</v>
      </c>
      <c r="L33" s="193">
        <f t="shared" ca="1" si="12"/>
        <v>17906429.801099267</v>
      </c>
      <c r="O33" s="196">
        <v>30</v>
      </c>
      <c r="P33" s="197">
        <f t="shared" ca="1" si="1"/>
        <v>177657574.78927758</v>
      </c>
      <c r="Q33" s="197">
        <f t="shared" ca="1" si="2"/>
        <v>12951.007753378712</v>
      </c>
      <c r="R33" s="197">
        <f t="shared" ca="1" si="0"/>
        <v>1591344.9200243989</v>
      </c>
      <c r="S33" s="197">
        <f t="shared" ca="1" si="3"/>
        <v>1604295.9277777777</v>
      </c>
    </row>
    <row r="34" spans="1:19" x14ac:dyDescent="0.25">
      <c r="A34" s="250"/>
      <c r="B34" s="187" t="s">
        <v>208</v>
      </c>
      <c r="C34" s="213">
        <f>C13</f>
        <v>39998267</v>
      </c>
      <c r="D34" s="199" t="s">
        <v>228</v>
      </c>
      <c r="H34" s="191">
        <v>27</v>
      </c>
      <c r="I34" s="198">
        <f t="shared" ca="1" si="9"/>
        <v>770010113.09438062</v>
      </c>
      <c r="J34" s="198">
        <f t="shared" ca="1" si="10"/>
        <v>10717232.163516134</v>
      </c>
      <c r="K34" s="198">
        <f t="shared" ca="1" si="11"/>
        <v>7189197.6375831338</v>
      </c>
      <c r="L34" s="193">
        <f t="shared" ca="1" si="12"/>
        <v>17906429.801099267</v>
      </c>
      <c r="O34" s="196">
        <v>31</v>
      </c>
      <c r="P34" s="197">
        <f t="shared" ca="1" si="1"/>
        <v>177644507.78299093</v>
      </c>
      <c r="Q34" s="197">
        <f t="shared" ca="1" si="2"/>
        <v>13067.006286647404</v>
      </c>
      <c r="R34" s="197">
        <f t="shared" ca="1" si="0"/>
        <v>1591228.9214911303</v>
      </c>
      <c r="S34" s="197">
        <f t="shared" ca="1" si="3"/>
        <v>1604295.9277777777</v>
      </c>
    </row>
    <row r="35" spans="1:19" x14ac:dyDescent="0.25">
      <c r="A35" s="250"/>
      <c r="B35" s="187" t="s">
        <v>113</v>
      </c>
      <c r="C35" s="213">
        <f>C34/C8</f>
        <v>222212.59444444443</v>
      </c>
      <c r="D35" s="199" t="s">
        <v>229</v>
      </c>
      <c r="H35" s="191">
        <v>28</v>
      </c>
      <c r="I35" s="198">
        <f t="shared" ca="1" si="9"/>
        <v>759194193.08469212</v>
      </c>
      <c r="J35" s="198">
        <f t="shared" ca="1" si="10"/>
        <v>10815920.009688511</v>
      </c>
      <c r="K35" s="198">
        <f t="shared" ca="1" si="11"/>
        <v>7090509.7914107554</v>
      </c>
      <c r="L35" s="193">
        <f t="shared" ca="1" si="12"/>
        <v>17906429.801099267</v>
      </c>
      <c r="O35" s="196">
        <v>32</v>
      </c>
      <c r="P35" s="197">
        <f t="shared" ca="1" si="1"/>
        <v>177631323.73920479</v>
      </c>
      <c r="Q35" s="197">
        <f t="shared" ca="1" si="2"/>
        <v>13184.043786147609</v>
      </c>
      <c r="R35" s="197">
        <f t="shared" ca="1" si="0"/>
        <v>1591111.88399163</v>
      </c>
      <c r="S35" s="197">
        <f t="shared" ca="1" si="3"/>
        <v>1604295.9277777777</v>
      </c>
    </row>
    <row r="36" spans="1:19" x14ac:dyDescent="0.25">
      <c r="A36" s="250"/>
      <c r="B36" s="187" t="s">
        <v>101</v>
      </c>
      <c r="C36" s="190">
        <f ca="1">ROUNDDOWN(-PV((C12+0.01)/12,C10,C7-C35, ,0)/10^6, )*10^6</f>
        <v>178000000</v>
      </c>
      <c r="D36" s="199" t="s">
        <v>230</v>
      </c>
      <c r="E36" s="214"/>
      <c r="F36" s="214"/>
      <c r="G36" s="214"/>
      <c r="H36" s="191">
        <v>29</v>
      </c>
      <c r="I36" s="198">
        <f t="shared" ca="1" si="9"/>
        <v>748278676.47824776</v>
      </c>
      <c r="J36" s="198">
        <f t="shared" ca="1" si="10"/>
        <v>10915516.606444392</v>
      </c>
      <c r="K36" s="198">
        <f t="shared" ca="1" si="11"/>
        <v>6990913.1946548736</v>
      </c>
      <c r="L36" s="193">
        <f t="shared" ca="1" si="12"/>
        <v>17906429.801099267</v>
      </c>
      <c r="O36" s="196">
        <v>33</v>
      </c>
      <c r="P36" s="197">
        <f t="shared" ca="1" si="1"/>
        <v>177618021.60964718</v>
      </c>
      <c r="Q36" s="197">
        <f t="shared" ca="1" si="2"/>
        <v>13302.129557607695</v>
      </c>
      <c r="R36" s="197">
        <f t="shared" ref="R36:R67" ca="1" si="13">IF(O36&lt;=$C$9,P35*$V$6/12,P35*$V$16/12)</f>
        <v>1590993.79822017</v>
      </c>
      <c r="S36" s="197">
        <f t="shared" ca="1" si="3"/>
        <v>1604295.9277777777</v>
      </c>
    </row>
    <row r="37" spans="1:19" x14ac:dyDescent="0.25">
      <c r="H37" s="191">
        <v>30</v>
      </c>
      <c r="I37" s="198">
        <f t="shared" ca="1" si="9"/>
        <v>737262646.15638566</v>
      </c>
      <c r="J37" s="198">
        <f t="shared" ca="1" si="10"/>
        <v>11016030.321862068</v>
      </c>
      <c r="K37" s="198">
        <f t="shared" ca="1" si="11"/>
        <v>6890399.4792371988</v>
      </c>
      <c r="L37" s="193">
        <f t="shared" ca="1" si="12"/>
        <v>17906429.801099267</v>
      </c>
      <c r="O37" s="196">
        <v>34</v>
      </c>
      <c r="P37" s="197">
        <f t="shared" ca="1" si="1"/>
        <v>177604600.33665708</v>
      </c>
      <c r="Q37" s="197">
        <f t="shared" ca="1" si="2"/>
        <v>13421.272990104742</v>
      </c>
      <c r="R37" s="197">
        <f t="shared" ca="1" si="13"/>
        <v>1590874.6547876729</v>
      </c>
      <c r="S37" s="197">
        <f t="shared" ca="1" si="3"/>
        <v>1604295.9277777777</v>
      </c>
    </row>
    <row r="38" spans="1:19" x14ac:dyDescent="0.25">
      <c r="A38" s="250">
        <v>4</v>
      </c>
      <c r="B38" s="187" t="s">
        <v>211</v>
      </c>
      <c r="H38" s="191">
        <v>31</v>
      </c>
      <c r="I38" s="198">
        <f t="shared" ca="1" si="9"/>
        <v>726145176.55530977</v>
      </c>
      <c r="J38" s="198">
        <f t="shared" ca="1" si="10"/>
        <v>11117469.601075882</v>
      </c>
      <c r="K38" s="198">
        <f t="shared" ca="1" si="11"/>
        <v>6788960.2000233848</v>
      </c>
      <c r="L38" s="193">
        <f t="shared" ca="1" si="12"/>
        <v>17906429.801099267</v>
      </c>
      <c r="O38" s="196">
        <v>35</v>
      </c>
      <c r="P38" s="197">
        <f t="shared" ca="1" si="1"/>
        <v>177591058.85310027</v>
      </c>
      <c r="Q38" s="197">
        <f t="shared" ca="1" si="2"/>
        <v>13541.483556810999</v>
      </c>
      <c r="R38" s="197">
        <f t="shared" ca="1" si="13"/>
        <v>1590754.4442209667</v>
      </c>
      <c r="S38" s="197">
        <f t="shared" ca="1" si="3"/>
        <v>1604295.9277777777</v>
      </c>
    </row>
    <row r="39" spans="1:19" x14ac:dyDescent="0.25">
      <c r="A39" s="250"/>
      <c r="B39" s="187" t="s">
        <v>212</v>
      </c>
      <c r="H39" s="191">
        <v>32</v>
      </c>
      <c r="I39" s="198">
        <f t="shared" ca="1" si="9"/>
        <v>714925333.58832395</v>
      </c>
      <c r="J39" s="198">
        <f t="shared" ca="1" si="10"/>
        <v>11219842.966985788</v>
      </c>
      <c r="K39" s="198">
        <f t="shared" ca="1" si="11"/>
        <v>6686586.8341134777</v>
      </c>
      <c r="L39" s="193">
        <f t="shared" ca="1" si="12"/>
        <v>17906429.801099267</v>
      </c>
      <c r="O39" s="196">
        <v>36</v>
      </c>
      <c r="P39" s="197">
        <f t="shared" ca="1" si="1"/>
        <v>177577396.08228451</v>
      </c>
      <c r="Q39" s="197">
        <f t="shared" ca="1" si="2"/>
        <v>13662.770815747324</v>
      </c>
      <c r="R39" s="197">
        <f t="shared" ca="1" si="13"/>
        <v>1590633.1569620303</v>
      </c>
      <c r="S39" s="197">
        <f t="shared" ca="1" si="3"/>
        <v>1604295.9277777777</v>
      </c>
    </row>
    <row r="40" spans="1:19" x14ac:dyDescent="0.25">
      <c r="A40" s="250"/>
      <c r="B40" s="187" t="s">
        <v>213</v>
      </c>
      <c r="C40" s="190">
        <f>C6</f>
        <v>5694441.1999999993</v>
      </c>
      <c r="D40" s="199" t="s">
        <v>214</v>
      </c>
      <c r="H40" s="191">
        <v>33</v>
      </c>
      <c r="I40" s="198">
        <f t="shared" ca="1" si="9"/>
        <v>703602174.56735051</v>
      </c>
      <c r="J40" s="198">
        <f t="shared" ca="1" si="10"/>
        <v>11323159.02097345</v>
      </c>
      <c r="K40" s="198">
        <f t="shared" ca="1" si="11"/>
        <v>6583270.7801258173</v>
      </c>
      <c r="L40" s="193">
        <f t="shared" ca="1" si="12"/>
        <v>17906429.801099267</v>
      </c>
      <c r="O40" s="196">
        <v>37</v>
      </c>
      <c r="P40" s="197">
        <f t="shared" ca="1" si="1"/>
        <v>177563610.93787396</v>
      </c>
      <c r="Q40" s="197">
        <f t="shared" ca="1" si="2"/>
        <v>13785.144410543609</v>
      </c>
      <c r="R40" s="197">
        <f t="shared" ca="1" si="13"/>
        <v>1590510.783367234</v>
      </c>
      <c r="S40" s="197">
        <f t="shared" ca="1" si="3"/>
        <v>1604295.9277777777</v>
      </c>
    </row>
    <row r="41" spans="1:19" x14ac:dyDescent="0.25">
      <c r="A41" s="250"/>
      <c r="B41" s="187" t="s">
        <v>201</v>
      </c>
      <c r="C41" s="190">
        <v>10000</v>
      </c>
      <c r="D41" s="208"/>
      <c r="H41" s="191">
        <v>34</v>
      </c>
      <c r="I41" s="198">
        <f t="shared" ca="1" si="9"/>
        <v>692174748.12372565</v>
      </c>
      <c r="J41" s="198">
        <f t="shared" ca="1" si="10"/>
        <v>11427426.443624914</v>
      </c>
      <c r="K41" s="198">
        <f t="shared" ca="1" si="11"/>
        <v>6479003.3574743532</v>
      </c>
      <c r="L41" s="193">
        <f t="shared" ca="1" si="12"/>
        <v>17906429.801099267</v>
      </c>
      <c r="O41" s="196">
        <v>38</v>
      </c>
      <c r="P41" s="197">
        <f t="shared" ca="1" si="1"/>
        <v>177549702.32380277</v>
      </c>
      <c r="Q41" s="197">
        <f t="shared" ca="1" si="2"/>
        <v>13908.614071204327</v>
      </c>
      <c r="R41" s="197">
        <f t="shared" ca="1" si="13"/>
        <v>1590387.3137065733</v>
      </c>
      <c r="S41" s="197">
        <f t="shared" ca="1" si="3"/>
        <v>1604295.9277777777</v>
      </c>
    </row>
    <row r="42" spans="1:19" x14ac:dyDescent="0.25">
      <c r="A42" s="250"/>
      <c r="B42" s="187" t="s">
        <v>113</v>
      </c>
      <c r="C42" s="213">
        <f>C35</f>
        <v>222212.59444444443</v>
      </c>
      <c r="D42" s="199" t="s">
        <v>231</v>
      </c>
      <c r="H42" s="191">
        <v>35</v>
      </c>
      <c r="I42" s="198">
        <f t="shared" ca="1" si="9"/>
        <v>680642094.12826574</v>
      </c>
      <c r="J42" s="198">
        <f t="shared" ca="1" si="10"/>
        <v>11532653.995459959</v>
      </c>
      <c r="K42" s="198">
        <f t="shared" ca="1" si="11"/>
        <v>6373775.8056393079</v>
      </c>
      <c r="L42" s="193">
        <f t="shared" ca="1" si="12"/>
        <v>17906429.801099267</v>
      </c>
      <c r="O42" s="196">
        <v>39</v>
      </c>
      <c r="P42" s="197">
        <f t="shared" ca="1" si="1"/>
        <v>177535669.13418788</v>
      </c>
      <c r="Q42" s="197">
        <f t="shared" ca="1" si="2"/>
        <v>14033.189614882227</v>
      </c>
      <c r="R42" s="197">
        <f t="shared" ca="1" si="13"/>
        <v>1590262.7381628954</v>
      </c>
      <c r="S42" s="197">
        <f t="shared" ca="1" si="3"/>
        <v>1604295.9277777777</v>
      </c>
    </row>
    <row r="43" spans="1:19" x14ac:dyDescent="0.25">
      <c r="A43" s="250"/>
      <c r="B43" s="187" t="s">
        <v>215</v>
      </c>
      <c r="C43" s="213">
        <f>C40-C41-C42</f>
        <v>5462228.6055555549</v>
      </c>
      <c r="D43" s="199" t="s">
        <v>232</v>
      </c>
      <c r="H43" s="191">
        <v>36</v>
      </c>
      <c r="I43" s="198">
        <f t="shared" ca="1" si="9"/>
        <v>669003243.61059761</v>
      </c>
      <c r="J43" s="198">
        <f t="shared" ca="1" si="10"/>
        <v>11638850.517668154</v>
      </c>
      <c r="K43" s="198">
        <f t="shared" ca="1" si="11"/>
        <v>6267579.2834311137</v>
      </c>
      <c r="L43" s="193">
        <f t="shared" ca="1" si="12"/>
        <v>17906429.801099267</v>
      </c>
      <c r="O43" s="196">
        <v>40</v>
      </c>
      <c r="P43" s="197">
        <f t="shared" ca="1" si="1"/>
        <v>177521510.25324121</v>
      </c>
      <c r="Q43" s="197">
        <f t="shared" ca="1" si="2"/>
        <v>14158.880946661811</v>
      </c>
      <c r="R43" s="197">
        <f t="shared" ca="1" si="13"/>
        <v>1590137.0468311158</v>
      </c>
      <c r="S43" s="197">
        <f t="shared" ca="1" si="3"/>
        <v>1604295.9277777777</v>
      </c>
    </row>
    <row r="44" spans="1:19" x14ac:dyDescent="0.25">
      <c r="A44" s="250"/>
      <c r="B44" s="187" t="s">
        <v>217</v>
      </c>
      <c r="C44" s="215">
        <f>ROUNDDOWN(C43/(C11/12)/10^6,0)*10^6</f>
        <v>708000000</v>
      </c>
      <c r="D44" s="199" t="s">
        <v>233</v>
      </c>
      <c r="H44" s="191">
        <v>37</v>
      </c>
      <c r="I44" s="198">
        <f t="shared" ca="1" si="9"/>
        <v>657257218.67774594</v>
      </c>
      <c r="J44" s="198">
        <f t="shared" ca="1" si="10"/>
        <v>11746024.93285168</v>
      </c>
      <c r="K44" s="198">
        <f t="shared" ca="1" si="11"/>
        <v>6160404.8682475872</v>
      </c>
      <c r="L44" s="193">
        <f t="shared" ca="1" si="12"/>
        <v>17906429.801099267</v>
      </c>
      <c r="O44" s="196">
        <v>41</v>
      </c>
      <c r="P44" s="197">
        <f t="shared" ca="1" si="1"/>
        <v>177507224.55518088</v>
      </c>
      <c r="Q44" s="197">
        <f t="shared" ca="1" si="2"/>
        <v>14285.698060342576</v>
      </c>
      <c r="R44" s="197">
        <f t="shared" ca="1" si="13"/>
        <v>1590010.2297174351</v>
      </c>
      <c r="S44" s="197">
        <f t="shared" ca="1" si="3"/>
        <v>1604295.9277777777</v>
      </c>
    </row>
    <row r="45" spans="1:19" x14ac:dyDescent="0.25">
      <c r="A45" s="250"/>
      <c r="H45" s="191">
        <v>38</v>
      </c>
      <c r="I45" s="198">
        <f t="shared" ca="1" si="9"/>
        <v>645403032.43197095</v>
      </c>
      <c r="J45" s="198">
        <f t="shared" ca="1" si="10"/>
        <v>11854186.245775022</v>
      </c>
      <c r="K45" s="198">
        <f t="shared" ca="1" si="11"/>
        <v>6052243.5553242443</v>
      </c>
      <c r="L45" s="193">
        <f t="shared" ca="1" si="12"/>
        <v>17906429.801099267</v>
      </c>
      <c r="O45" s="196">
        <v>42</v>
      </c>
      <c r="P45" s="197">
        <f t="shared" ca="1" si="1"/>
        <v>177492810.90414163</v>
      </c>
      <c r="Q45" s="197">
        <f t="shared" ca="1" si="2"/>
        <v>14413.651039236225</v>
      </c>
      <c r="R45" s="197">
        <f t="shared" ca="1" si="13"/>
        <v>1589882.2767385414</v>
      </c>
      <c r="S45" s="197">
        <f t="shared" ca="1" si="3"/>
        <v>1604295.9277777777</v>
      </c>
    </row>
    <row r="46" spans="1:19" x14ac:dyDescent="0.25">
      <c r="A46" s="250"/>
      <c r="B46" s="187" t="s">
        <v>234</v>
      </c>
      <c r="C46" s="207">
        <f ca="1">MIN(C36,C44)</f>
        <v>178000000</v>
      </c>
      <c r="D46" s="199" t="s">
        <v>235</v>
      </c>
      <c r="H46" s="191">
        <v>39</v>
      </c>
      <c r="I46" s="198">
        <f t="shared" ca="1" si="9"/>
        <v>633439688.88784945</v>
      </c>
      <c r="J46" s="198">
        <f t="shared" ca="1" si="10"/>
        <v>11963343.544121534</v>
      </c>
      <c r="K46" s="198">
        <f t="shared" ca="1" si="11"/>
        <v>5943086.2569777332</v>
      </c>
      <c r="L46" s="193">
        <f t="shared" ca="1" si="12"/>
        <v>17906429.801099267</v>
      </c>
      <c r="O46" s="196">
        <v>43</v>
      </c>
      <c r="P46" s="197">
        <f t="shared" ca="1" si="1"/>
        <v>177478268.15408465</v>
      </c>
      <c r="Q46" s="197">
        <f t="shared" ca="1" si="2"/>
        <v>14542.750056968071</v>
      </c>
      <c r="R46" s="197">
        <f t="shared" ca="1" si="13"/>
        <v>1589753.1777208096</v>
      </c>
      <c r="S46" s="197">
        <f t="shared" ca="1" si="3"/>
        <v>1604295.9277777777</v>
      </c>
    </row>
    <row r="47" spans="1:19" x14ac:dyDescent="0.25">
      <c r="D47" s="208"/>
      <c r="H47" s="191">
        <v>40</v>
      </c>
      <c r="I47" s="198">
        <f t="shared" ca="1" si="9"/>
        <v>621366182.88859248</v>
      </c>
      <c r="J47" s="198">
        <f t="shared" ca="1" si="10"/>
        <v>12073505.999256987</v>
      </c>
      <c r="K47" s="198">
        <f t="shared" ca="1" si="11"/>
        <v>5832923.8018422807</v>
      </c>
      <c r="L47" s="193">
        <f t="shared" ca="1" si="12"/>
        <v>17906429.801099267</v>
      </c>
      <c r="O47" s="196">
        <v>44</v>
      </c>
      <c r="P47" s="197">
        <f t="shared" ca="1" si="1"/>
        <v>177463595.14870638</v>
      </c>
      <c r="Q47" s="197">
        <f t="shared" ca="1" si="2"/>
        <v>14673.005378285656</v>
      </c>
      <c r="R47" s="197">
        <f t="shared" ca="1" si="13"/>
        <v>1589622.922399492</v>
      </c>
      <c r="S47" s="197">
        <f t="shared" ca="1" si="3"/>
        <v>1604295.9277777777</v>
      </c>
    </row>
    <row r="48" spans="1:19" x14ac:dyDescent="0.25">
      <c r="A48" s="250">
        <v>5</v>
      </c>
      <c r="B48" s="187" t="s">
        <v>236</v>
      </c>
      <c r="D48" s="208"/>
      <c r="H48" s="191">
        <v>41</v>
      </c>
      <c r="I48" s="198">
        <f t="shared" ca="1" si="9"/>
        <v>609181500.02159238</v>
      </c>
      <c r="J48" s="198">
        <f t="shared" ca="1" si="10"/>
        <v>12184682.867000144</v>
      </c>
      <c r="K48" s="198">
        <f t="shared" ca="1" si="11"/>
        <v>5721746.9340991229</v>
      </c>
      <c r="L48" s="193">
        <f t="shared" ca="1" si="12"/>
        <v>17906429.801099267</v>
      </c>
      <c r="O48" s="196">
        <v>45</v>
      </c>
      <c r="P48" s="197">
        <f t="shared" ca="1" si="1"/>
        <v>177448790.7213465</v>
      </c>
      <c r="Q48" s="197">
        <f t="shared" ca="1" si="2"/>
        <v>14804.427359874593</v>
      </c>
      <c r="R48" s="197">
        <f t="shared" ca="1" si="13"/>
        <v>1589491.5004179031</v>
      </c>
      <c r="S48" s="197">
        <f t="shared" ca="1" si="3"/>
        <v>1604295.9277777777</v>
      </c>
    </row>
    <row r="49" spans="1:19" x14ac:dyDescent="0.25">
      <c r="A49" s="250"/>
      <c r="B49" s="187" t="s">
        <v>237</v>
      </c>
      <c r="C49" s="190">
        <f ca="1">C11/12*C46</f>
        <v>1372083.3333333333</v>
      </c>
      <c r="D49" s="199" t="s">
        <v>238</v>
      </c>
      <c r="H49" s="191">
        <v>42</v>
      </c>
      <c r="I49" s="198">
        <f t="shared" ca="1" si="9"/>
        <v>596884616.53319192</v>
      </c>
      <c r="J49" s="198">
        <f t="shared" ca="1" si="10"/>
        <v>12296883.488400437</v>
      </c>
      <c r="K49" s="198">
        <f t="shared" ca="1" si="11"/>
        <v>5609546.3126988299</v>
      </c>
      <c r="L49" s="193">
        <f t="shared" ca="1" si="12"/>
        <v>17906429.801099267</v>
      </c>
      <c r="O49" s="196">
        <v>46</v>
      </c>
      <c r="P49" s="197">
        <f t="shared" ca="1" si="1"/>
        <v>177433853.69489533</v>
      </c>
      <c r="Q49" s="197">
        <f t="shared" ca="1" si="2"/>
        <v>14937.026451183483</v>
      </c>
      <c r="R49" s="197">
        <f t="shared" ca="1" si="13"/>
        <v>1589358.9013265942</v>
      </c>
      <c r="S49" s="197">
        <f t="shared" ca="1" si="3"/>
        <v>1604295.9277777777</v>
      </c>
    </row>
    <row r="50" spans="1:19" x14ac:dyDescent="0.25">
      <c r="A50" s="250"/>
      <c r="B50" s="187" t="s">
        <v>206</v>
      </c>
      <c r="C50" s="190">
        <v>10000</v>
      </c>
      <c r="D50" s="208"/>
      <c r="H50" s="191">
        <v>43</v>
      </c>
      <c r="I50" s="198">
        <f t="shared" ca="1" si="9"/>
        <v>584474499.24266911</v>
      </c>
      <c r="J50" s="198">
        <f t="shared" ca="1" si="10"/>
        <v>12410117.290522791</v>
      </c>
      <c r="K50" s="198">
        <f t="shared" ca="1" si="11"/>
        <v>5496312.5105764763</v>
      </c>
      <c r="L50" s="193">
        <f t="shared" ca="1" si="12"/>
        <v>17906429.801099267</v>
      </c>
      <c r="O50" s="196">
        <v>47</v>
      </c>
      <c r="P50" s="197">
        <f t="shared" ca="1" si="1"/>
        <v>177418782.88170007</v>
      </c>
      <c r="Q50" s="197">
        <f t="shared" ca="1" si="2"/>
        <v>15070.81319525186</v>
      </c>
      <c r="R50" s="197">
        <f t="shared" ca="1" si="13"/>
        <v>1589225.1145825258</v>
      </c>
      <c r="S50" s="197">
        <f t="shared" ca="1" si="3"/>
        <v>1604295.9277777777</v>
      </c>
    </row>
    <row r="51" spans="1:19" x14ac:dyDescent="0.25">
      <c r="A51" s="250"/>
      <c r="B51" s="187" t="s">
        <v>239</v>
      </c>
      <c r="C51" s="213">
        <f ca="1">C49+C50</f>
        <v>1382083.3333333333</v>
      </c>
      <c r="D51" s="199" t="s">
        <v>240</v>
      </c>
      <c r="H51" s="191">
        <v>44</v>
      </c>
      <c r="I51" s="198">
        <f t="shared" ca="1" si="9"/>
        <v>571950105.45542943</v>
      </c>
      <c r="J51" s="198">
        <f t="shared" ca="1" si="10"/>
        <v>12524393.787239689</v>
      </c>
      <c r="K51" s="198">
        <f t="shared" ca="1" si="11"/>
        <v>5382036.0138595784</v>
      </c>
      <c r="L51" s="193">
        <f t="shared" ca="1" si="12"/>
        <v>17906429.801099267</v>
      </c>
      <c r="O51" s="196">
        <v>48</v>
      </c>
      <c r="P51" s="197">
        <f t="shared" ca="1" si="1"/>
        <v>177403577.08347052</v>
      </c>
      <c r="Q51" s="197">
        <f t="shared" ca="1" si="2"/>
        <v>15205.79822955234</v>
      </c>
      <c r="R51" s="197">
        <f t="shared" ca="1" si="13"/>
        <v>1589090.1295482253</v>
      </c>
      <c r="S51" s="197">
        <f t="shared" ca="1" si="3"/>
        <v>1604295.9277777777</v>
      </c>
    </row>
    <row r="52" spans="1:19" x14ac:dyDescent="0.25">
      <c r="A52" s="250"/>
      <c r="B52" s="187" t="s">
        <v>113</v>
      </c>
      <c r="C52" s="213">
        <f>C42</f>
        <v>222212.59444444443</v>
      </c>
      <c r="D52" s="199" t="s">
        <v>241</v>
      </c>
      <c r="H52" s="191">
        <v>45</v>
      </c>
      <c r="I52" s="198">
        <f t="shared" ca="1" si="9"/>
        <v>559310382.87539887</v>
      </c>
      <c r="J52" s="198">
        <f t="shared" ca="1" si="10"/>
        <v>12639722.58003052</v>
      </c>
      <c r="K52" s="198">
        <f t="shared" ca="1" si="11"/>
        <v>5266707.2210687464</v>
      </c>
      <c r="L52" s="193">
        <f t="shared" ca="1" si="12"/>
        <v>17906429.801099267</v>
      </c>
      <c r="O52" s="196">
        <v>49</v>
      </c>
      <c r="P52" s="197">
        <f t="shared" ca="1" si="1"/>
        <v>177388235.09118369</v>
      </c>
      <c r="Q52" s="197">
        <f t="shared" ca="1" si="2"/>
        <v>15341.992286833236</v>
      </c>
      <c r="R52" s="197">
        <f t="shared" ca="1" si="13"/>
        <v>1588953.9354909444</v>
      </c>
      <c r="S52" s="197">
        <f t="shared" ca="1" si="3"/>
        <v>1604295.9277777777</v>
      </c>
    </row>
    <row r="53" spans="1:19" x14ac:dyDescent="0.25">
      <c r="A53" s="250"/>
      <c r="B53" s="187" t="s">
        <v>242</v>
      </c>
      <c r="C53" s="213">
        <f ca="1">C49+C52</f>
        <v>1594295.9277777777</v>
      </c>
      <c r="D53" s="199" t="s">
        <v>243</v>
      </c>
      <c r="H53" s="191">
        <v>46</v>
      </c>
      <c r="I53" s="198">
        <f t="shared" ca="1" si="9"/>
        <v>546554269.51661062</v>
      </c>
      <c r="J53" s="198">
        <f t="shared" ca="1" si="10"/>
        <v>12756113.358788302</v>
      </c>
      <c r="K53" s="198">
        <f t="shared" ca="1" si="11"/>
        <v>5150316.4423109647</v>
      </c>
      <c r="L53" s="193">
        <f t="shared" ca="1" si="12"/>
        <v>17906429.801099267</v>
      </c>
      <c r="O53" s="196">
        <v>50</v>
      </c>
      <c r="P53" s="197">
        <f t="shared" ca="1" si="1"/>
        <v>177372755.68498772</v>
      </c>
      <c r="Q53" s="197">
        <f t="shared" ca="1" si="2"/>
        <v>15479.406195973046</v>
      </c>
      <c r="R53" s="197">
        <f t="shared" ca="1" si="13"/>
        <v>1588816.5215818046</v>
      </c>
      <c r="S53" s="197">
        <f t="shared" ca="1" si="3"/>
        <v>1604295.9277777777</v>
      </c>
    </row>
    <row r="54" spans="1:19" x14ac:dyDescent="0.25">
      <c r="A54" s="250"/>
      <c r="B54" s="187" t="s">
        <v>244</v>
      </c>
      <c r="C54" s="216">
        <f ca="1">C53/C46*12</f>
        <v>0.10748062434456927</v>
      </c>
      <c r="D54" s="199" t="s">
        <v>245</v>
      </c>
      <c r="H54" s="191">
        <v>47</v>
      </c>
      <c r="I54" s="198">
        <f t="shared" ca="1" si="9"/>
        <v>533680693.61397684</v>
      </c>
      <c r="J54" s="198">
        <f t="shared" ca="1" si="10"/>
        <v>12873575.90263381</v>
      </c>
      <c r="K54" s="198">
        <f t="shared" ca="1" si="11"/>
        <v>5032853.8984654564</v>
      </c>
      <c r="L54" s="193">
        <f t="shared" ca="1" si="12"/>
        <v>17906429.801099267</v>
      </c>
      <c r="O54" s="196">
        <v>51</v>
      </c>
      <c r="P54" s="197">
        <f t="shared" ca="1" si="1"/>
        <v>177357137.63410488</v>
      </c>
      <c r="Q54" s="197">
        <f t="shared" ca="1" si="2"/>
        <v>15618.050882841926</v>
      </c>
      <c r="R54" s="197">
        <f t="shared" ca="1" si="13"/>
        <v>1588677.8768949357</v>
      </c>
      <c r="S54" s="197">
        <f t="shared" ca="1" si="3"/>
        <v>1604295.9277777777</v>
      </c>
    </row>
    <row r="55" spans="1:19" x14ac:dyDescent="0.25">
      <c r="A55" s="250"/>
      <c r="B55" s="187" t="s">
        <v>246</v>
      </c>
      <c r="C55" s="213">
        <f ca="1">C53+C50</f>
        <v>1604295.9277777777</v>
      </c>
      <c r="D55" s="199" t="s">
        <v>247</v>
      </c>
      <c r="H55" s="191">
        <v>48</v>
      </c>
      <c r="I55" s="198">
        <f t="shared" ca="1" si="9"/>
        <v>520688573.5332396</v>
      </c>
      <c r="J55" s="198">
        <f t="shared" ca="1" si="10"/>
        <v>12992120.080737229</v>
      </c>
      <c r="K55" s="198">
        <f t="shared" ca="1" si="11"/>
        <v>4914309.7203620374</v>
      </c>
      <c r="L55" s="193">
        <f t="shared" ca="1" si="12"/>
        <v>17906429.801099267</v>
      </c>
      <c r="O55" s="196">
        <v>52</v>
      </c>
      <c r="P55" s="197">
        <f t="shared" ca="1" si="1"/>
        <v>177341379.69673371</v>
      </c>
      <c r="Q55" s="197">
        <f t="shared" ca="1" si="2"/>
        <v>15757.937371169683</v>
      </c>
      <c r="R55" s="197">
        <f t="shared" ca="1" si="13"/>
        <v>1588537.990406608</v>
      </c>
      <c r="S55" s="197">
        <f t="shared" ca="1" si="3"/>
        <v>1604295.9277777777</v>
      </c>
    </row>
    <row r="56" spans="1:19" x14ac:dyDescent="0.25">
      <c r="H56" s="191">
        <v>49</v>
      </c>
      <c r="I56" s="198">
        <f t="shared" ca="1" si="9"/>
        <v>507576817.68009228</v>
      </c>
      <c r="J56" s="198">
        <f t="shared" ca="1" si="10"/>
        <v>13111755.853147352</v>
      </c>
      <c r="K56" s="198">
        <f t="shared" ca="1" si="11"/>
        <v>4794673.9479519147</v>
      </c>
      <c r="L56" s="193">
        <f t="shared" ca="1" si="12"/>
        <v>17906429.801099267</v>
      </c>
      <c r="O56" s="196">
        <v>53</v>
      </c>
      <c r="P56" s="197">
        <f t="shared" ca="1" si="1"/>
        <v>177325480.61995029</v>
      </c>
      <c r="Q56" s="197">
        <f t="shared" ca="1" si="2"/>
        <v>15899.076783422614</v>
      </c>
      <c r="R56" s="197">
        <f t="shared" ca="1" si="13"/>
        <v>1588396.850994355</v>
      </c>
      <c r="S56" s="197">
        <f t="shared" ca="1" si="3"/>
        <v>1604295.9277777777</v>
      </c>
    </row>
    <row r="57" spans="1:19" x14ac:dyDescent="0.25">
      <c r="A57" s="191">
        <v>6</v>
      </c>
      <c r="B57" s="187" t="s">
        <v>248</v>
      </c>
      <c r="H57" s="191">
        <v>50</v>
      </c>
      <c r="I57" s="198">
        <f t="shared" ca="1" si="9"/>
        <v>494344324.40846384</v>
      </c>
      <c r="J57" s="198">
        <f t="shared" ca="1" si="10"/>
        <v>13232493.271628417</v>
      </c>
      <c r="K57" s="198">
        <f t="shared" ca="1" si="11"/>
        <v>4673936.5294708498</v>
      </c>
      <c r="L57" s="193">
        <f t="shared" ca="1" si="12"/>
        <v>17906429.801099267</v>
      </c>
      <c r="O57" s="196">
        <v>54</v>
      </c>
      <c r="P57" s="197">
        <f t="shared" ca="1" si="1"/>
        <v>177309439.13960859</v>
      </c>
      <c r="Q57" s="197">
        <f t="shared" ca="1" si="2"/>
        <v>16041.480341688031</v>
      </c>
      <c r="R57" s="197">
        <f t="shared" ca="1" si="13"/>
        <v>1588254.4474360896</v>
      </c>
      <c r="S57" s="197">
        <f t="shared" ca="1" si="3"/>
        <v>1604295.9277777777</v>
      </c>
    </row>
    <row r="58" spans="1:19" x14ac:dyDescent="0.25">
      <c r="B58" s="187" t="s">
        <v>249</v>
      </c>
      <c r="H58" s="191">
        <v>51</v>
      </c>
      <c r="I58" s="198">
        <f t="shared" ca="1" si="9"/>
        <v>480989981.9279592</v>
      </c>
      <c r="J58" s="198">
        <f t="shared" ca="1" si="10"/>
        <v>13354342.480504662</v>
      </c>
      <c r="K58" s="198">
        <f t="shared" ca="1" si="11"/>
        <v>4552087.3205946051</v>
      </c>
      <c r="L58" s="193">
        <f t="shared" ca="1" si="12"/>
        <v>17906429.801099267</v>
      </c>
      <c r="O58" s="196">
        <v>55</v>
      </c>
      <c r="P58" s="197">
        <f t="shared" ca="1" si="1"/>
        <v>177293253.98024002</v>
      </c>
      <c r="Q58" s="197">
        <f t="shared" ca="1" si="2"/>
        <v>16185.159368566237</v>
      </c>
      <c r="R58" s="197">
        <f t="shared" ca="1" si="13"/>
        <v>1588110.7684092114</v>
      </c>
      <c r="S58" s="197">
        <f t="shared" ca="1" si="3"/>
        <v>1604295.9277777777</v>
      </c>
    </row>
    <row r="59" spans="1:19" x14ac:dyDescent="0.25">
      <c r="B59" s="187" t="s">
        <v>120</v>
      </c>
      <c r="C59" s="217">
        <f ca="1">I26</f>
        <v>822627281.83547783</v>
      </c>
      <c r="D59" s="199" t="s">
        <v>250</v>
      </c>
      <c r="H59" s="191">
        <v>52</v>
      </c>
      <c r="I59" s="198">
        <f t="shared" ca="1" si="9"/>
        <v>467512668.21044654</v>
      </c>
      <c r="J59" s="198">
        <f t="shared" ca="1" si="10"/>
        <v>13477313.717512641</v>
      </c>
      <c r="K59" s="198">
        <f t="shared" ca="1" si="11"/>
        <v>4429116.0835866248</v>
      </c>
      <c r="L59" s="193">
        <f t="shared" ca="1" si="12"/>
        <v>17906429.801099267</v>
      </c>
      <c r="O59" s="196">
        <v>56</v>
      </c>
      <c r="P59" s="197">
        <f t="shared" ca="1" si="1"/>
        <v>177276923.85495195</v>
      </c>
      <c r="Q59" s="197">
        <f t="shared" ca="1" si="2"/>
        <v>16330.125288070412</v>
      </c>
      <c r="R59" s="197">
        <f t="shared" ca="1" si="13"/>
        <v>1587965.8024897072</v>
      </c>
      <c r="S59" s="197">
        <f t="shared" ca="1" si="3"/>
        <v>1604295.9277777777</v>
      </c>
    </row>
    <row r="60" spans="1:19" x14ac:dyDescent="0.25">
      <c r="B60" s="187" t="s">
        <v>129</v>
      </c>
      <c r="C60" s="190">
        <f ca="1">-PMT(C12/12,C10,C59,0,0)</f>
        <v>17681468.844093315</v>
      </c>
      <c r="D60" s="199" t="s">
        <v>251</v>
      </c>
      <c r="H60" s="191">
        <v>53</v>
      </c>
      <c r="I60" s="198">
        <f t="shared" ca="1" si="9"/>
        <v>453911250.89578515</v>
      </c>
      <c r="J60" s="198">
        <f t="shared" ca="1" si="10"/>
        <v>13601417.314661406</v>
      </c>
      <c r="K60" s="198">
        <f t="shared" ca="1" si="11"/>
        <v>4305012.4864378618</v>
      </c>
      <c r="L60" s="193">
        <f t="shared" ca="1" si="12"/>
        <v>17906429.801099267</v>
      </c>
      <c r="O60" s="196">
        <v>57</v>
      </c>
      <c r="P60" s="197">
        <f t="shared" ca="1" si="1"/>
        <v>177260447.46532542</v>
      </c>
      <c r="Q60" s="197">
        <f t="shared" ca="1" si="2"/>
        <v>16476.38962653582</v>
      </c>
      <c r="R60" s="197">
        <f t="shared" ca="1" si="13"/>
        <v>1587819.5381512418</v>
      </c>
      <c r="S60" s="197">
        <f t="shared" ca="1" si="3"/>
        <v>1604295.9277777777</v>
      </c>
    </row>
    <row r="61" spans="1:19" x14ac:dyDescent="0.25">
      <c r="B61" s="187" t="s">
        <v>113</v>
      </c>
      <c r="C61" s="213">
        <f>C52</f>
        <v>222212.59444444443</v>
      </c>
      <c r="D61" s="199" t="s">
        <v>252</v>
      </c>
      <c r="H61" s="191">
        <v>54</v>
      </c>
      <c r="I61" s="198">
        <f t="shared" ca="1" si="9"/>
        <v>440184587.1966846</v>
      </c>
      <c r="J61" s="198">
        <f t="shared" ca="1" si="10"/>
        <v>13726663.699100578</v>
      </c>
      <c r="K61" s="198">
        <f t="shared" ca="1" si="11"/>
        <v>4179766.1019986887</v>
      </c>
      <c r="L61" s="193">
        <f t="shared" ca="1" si="12"/>
        <v>17906429.801099267</v>
      </c>
      <c r="O61" s="196">
        <v>58</v>
      </c>
      <c r="P61" s="197">
        <f t="shared" ca="1" si="1"/>
        <v>177243823.50131187</v>
      </c>
      <c r="Q61" s="197">
        <f t="shared" ca="1" si="2"/>
        <v>16623.964013535995</v>
      </c>
      <c r="R61" s="197">
        <f t="shared" ca="1" si="13"/>
        <v>1587671.9637642417</v>
      </c>
      <c r="S61" s="197">
        <f t="shared" ca="1" si="3"/>
        <v>1604295.9277777777</v>
      </c>
    </row>
    <row r="62" spans="1:19" x14ac:dyDescent="0.25">
      <c r="B62" s="187" t="s">
        <v>253</v>
      </c>
      <c r="C62" s="213">
        <f ca="1">C60+C61</f>
        <v>17903681.438537762</v>
      </c>
      <c r="D62" s="199" t="s">
        <v>254</v>
      </c>
      <c r="H62" s="191">
        <v>55</v>
      </c>
      <c r="I62" s="198">
        <f t="shared" ca="1" si="9"/>
        <v>426331523.80268812</v>
      </c>
      <c r="J62" s="198">
        <f t="shared" ca="1" si="10"/>
        <v>13853063.393996462</v>
      </c>
      <c r="K62" s="198">
        <f t="shared" ca="1" si="11"/>
        <v>4053366.4071028042</v>
      </c>
      <c r="L62" s="193">
        <f t="shared" ca="1" si="12"/>
        <v>17906429.801099267</v>
      </c>
      <c r="O62" s="196">
        <v>59</v>
      </c>
      <c r="P62" s="197">
        <f t="shared" ca="1" si="1"/>
        <v>177227050.64112905</v>
      </c>
      <c r="Q62" s="197">
        <f t="shared" ca="1" si="2"/>
        <v>16772.860182807781</v>
      </c>
      <c r="R62" s="197">
        <f t="shared" ca="1" si="13"/>
        <v>1587523.0675949699</v>
      </c>
      <c r="S62" s="197">
        <f t="shared" ca="1" si="3"/>
        <v>1604295.9277777777</v>
      </c>
    </row>
    <row r="63" spans="1:19" x14ac:dyDescent="0.25">
      <c r="B63" s="187" t="s">
        <v>127</v>
      </c>
      <c r="C63" s="216">
        <f ca="1">ROUNDUP(RATE(C10,C62,-C59,0,0)*12,4)</f>
        <v>0.1105</v>
      </c>
      <c r="D63" s="199" t="s">
        <v>255</v>
      </c>
      <c r="H63" s="191">
        <v>56</v>
      </c>
      <c r="I63" s="198">
        <f t="shared" ca="1" si="9"/>
        <v>412350896.78327197</v>
      </c>
      <c r="J63" s="198">
        <f t="shared" ca="1" si="10"/>
        <v>13980627.01941618</v>
      </c>
      <c r="K63" s="198">
        <f t="shared" ca="1" si="11"/>
        <v>3925802.7816830869</v>
      </c>
      <c r="L63" s="193">
        <f t="shared" ca="1" si="12"/>
        <v>17906429.801099267</v>
      </c>
      <c r="O63" s="196">
        <v>60</v>
      </c>
      <c r="P63" s="197">
        <f t="shared" ca="1" si="1"/>
        <v>177210127.55115587</v>
      </c>
      <c r="Q63" s="197">
        <f t="shared" ca="1" si="2"/>
        <v>16923.089973181952</v>
      </c>
      <c r="R63" s="197">
        <f t="shared" ca="1" si="13"/>
        <v>1587372.8378045957</v>
      </c>
      <c r="S63" s="197">
        <f t="shared" ca="1" si="3"/>
        <v>1604295.9277777777</v>
      </c>
    </row>
    <row r="64" spans="1:19" x14ac:dyDescent="0.25">
      <c r="B64" s="187" t="s">
        <v>256</v>
      </c>
      <c r="C64" s="190">
        <f ca="1">-PMT(C63/12,C10,C59,0,0)</f>
        <v>17906429.801099267</v>
      </c>
      <c r="D64" s="199" t="s">
        <v>257</v>
      </c>
      <c r="H64" s="191">
        <v>57</v>
      </c>
      <c r="I64" s="198">
        <f t="shared" ca="1" si="9"/>
        <v>398241531.49005198</v>
      </c>
      <c r="J64" s="198">
        <f t="shared" ca="1" si="10"/>
        <v>14109365.293219971</v>
      </c>
      <c r="K64" s="198">
        <f t="shared" ca="1" si="11"/>
        <v>3797064.5078792963</v>
      </c>
      <c r="L64" s="193">
        <f t="shared" ca="1" si="12"/>
        <v>17906429.801099267</v>
      </c>
      <c r="O64" s="196">
        <v>61</v>
      </c>
      <c r="P64" s="197">
        <f t="shared" ca="1" si="1"/>
        <v>177193052.88582635</v>
      </c>
      <c r="Q64" s="197">
        <f t="shared" ca="1" si="2"/>
        <v>17074.665329528507</v>
      </c>
      <c r="R64" s="197">
        <f t="shared" ca="1" si="13"/>
        <v>1587221.2624482492</v>
      </c>
      <c r="S64" s="197">
        <f t="shared" ca="1" si="3"/>
        <v>1604295.9277777777</v>
      </c>
    </row>
    <row r="65" spans="1:19" x14ac:dyDescent="0.25">
      <c r="H65" s="191">
        <v>58</v>
      </c>
      <c r="I65" s="198">
        <f t="shared" ca="1" si="9"/>
        <v>384002242.45809031</v>
      </c>
      <c r="J65" s="198">
        <f t="shared" ca="1" si="10"/>
        <v>14239289.031961706</v>
      </c>
      <c r="K65" s="198">
        <f t="shared" ca="1" si="11"/>
        <v>3667140.7691375623</v>
      </c>
      <c r="L65" s="193">
        <f t="shared" ca="1" si="12"/>
        <v>17906429.801099267</v>
      </c>
      <c r="O65" s="196">
        <v>62</v>
      </c>
      <c r="P65" s="197">
        <f t="shared" ca="1" si="1"/>
        <v>177175825.28752264</v>
      </c>
      <c r="Q65" s="197">
        <f t="shared" ca="1" si="2"/>
        <v>17227.598303702893</v>
      </c>
      <c r="R65" s="197">
        <f t="shared" ca="1" si="13"/>
        <v>1587068.3294740748</v>
      </c>
      <c r="S65" s="197">
        <f t="shared" ca="1" si="3"/>
        <v>1604295.9277777777</v>
      </c>
    </row>
    <row r="66" spans="1:19" x14ac:dyDescent="0.25">
      <c r="H66" s="191">
        <v>59</v>
      </c>
      <c r="I66" s="198">
        <f t="shared" ca="1" si="9"/>
        <v>369631833.30629259</v>
      </c>
      <c r="J66" s="198">
        <f t="shared" ca="1" si="10"/>
        <v>14370409.151797686</v>
      </c>
      <c r="K66" s="198">
        <f t="shared" ca="1" si="11"/>
        <v>3536020.649301582</v>
      </c>
      <c r="L66" s="193">
        <f t="shared" ca="1" si="12"/>
        <v>17906429.801099267</v>
      </c>
      <c r="O66" s="196">
        <v>63</v>
      </c>
      <c r="P66" s="197">
        <f t="shared" ca="1" si="1"/>
        <v>177158443.38646713</v>
      </c>
      <c r="Q66" s="197">
        <f t="shared" ca="1" si="2"/>
        <v>17381.901055505965</v>
      </c>
      <c r="R66" s="197">
        <f t="shared" ca="1" si="13"/>
        <v>1586914.0267222717</v>
      </c>
      <c r="S66" s="197">
        <f t="shared" ca="1" si="3"/>
        <v>1604295.9277777777</v>
      </c>
    </row>
    <row r="67" spans="1:19" x14ac:dyDescent="0.25">
      <c r="H67" s="191">
        <v>60</v>
      </c>
      <c r="I67" s="198">
        <f t="shared" ca="1" si="9"/>
        <v>355129096.63688874</v>
      </c>
      <c r="J67" s="198">
        <f t="shared" ca="1" si="10"/>
        <v>14502736.669403821</v>
      </c>
      <c r="K67" s="198">
        <f t="shared" ca="1" si="11"/>
        <v>3403693.1316954447</v>
      </c>
      <c r="L67" s="193">
        <f t="shared" ca="1" si="12"/>
        <v>17906429.801099267</v>
      </c>
      <c r="O67" s="196">
        <v>64</v>
      </c>
      <c r="P67" s="197">
        <f t="shared" ca="1" si="1"/>
        <v>177140905.80061346</v>
      </c>
      <c r="Q67" s="197">
        <f t="shared" ca="1" si="2"/>
        <v>17537.585853651399</v>
      </c>
      <c r="R67" s="197">
        <f t="shared" ca="1" si="13"/>
        <v>1586758.3419241263</v>
      </c>
      <c r="S67" s="197">
        <f t="shared" ca="1" si="3"/>
        <v>1604295.9277777777</v>
      </c>
    </row>
    <row r="68" spans="1:19" x14ac:dyDescent="0.25">
      <c r="B68" s="187" t="s">
        <v>258</v>
      </c>
      <c r="H68" s="191">
        <v>61</v>
      </c>
      <c r="I68" s="198">
        <f t="shared" ca="1" si="9"/>
        <v>340492813.9339875</v>
      </c>
      <c r="J68" s="198">
        <f t="shared" ca="1" si="10"/>
        <v>14636282.70290125</v>
      </c>
      <c r="K68" s="198">
        <f t="shared" ca="1" si="11"/>
        <v>3270147.0981980176</v>
      </c>
      <c r="L68" s="193">
        <f t="shared" ca="1" si="12"/>
        <v>17906429.801099267</v>
      </c>
      <c r="O68" s="196">
        <v>65</v>
      </c>
      <c r="P68" s="197">
        <f t="shared" ca="1" si="1"/>
        <v>177123211.13553673</v>
      </c>
      <c r="Q68" s="197">
        <f t="shared" ca="1" si="2"/>
        <v>17694.665076738689</v>
      </c>
      <c r="R68" s="197">
        <f t="shared" ref="R68:R99" ca="1" si="14">IF(O68&lt;=$C$9,P67*$V$6/12,P67*$V$16/12)</f>
        <v>1586601.262701039</v>
      </c>
      <c r="S68" s="197">
        <f t="shared" ca="1" si="3"/>
        <v>1604295.9277777777</v>
      </c>
    </row>
    <row r="69" spans="1:19" x14ac:dyDescent="0.25">
      <c r="A69" s="186" t="s">
        <v>98</v>
      </c>
      <c r="B69" s="187" t="s">
        <v>259</v>
      </c>
      <c r="H69" s="191">
        <v>62</v>
      </c>
      <c r="I69" s="198">
        <f t="shared" ca="1" si="9"/>
        <v>325721755.46119702</v>
      </c>
      <c r="J69" s="198">
        <f t="shared" ca="1" si="10"/>
        <v>14771058.472790465</v>
      </c>
      <c r="K69" s="198">
        <f t="shared" ca="1" si="11"/>
        <v>3135371.3283088016</v>
      </c>
      <c r="L69" s="193">
        <f t="shared" ca="1" si="12"/>
        <v>17906429.801099267</v>
      </c>
      <c r="O69" s="196">
        <v>66</v>
      </c>
      <c r="P69" s="197">
        <f t="shared" ref="P69:P132" ca="1" si="15">P68-Q69</f>
        <v>177105357.98432249</v>
      </c>
      <c r="Q69" s="197">
        <f t="shared" ref="Q69:Q132" ca="1" si="16">S69-R69</f>
        <v>17853.151214240119</v>
      </c>
      <c r="R69" s="197">
        <f t="shared" ca="1" si="14"/>
        <v>1586442.7765635375</v>
      </c>
      <c r="S69" s="197">
        <f t="shared" ref="S69:S132" ca="1" si="17">IFERROR(IF(O69&lt;=$C$8,IF(O69&lt;=$C$9,$V$7,$V$17),0),0)</f>
        <v>1604295.9277777777</v>
      </c>
    </row>
    <row r="70" spans="1:19" x14ac:dyDescent="0.25">
      <c r="A70" s="186" t="s">
        <v>153</v>
      </c>
      <c r="B70" s="187" t="s">
        <v>260</v>
      </c>
      <c r="H70" s="191">
        <v>63</v>
      </c>
      <c r="I70" s="198">
        <f t="shared" ca="1" si="9"/>
        <v>310814680.15830296</v>
      </c>
      <c r="J70" s="198">
        <f t="shared" ca="1" si="10"/>
        <v>14907075.302894078</v>
      </c>
      <c r="K70" s="198">
        <f t="shared" ca="1" si="11"/>
        <v>2999354.4982051896</v>
      </c>
      <c r="L70" s="193">
        <f t="shared" ca="1" si="12"/>
        <v>17906429.801099267</v>
      </c>
      <c r="O70" s="196">
        <v>67</v>
      </c>
      <c r="P70" s="197">
        <f t="shared" ca="1" si="15"/>
        <v>177087344.92745501</v>
      </c>
      <c r="Q70" s="197">
        <f t="shared" ca="1" si="16"/>
        <v>18013.05686749192</v>
      </c>
      <c r="R70" s="197">
        <f t="shared" ca="1" si="14"/>
        <v>1586282.8709102857</v>
      </c>
      <c r="S70" s="197">
        <f t="shared" ca="1" si="17"/>
        <v>1604295.9277777777</v>
      </c>
    </row>
    <row r="71" spans="1:19" x14ac:dyDescent="0.25">
      <c r="A71" s="186" t="s">
        <v>155</v>
      </c>
      <c r="B71" s="187" t="s">
        <v>261</v>
      </c>
      <c r="H71" s="191">
        <v>64</v>
      </c>
      <c r="I71" s="198">
        <f t="shared" ca="1" si="9"/>
        <v>295770335.53699476</v>
      </c>
      <c r="J71" s="198">
        <f t="shared" ca="1" si="10"/>
        <v>15044344.621308226</v>
      </c>
      <c r="K71" s="198">
        <f t="shared" ca="1" si="11"/>
        <v>2862085.1797910398</v>
      </c>
      <c r="L71" s="193">
        <f t="shared" ca="1" si="12"/>
        <v>17906429.801099267</v>
      </c>
      <c r="O71" s="196">
        <v>68</v>
      </c>
      <c r="P71" s="197">
        <f t="shared" ca="1" si="15"/>
        <v>177069170.53270432</v>
      </c>
      <c r="Q71" s="197">
        <f t="shared" ca="1" si="16"/>
        <v>18174.394750698004</v>
      </c>
      <c r="R71" s="197">
        <f t="shared" ca="1" si="14"/>
        <v>1586121.5330270797</v>
      </c>
      <c r="S71" s="197">
        <f t="shared" ca="1" si="17"/>
        <v>1604295.9277777777</v>
      </c>
    </row>
    <row r="72" spans="1:19" x14ac:dyDescent="0.25">
      <c r="A72" s="186" t="s">
        <v>157</v>
      </c>
      <c r="B72" s="187" t="s">
        <v>262</v>
      </c>
      <c r="H72" s="191">
        <v>65</v>
      </c>
      <c r="I72" s="198">
        <f t="shared" ca="1" si="9"/>
        <v>280587457.57563198</v>
      </c>
      <c r="J72" s="198">
        <f t="shared" ca="1" si="10"/>
        <v>15182877.961362774</v>
      </c>
      <c r="K72" s="198">
        <f t="shared" ca="1" si="11"/>
        <v>2723551.8397364938</v>
      </c>
      <c r="L72" s="193">
        <f t="shared" ca="1" si="12"/>
        <v>17906429.801099267</v>
      </c>
      <c r="O72" s="196">
        <v>69</v>
      </c>
      <c r="P72" s="197">
        <f t="shared" ca="1" si="15"/>
        <v>177050833.35501239</v>
      </c>
      <c r="Q72" s="197">
        <f t="shared" ca="1" si="16"/>
        <v>18337.177691938588</v>
      </c>
      <c r="R72" s="197">
        <f t="shared" ca="1" si="14"/>
        <v>1585958.7500858391</v>
      </c>
      <c r="S72" s="197">
        <f t="shared" ca="1" si="17"/>
        <v>1604295.9277777777</v>
      </c>
    </row>
    <row r="73" spans="1:19" x14ac:dyDescent="0.25">
      <c r="H73" s="191">
        <v>66</v>
      </c>
      <c r="I73" s="198">
        <f t="shared" ca="1" si="9"/>
        <v>265264770.61304164</v>
      </c>
      <c r="J73" s="198">
        <f t="shared" ca="1" si="10"/>
        <v>15322686.962590322</v>
      </c>
      <c r="K73" s="198">
        <f t="shared" ca="1" si="11"/>
        <v>2583742.8385089445</v>
      </c>
      <c r="L73" s="193">
        <f t="shared" ca="1" si="12"/>
        <v>17906429.801099267</v>
      </c>
      <c r="O73" s="196">
        <v>70</v>
      </c>
      <c r="P73" s="197">
        <f t="shared" ca="1" si="15"/>
        <v>177032331.93637818</v>
      </c>
      <c r="Q73" s="197">
        <f t="shared" ca="1" si="16"/>
        <v>18501.418634192552</v>
      </c>
      <c r="R73" s="197">
        <f t="shared" ca="1" si="14"/>
        <v>1585794.5091435851</v>
      </c>
      <c r="S73" s="197">
        <f t="shared" ca="1" si="17"/>
        <v>1604295.9277777777</v>
      </c>
    </row>
    <row r="74" spans="1:19" x14ac:dyDescent="0.25">
      <c r="H74" s="191">
        <v>67</v>
      </c>
      <c r="I74" s="198">
        <f t="shared" ca="1" si="9"/>
        <v>249800987.24133748</v>
      </c>
      <c r="J74" s="198">
        <f t="shared" ca="1" si="10"/>
        <v>15463783.371704176</v>
      </c>
      <c r="K74" s="198">
        <f t="shared" ca="1" si="11"/>
        <v>2442646.4293950917</v>
      </c>
      <c r="L74" s="193">
        <f t="shared" ca="1" si="12"/>
        <v>17906429.801099267</v>
      </c>
      <c r="O74" s="196">
        <v>71</v>
      </c>
      <c r="P74" s="197">
        <f t="shared" ca="1" si="15"/>
        <v>177013664.80574182</v>
      </c>
      <c r="Q74" s="197">
        <f t="shared" ca="1" si="16"/>
        <v>18667.130636364454</v>
      </c>
      <c r="R74" s="197">
        <f t="shared" ca="1" si="14"/>
        <v>1585628.7971414132</v>
      </c>
      <c r="S74" s="197">
        <f t="shared" ca="1" si="17"/>
        <v>1604295.9277777777</v>
      </c>
    </row>
    <row r="75" spans="1:19" x14ac:dyDescent="0.25">
      <c r="H75" s="191">
        <v>68</v>
      </c>
      <c r="I75" s="198">
        <f t="shared" ca="1" si="9"/>
        <v>234194808.19775221</v>
      </c>
      <c r="J75" s="198">
        <f t="shared" ca="1" si="10"/>
        <v>15606179.043585284</v>
      </c>
      <c r="K75" s="198">
        <f t="shared" ca="1" si="11"/>
        <v>2300250.7575139827</v>
      </c>
      <c r="L75" s="193">
        <f t="shared" ca="1" si="12"/>
        <v>17906429.801099267</v>
      </c>
      <c r="O75" s="196">
        <v>72</v>
      </c>
      <c r="P75" s="197">
        <f t="shared" ca="1" si="15"/>
        <v>176994830.4788675</v>
      </c>
      <c r="Q75" s="197">
        <f t="shared" ca="1" si="16"/>
        <v>18834.326874324353</v>
      </c>
      <c r="R75" s="197">
        <f t="shared" ca="1" si="14"/>
        <v>1585461.6009034533</v>
      </c>
      <c r="S75" s="197">
        <f t="shared" ca="1" si="17"/>
        <v>1604295.9277777777</v>
      </c>
    </row>
    <row r="76" spans="1:19" x14ac:dyDescent="0.25">
      <c r="H76" s="191">
        <v>69</v>
      </c>
      <c r="I76" s="198">
        <f t="shared" ca="1" si="9"/>
        <v>218444922.25547391</v>
      </c>
      <c r="J76" s="198">
        <f t="shared" ca="1" si="10"/>
        <v>15749885.942278299</v>
      </c>
      <c r="K76" s="198">
        <f t="shared" ca="1" si="11"/>
        <v>2156543.8588209683</v>
      </c>
      <c r="L76" s="193">
        <f t="shared" ca="1" si="12"/>
        <v>17906429.801099267</v>
      </c>
      <c r="O76" s="196">
        <v>73</v>
      </c>
      <c r="P76" s="197">
        <f t="shared" ca="1" si="15"/>
        <v>176975827.45822555</v>
      </c>
      <c r="Q76" s="197">
        <f t="shared" ca="1" si="16"/>
        <v>19003.020641954616</v>
      </c>
      <c r="R76" s="197">
        <f t="shared" ca="1" si="14"/>
        <v>1585292.907135823</v>
      </c>
      <c r="S76" s="197">
        <f t="shared" ca="1" si="17"/>
        <v>1604295.9277777777</v>
      </c>
    </row>
    <row r="77" spans="1:19" x14ac:dyDescent="0.25">
      <c r="H77" s="191">
        <v>70</v>
      </c>
      <c r="I77" s="198">
        <f t="shared" ca="1" si="9"/>
        <v>202550006.11347714</v>
      </c>
      <c r="J77" s="198">
        <f t="shared" ca="1" si="10"/>
        <v>15894916.141996779</v>
      </c>
      <c r="K77" s="198">
        <f t="shared" ca="1" si="11"/>
        <v>2011513.659102489</v>
      </c>
      <c r="L77" s="193">
        <f t="shared" ca="1" si="12"/>
        <v>17906429.801099267</v>
      </c>
      <c r="O77" s="196">
        <v>74</v>
      </c>
      <c r="P77" s="197">
        <f t="shared" ca="1" si="15"/>
        <v>176956654.23287335</v>
      </c>
      <c r="Q77" s="197">
        <f t="shared" ca="1" si="16"/>
        <v>19173.225352207199</v>
      </c>
      <c r="R77" s="197">
        <f t="shared" ca="1" si="14"/>
        <v>1585122.7024255705</v>
      </c>
      <c r="S77" s="197">
        <f t="shared" ca="1" si="17"/>
        <v>1604295.9277777777</v>
      </c>
    </row>
    <row r="78" spans="1:19" x14ac:dyDescent="0.25">
      <c r="H78" s="191">
        <v>71</v>
      </c>
      <c r="I78" s="198">
        <f t="shared" ca="1" si="9"/>
        <v>186508724.28533947</v>
      </c>
      <c r="J78" s="198">
        <f t="shared" ca="1" si="10"/>
        <v>16041281.828137664</v>
      </c>
      <c r="K78" s="198">
        <f t="shared" ca="1" si="11"/>
        <v>1865147.972961602</v>
      </c>
      <c r="L78" s="193">
        <f t="shared" ca="1" si="12"/>
        <v>17906429.801099267</v>
      </c>
      <c r="O78" s="196">
        <v>75</v>
      </c>
      <c r="P78" s="197">
        <f t="shared" ca="1" si="15"/>
        <v>176937309.27833518</v>
      </c>
      <c r="Q78" s="197">
        <f t="shared" ca="1" si="16"/>
        <v>19344.954538169783</v>
      </c>
      <c r="R78" s="197">
        <f t="shared" ca="1" si="14"/>
        <v>1584950.9732396079</v>
      </c>
      <c r="S78" s="197">
        <f t="shared" ca="1" si="17"/>
        <v>1604295.9277777777</v>
      </c>
    </row>
    <row r="79" spans="1:19" x14ac:dyDescent="0.25">
      <c r="H79" s="191">
        <v>72</v>
      </c>
      <c r="I79" s="198">
        <f t="shared" ca="1" si="9"/>
        <v>170319728.98703438</v>
      </c>
      <c r="J79" s="198">
        <f t="shared" ca="1" si="10"/>
        <v>16188995.2983051</v>
      </c>
      <c r="K79" s="198">
        <f t="shared" ca="1" si="11"/>
        <v>1717434.5027941677</v>
      </c>
      <c r="L79" s="193">
        <f t="shared" ca="1" si="12"/>
        <v>17906429.801099267</v>
      </c>
      <c r="O79" s="196">
        <v>76</v>
      </c>
      <c r="P79" s="197">
        <f t="shared" ca="1" si="15"/>
        <v>176917791.05648103</v>
      </c>
      <c r="Q79" s="197">
        <f t="shared" ca="1" si="16"/>
        <v>19518.221854143078</v>
      </c>
      <c r="R79" s="197">
        <f t="shared" ca="1" si="14"/>
        <v>1584777.7059236346</v>
      </c>
      <c r="S79" s="197">
        <f t="shared" ca="1" si="17"/>
        <v>1604295.9277777777</v>
      </c>
    </row>
    <row r="80" spans="1:19" x14ac:dyDescent="0.25">
      <c r="H80" s="191">
        <v>73</v>
      </c>
      <c r="I80" s="198">
        <f t="shared" ca="1" si="9"/>
        <v>153981660.02369073</v>
      </c>
      <c r="J80" s="198">
        <f t="shared" ca="1" si="10"/>
        <v>16338068.963343658</v>
      </c>
      <c r="K80" s="198">
        <f t="shared" ca="1" si="11"/>
        <v>1568360.8377556084</v>
      </c>
      <c r="L80" s="193">
        <f t="shared" ca="1" si="12"/>
        <v>17906429.801099267</v>
      </c>
      <c r="O80" s="196">
        <v>77</v>
      </c>
      <c r="P80" s="197">
        <f t="shared" ca="1" si="15"/>
        <v>176898098.01540431</v>
      </c>
      <c r="Q80" s="197">
        <f t="shared" ca="1" si="16"/>
        <v>19693.04107672465</v>
      </c>
      <c r="R80" s="197">
        <f t="shared" ca="1" si="14"/>
        <v>1584602.886701053</v>
      </c>
      <c r="S80" s="197">
        <f t="shared" ca="1" si="17"/>
        <v>1604295.9277777777</v>
      </c>
    </row>
    <row r="81" spans="8:19" x14ac:dyDescent="0.25">
      <c r="H81" s="191">
        <v>74</v>
      </c>
      <c r="I81" s="198">
        <f t="shared" ca="1" si="9"/>
        <v>137493144.67530963</v>
      </c>
      <c r="J81" s="198">
        <f t="shared" ca="1" si="10"/>
        <v>16488515.348381115</v>
      </c>
      <c r="K81" s="198">
        <f t="shared" ca="1" si="11"/>
        <v>1417914.4527181522</v>
      </c>
      <c r="L81" s="193">
        <f t="shared" ca="1" si="12"/>
        <v>17906429.801099267</v>
      </c>
      <c r="O81" s="196">
        <v>78</v>
      </c>
      <c r="P81" s="197">
        <f t="shared" ca="1" si="15"/>
        <v>176878228.5892984</v>
      </c>
      <c r="Q81" s="197">
        <f t="shared" ca="1" si="16"/>
        <v>19869.426105905557</v>
      </c>
      <c r="R81" s="197">
        <f t="shared" ca="1" si="14"/>
        <v>1584426.5016718721</v>
      </c>
      <c r="S81" s="197">
        <f t="shared" ca="1" si="17"/>
        <v>1604295.9277777777</v>
      </c>
    </row>
    <row r="82" spans="8:19" x14ac:dyDescent="0.25">
      <c r="H82" s="191">
        <v>75</v>
      </c>
      <c r="I82" s="198">
        <f t="shared" ca="1" si="9"/>
        <v>120852797.58142884</v>
      </c>
      <c r="J82" s="198">
        <f t="shared" ca="1" si="10"/>
        <v>16640347.093880791</v>
      </c>
      <c r="K82" s="198">
        <f t="shared" ca="1" si="11"/>
        <v>1266082.7072184763</v>
      </c>
      <c r="L82" s="193">
        <f t="shared" ca="1" si="12"/>
        <v>17906429.801099267</v>
      </c>
      <c r="O82" s="196">
        <v>79</v>
      </c>
      <c r="P82" s="197">
        <f t="shared" ca="1" si="15"/>
        <v>176858181.19833222</v>
      </c>
      <c r="Q82" s="197">
        <f t="shared" ca="1" si="16"/>
        <v>20047.390966174658</v>
      </c>
      <c r="R82" s="197">
        <f t="shared" ca="1" si="14"/>
        <v>1584248.536811603</v>
      </c>
      <c r="S82" s="197">
        <f t="shared" ca="1" si="17"/>
        <v>1604295.9277777777</v>
      </c>
    </row>
    <row r="83" spans="8:19" x14ac:dyDescent="0.25">
      <c r="H83" s="191">
        <v>76</v>
      </c>
      <c r="I83" s="198">
        <f t="shared" ca="1" si="9"/>
        <v>104059220.62472522</v>
      </c>
      <c r="J83" s="198">
        <f t="shared" ca="1" si="10"/>
        <v>16793576.956703611</v>
      </c>
      <c r="K83" s="198">
        <f t="shared" ca="1" si="11"/>
        <v>1112852.8443956573</v>
      </c>
      <c r="L83" s="193">
        <f t="shared" ca="1" si="12"/>
        <v>17906429.801099267</v>
      </c>
      <c r="O83" s="196">
        <v>80</v>
      </c>
      <c r="P83" s="197">
        <f t="shared" ca="1" si="15"/>
        <v>176837954.24852458</v>
      </c>
      <c r="Q83" s="197">
        <f t="shared" ca="1" si="16"/>
        <v>20226.949807635043</v>
      </c>
      <c r="R83" s="197">
        <f t="shared" ca="1" si="14"/>
        <v>1584068.9779701426</v>
      </c>
      <c r="S83" s="197">
        <f t="shared" ca="1" si="17"/>
        <v>1604295.9277777777</v>
      </c>
    </row>
    <row r="84" spans="8:19" x14ac:dyDescent="0.25">
      <c r="H84" s="191">
        <v>77</v>
      </c>
      <c r="I84" s="198">
        <f t="shared" ca="1" si="9"/>
        <v>87111002.813545302</v>
      </c>
      <c r="J84" s="198">
        <f t="shared" ca="1" si="10"/>
        <v>16948217.811179921</v>
      </c>
      <c r="K84" s="198">
        <f t="shared" ca="1" si="11"/>
        <v>958211.98991934478</v>
      </c>
      <c r="L84" s="193">
        <f t="shared" ca="1" si="12"/>
        <v>17906429.801099267</v>
      </c>
      <c r="O84" s="196">
        <v>81</v>
      </c>
      <c r="P84" s="197">
        <f t="shared" ca="1" si="15"/>
        <v>176817546.13161746</v>
      </c>
      <c r="Q84" s="197">
        <f t="shared" ca="1" si="16"/>
        <v>20408.116907127667</v>
      </c>
      <c r="R84" s="197">
        <f t="shared" ca="1" si="14"/>
        <v>1583887.81087065</v>
      </c>
      <c r="S84" s="197">
        <f t="shared" ca="1" si="17"/>
        <v>1604295.9277777777</v>
      </c>
    </row>
    <row r="85" spans="8:19" x14ac:dyDescent="0.25">
      <c r="H85" s="191">
        <v>78</v>
      </c>
      <c r="I85" s="198">
        <f t="shared" ca="1" si="9"/>
        <v>70006720.163354099</v>
      </c>
      <c r="J85" s="198">
        <f t="shared" ca="1" si="10"/>
        <v>17104282.650191203</v>
      </c>
      <c r="K85" s="198">
        <f t="shared" ca="1" si="11"/>
        <v>802147.15090806305</v>
      </c>
      <c r="L85" s="193">
        <f t="shared" ca="1" si="12"/>
        <v>17906429.801099267</v>
      </c>
      <c r="O85" s="196">
        <v>82</v>
      </c>
      <c r="P85" s="197">
        <f t="shared" ca="1" si="15"/>
        <v>176796955.22494808</v>
      </c>
      <c r="Q85" s="197">
        <f t="shared" ca="1" si="16"/>
        <v>20590.906669367338</v>
      </c>
      <c r="R85" s="197">
        <f t="shared" ca="1" si="14"/>
        <v>1583705.0211084103</v>
      </c>
      <c r="S85" s="197">
        <f t="shared" ca="1" si="17"/>
        <v>1604295.9277777777</v>
      </c>
    </row>
    <row r="86" spans="8:19" x14ac:dyDescent="0.25">
      <c r="H86" s="191">
        <v>79</v>
      </c>
      <c r="I86" s="198">
        <f t="shared" ca="1" si="9"/>
        <v>52744935.577092379</v>
      </c>
      <c r="J86" s="198">
        <f t="shared" ca="1" si="10"/>
        <v>17261784.586261716</v>
      </c>
      <c r="K86" s="198">
        <f t="shared" ca="1" si="11"/>
        <v>644645.2148375524</v>
      </c>
      <c r="L86" s="193">
        <f t="shared" ca="1" si="12"/>
        <v>17906429.801099267</v>
      </c>
      <c r="O86" s="196">
        <v>83</v>
      </c>
      <c r="P86" s="197">
        <f t="shared" ca="1" si="15"/>
        <v>176776179.89131999</v>
      </c>
      <c r="Q86" s="197">
        <f t="shared" ca="1" si="16"/>
        <v>20775.33362808777</v>
      </c>
      <c r="R86" s="197">
        <f t="shared" ca="1" si="14"/>
        <v>1583520.5941496899</v>
      </c>
      <c r="S86" s="197">
        <f t="shared" ca="1" si="17"/>
        <v>1604295.9277777777</v>
      </c>
    </row>
    <row r="87" spans="8:19" x14ac:dyDescent="0.25">
      <c r="H87" s="191">
        <v>80</v>
      </c>
      <c r="I87" s="198">
        <f t="shared" ca="1" si="9"/>
        <v>35324198.72443217</v>
      </c>
      <c r="J87" s="198">
        <f t="shared" ca="1" si="10"/>
        <v>17420736.852660209</v>
      </c>
      <c r="K87" s="198">
        <f t="shared" ca="1" si="11"/>
        <v>485692.94843905902</v>
      </c>
      <c r="L87" s="193">
        <f t="shared" ca="1" si="12"/>
        <v>17906429.801099267</v>
      </c>
      <c r="O87" s="196">
        <v>84</v>
      </c>
      <c r="P87" s="197">
        <f t="shared" ca="1" si="15"/>
        <v>176755218.47887281</v>
      </c>
      <c r="Q87" s="197">
        <f t="shared" ca="1" si="16"/>
        <v>20961.412447197363</v>
      </c>
      <c r="R87" s="197">
        <f t="shared" ca="1" si="14"/>
        <v>1583334.5153305803</v>
      </c>
      <c r="S87" s="197">
        <f t="shared" ca="1" si="17"/>
        <v>1604295.9277777777</v>
      </c>
    </row>
    <row r="88" spans="8:19" x14ac:dyDescent="0.25">
      <c r="H88" s="191">
        <v>81</v>
      </c>
      <c r="I88" s="198">
        <f t="shared" ca="1" si="9"/>
        <v>17743045.919920385</v>
      </c>
      <c r="J88" s="198">
        <f t="shared" ca="1" si="10"/>
        <v>17581152.804511786</v>
      </c>
      <c r="K88" s="198">
        <f t="shared" ca="1" si="11"/>
        <v>325276.9965874796</v>
      </c>
      <c r="L88" s="193">
        <f t="shared" ca="1" si="12"/>
        <v>17906429.801099267</v>
      </c>
      <c r="O88" s="196">
        <v>85</v>
      </c>
      <c r="P88" s="197">
        <f t="shared" ca="1" si="15"/>
        <v>176734069.32095087</v>
      </c>
      <c r="Q88" s="197">
        <f t="shared" ca="1" si="16"/>
        <v>21149.157921944745</v>
      </c>
      <c r="R88" s="197">
        <f t="shared" ca="1" si="14"/>
        <v>1583146.7698558329</v>
      </c>
      <c r="S88" s="197">
        <f t="shared" ca="1" si="17"/>
        <v>1604295.9277777777</v>
      </c>
    </row>
    <row r="89" spans="8:19" x14ac:dyDescent="0.25">
      <c r="H89" s="191">
        <v>82</v>
      </c>
      <c r="I89" s="198">
        <f t="shared" ca="1" si="9"/>
        <v>3.8370490074157715E-7</v>
      </c>
      <c r="J89" s="198">
        <f t="shared" ca="1" si="10"/>
        <v>17743045.919920001</v>
      </c>
      <c r="K89" s="198">
        <f t="shared" ca="1" si="11"/>
        <v>163383.8811792669</v>
      </c>
      <c r="L89" s="193">
        <f t="shared" ca="1" si="12"/>
        <v>17906429.801099267</v>
      </c>
      <c r="O89" s="196">
        <v>86</v>
      </c>
      <c r="P89" s="197">
        <f t="shared" ca="1" si="15"/>
        <v>176712730.73597077</v>
      </c>
      <c r="Q89" s="197">
        <f t="shared" ca="1" si="16"/>
        <v>21338.584980095737</v>
      </c>
      <c r="R89" s="197">
        <f t="shared" ca="1" si="14"/>
        <v>1582957.3427976819</v>
      </c>
      <c r="S89" s="197">
        <f t="shared" ca="1" si="17"/>
        <v>1604295.9277777777</v>
      </c>
    </row>
    <row r="90" spans="8:19" x14ac:dyDescent="0.25">
      <c r="H90" s="191">
        <v>83</v>
      </c>
      <c r="I90" s="198">
        <f t="shared" ca="1" si="9"/>
        <v>-17906429.801098879</v>
      </c>
      <c r="J90" s="198">
        <f t="shared" ca="1" si="10"/>
        <v>17906429.801099263</v>
      </c>
      <c r="K90" s="198">
        <f t="shared" ca="1" si="11"/>
        <v>3.5332826276620232E-9</v>
      </c>
      <c r="L90" s="193">
        <f t="shared" ca="1" si="12"/>
        <v>17906429.801099267</v>
      </c>
      <c r="O90" s="196">
        <v>87</v>
      </c>
      <c r="P90" s="197">
        <f t="shared" ca="1" si="15"/>
        <v>176691201.02728763</v>
      </c>
      <c r="Q90" s="197">
        <f t="shared" ca="1" si="16"/>
        <v>21529.708683119621</v>
      </c>
      <c r="R90" s="197">
        <f t="shared" ca="1" si="14"/>
        <v>1582766.219094658</v>
      </c>
      <c r="S90" s="197">
        <f t="shared" ca="1" si="17"/>
        <v>1604295.9277777777</v>
      </c>
    </row>
    <row r="91" spans="8:19" x14ac:dyDescent="0.25">
      <c r="H91" s="191">
        <v>84</v>
      </c>
      <c r="I91" s="198">
        <f t="shared" ca="1" si="9"/>
        <v>-35977747.976616599</v>
      </c>
      <c r="J91" s="198">
        <f t="shared" ca="1" si="10"/>
        <v>18071318.175517719</v>
      </c>
      <c r="K91" s="198">
        <f t="shared" ca="1" si="11"/>
        <v>-164888.37441845221</v>
      </c>
      <c r="L91" s="193">
        <f t="shared" ca="1" si="12"/>
        <v>17906429.801099267</v>
      </c>
      <c r="O91" s="196">
        <v>88</v>
      </c>
      <c r="P91" s="197">
        <f t="shared" ca="1" si="15"/>
        <v>176669478.48306024</v>
      </c>
      <c r="Q91" s="197">
        <f t="shared" ca="1" si="16"/>
        <v>21722.544227387989</v>
      </c>
      <c r="R91" s="197">
        <f t="shared" ca="1" si="14"/>
        <v>1582573.3835503897</v>
      </c>
      <c r="S91" s="197">
        <f t="shared" ca="1" si="17"/>
        <v>1604295.9277777777</v>
      </c>
    </row>
    <row r="92" spans="8:19" x14ac:dyDescent="0.25">
      <c r="H92" s="191">
        <v>85</v>
      </c>
      <c r="I92" s="198">
        <f t="shared" ca="1" si="9"/>
        <v>-54215472.87366721</v>
      </c>
      <c r="J92" s="198">
        <f t="shared" ca="1" si="10"/>
        <v>18237724.897050612</v>
      </c>
      <c r="K92" s="198">
        <f t="shared" ca="1" si="11"/>
        <v>-331295.09595134453</v>
      </c>
      <c r="L92" s="193">
        <f t="shared" ca="1" si="12"/>
        <v>17906429.801099267</v>
      </c>
      <c r="O92" s="196">
        <v>89</v>
      </c>
      <c r="P92" s="197">
        <f t="shared" ca="1" si="15"/>
        <v>176647561.37611485</v>
      </c>
      <c r="Q92" s="197">
        <f t="shared" ca="1" si="16"/>
        <v>21917.106945380801</v>
      </c>
      <c r="R92" s="197">
        <f t="shared" ca="1" si="14"/>
        <v>1582378.8208323969</v>
      </c>
      <c r="S92" s="197">
        <f t="shared" ca="1" si="17"/>
        <v>1604295.9277777777</v>
      </c>
    </row>
    <row r="93" spans="8:19" x14ac:dyDescent="0.25">
      <c r="H93" s="191">
        <v>86</v>
      </c>
      <c r="I93" s="198">
        <f t="shared" ca="1" si="9"/>
        <v>-72621136.820811495</v>
      </c>
      <c r="J93" s="198">
        <f t="shared" ca="1" si="10"/>
        <v>18405663.947144285</v>
      </c>
      <c r="K93" s="198">
        <f t="shared" ca="1" si="11"/>
        <v>-499234.14604501892</v>
      </c>
      <c r="L93" s="193">
        <f t="shared" ca="1" si="12"/>
        <v>17906429.801099267</v>
      </c>
      <c r="O93" s="196">
        <v>90</v>
      </c>
      <c r="P93" s="197">
        <f t="shared" ca="1" si="15"/>
        <v>176625447.96380794</v>
      </c>
      <c r="Q93" s="197">
        <f t="shared" ca="1" si="16"/>
        <v>22113.412306907121</v>
      </c>
      <c r="R93" s="197">
        <f t="shared" ca="1" si="14"/>
        <v>1582182.5154708705</v>
      </c>
      <c r="S93" s="197">
        <f t="shared" ca="1" si="17"/>
        <v>1604295.9277777777</v>
      </c>
    </row>
    <row r="94" spans="8:19" x14ac:dyDescent="0.25">
      <c r="H94" s="191">
        <v>87</v>
      </c>
      <c r="I94" s="198">
        <f t="shared" ca="1" si="9"/>
        <v>-91196286.25680241</v>
      </c>
      <c r="J94" s="198">
        <f t="shared" ca="1" si="10"/>
        <v>18575149.435990907</v>
      </c>
      <c r="K94" s="198">
        <f t="shared" ca="1" si="11"/>
        <v>-668719.63489163923</v>
      </c>
      <c r="L94" s="193">
        <f t="shared" ca="1" si="12"/>
        <v>17906429.801099267</v>
      </c>
      <c r="O94" s="196">
        <v>91</v>
      </c>
      <c r="P94" s="197">
        <f t="shared" ca="1" si="15"/>
        <v>176603136.48788759</v>
      </c>
      <c r="Q94" s="197">
        <f t="shared" ca="1" si="16"/>
        <v>22311.47592033539</v>
      </c>
      <c r="R94" s="197">
        <f t="shared" ca="1" si="14"/>
        <v>1581984.4518574423</v>
      </c>
      <c r="S94" s="197">
        <f t="shared" ca="1" si="17"/>
        <v>1604295.9277777777</v>
      </c>
    </row>
    <row r="95" spans="8:19" x14ac:dyDescent="0.25">
      <c r="H95" s="191">
        <v>88</v>
      </c>
      <c r="I95" s="198">
        <f t="shared" ca="1" si="9"/>
        <v>-109942481.8605164</v>
      </c>
      <c r="J95" s="198">
        <f t="shared" ca="1" si="10"/>
        <v>18746195.603713989</v>
      </c>
      <c r="K95" s="198">
        <f t="shared" ca="1" si="11"/>
        <v>-839765.80261472228</v>
      </c>
      <c r="L95" s="193">
        <f t="shared" ca="1" si="12"/>
        <v>17906429.801099267</v>
      </c>
      <c r="O95" s="196">
        <v>92</v>
      </c>
      <c r="P95" s="197">
        <f t="shared" ca="1" si="15"/>
        <v>176580625.17435375</v>
      </c>
      <c r="Q95" s="197">
        <f t="shared" ca="1" si="16"/>
        <v>22511.313533832552</v>
      </c>
      <c r="R95" s="197">
        <f t="shared" ca="1" si="14"/>
        <v>1581784.6142439451</v>
      </c>
      <c r="S95" s="197">
        <f t="shared" ca="1" si="17"/>
        <v>1604295.9277777777</v>
      </c>
    </row>
    <row r="96" spans="8:19" x14ac:dyDescent="0.25">
      <c r="H96" s="191">
        <v>89</v>
      </c>
      <c r="I96" s="198">
        <f t="shared" ref="I96:I159" ca="1" si="18">I95-J96</f>
        <v>-128861298.68208125</v>
      </c>
      <c r="J96" s="198">
        <f t="shared" ref="J96:J159" ca="1" si="19">L96-K96</f>
        <v>18918816.821564857</v>
      </c>
      <c r="K96" s="198">
        <f t="shared" ref="K96:K159" ca="1" si="20">$C$63/12*I95</f>
        <v>-1012387.0204655885</v>
      </c>
      <c r="L96" s="193">
        <f t="shared" ref="L96:L159" ca="1" si="21">L95</f>
        <v>17906429.801099267</v>
      </c>
      <c r="O96" s="196">
        <v>93</v>
      </c>
      <c r="P96" s="197">
        <f t="shared" ca="1" si="15"/>
        <v>176557912.23331714</v>
      </c>
      <c r="Q96" s="197">
        <f t="shared" ca="1" si="16"/>
        <v>22712.94103661878</v>
      </c>
      <c r="R96" s="197">
        <f t="shared" ca="1" si="14"/>
        <v>1581582.9867411589</v>
      </c>
      <c r="S96" s="197">
        <f t="shared" ca="1" si="17"/>
        <v>1604295.9277777777</v>
      </c>
    </row>
    <row r="97" spans="8:19" x14ac:dyDescent="0.25">
      <c r="H97" s="191">
        <v>90</v>
      </c>
      <c r="I97" s="198">
        <f t="shared" ca="1" si="18"/>
        <v>-147954326.27521133</v>
      </c>
      <c r="J97" s="198">
        <f t="shared" ca="1" si="19"/>
        <v>19093027.593130097</v>
      </c>
      <c r="K97" s="198">
        <f t="shared" ca="1" si="20"/>
        <v>-1186597.7920308316</v>
      </c>
      <c r="L97" s="193">
        <f t="shared" ca="1" si="21"/>
        <v>17906429.801099267</v>
      </c>
      <c r="O97" s="196">
        <v>94</v>
      </c>
      <c r="P97" s="197">
        <f t="shared" ca="1" si="15"/>
        <v>176534995.85885692</v>
      </c>
      <c r="Q97" s="197">
        <f t="shared" ca="1" si="16"/>
        <v>22916.374460228253</v>
      </c>
      <c r="R97" s="197">
        <f t="shared" ca="1" si="14"/>
        <v>1581379.5533175494</v>
      </c>
      <c r="S97" s="197">
        <f t="shared" ca="1" si="17"/>
        <v>1604295.9277777777</v>
      </c>
    </row>
    <row r="98" spans="8:19" x14ac:dyDescent="0.25">
      <c r="H98" s="191">
        <v>91</v>
      </c>
      <c r="I98" s="198">
        <f t="shared" ca="1" si="18"/>
        <v>-167223168.83076149</v>
      </c>
      <c r="J98" s="198">
        <f t="shared" ca="1" si="19"/>
        <v>19268842.555550173</v>
      </c>
      <c r="K98" s="198">
        <f t="shared" ca="1" si="20"/>
        <v>-1362412.7544509044</v>
      </c>
      <c r="L98" s="193">
        <f t="shared" ca="1" si="21"/>
        <v>17906429.801099267</v>
      </c>
      <c r="O98" s="196">
        <v>95</v>
      </c>
      <c r="P98" s="197">
        <f t="shared" ca="1" si="15"/>
        <v>176511874.22887713</v>
      </c>
      <c r="Q98" s="197">
        <f t="shared" ca="1" si="16"/>
        <v>23121.629979786696</v>
      </c>
      <c r="R98" s="197">
        <f t="shared" ca="1" si="14"/>
        <v>1581174.297797991</v>
      </c>
      <c r="S98" s="197">
        <f t="shared" ca="1" si="17"/>
        <v>1604295.9277777777</v>
      </c>
    </row>
    <row r="99" spans="8:19" x14ac:dyDescent="0.25">
      <c r="H99" s="191">
        <v>92</v>
      </c>
      <c r="I99" s="198">
        <f t="shared" ca="1" si="18"/>
        <v>-186669445.31151068</v>
      </c>
      <c r="J99" s="198">
        <f t="shared" ca="1" si="19"/>
        <v>19446276.480749197</v>
      </c>
      <c r="K99" s="198">
        <f t="shared" ca="1" si="20"/>
        <v>-1539846.6796499288</v>
      </c>
      <c r="L99" s="193">
        <f t="shared" ca="1" si="21"/>
        <v>17906429.801099267</v>
      </c>
      <c r="O99" s="196">
        <v>96</v>
      </c>
      <c r="P99" s="197">
        <f t="shared" ca="1" si="15"/>
        <v>176488545.50496182</v>
      </c>
      <c r="Q99" s="197">
        <f t="shared" ca="1" si="16"/>
        <v>23328.723915294278</v>
      </c>
      <c r="R99" s="197">
        <f t="shared" ca="1" si="14"/>
        <v>1580967.2038624834</v>
      </c>
      <c r="S99" s="197">
        <f t="shared" ca="1" si="17"/>
        <v>1604295.9277777777</v>
      </c>
    </row>
    <row r="100" spans="8:19" x14ac:dyDescent="0.25">
      <c r="H100" s="191">
        <v>93</v>
      </c>
      <c r="I100" s="198">
        <f t="shared" ca="1" si="18"/>
        <v>-206294789.58818677</v>
      </c>
      <c r="J100" s="198">
        <f t="shared" ca="1" si="19"/>
        <v>19625344.276676096</v>
      </c>
      <c r="K100" s="198">
        <f t="shared" ca="1" si="20"/>
        <v>-1718914.4755768278</v>
      </c>
      <c r="L100" s="193">
        <f t="shared" ca="1" si="21"/>
        <v>17906429.801099267</v>
      </c>
      <c r="O100" s="196">
        <v>97</v>
      </c>
      <c r="P100" s="197">
        <f t="shared" ca="1" si="15"/>
        <v>176465007.8322289</v>
      </c>
      <c r="Q100" s="197">
        <f t="shared" ca="1" si="16"/>
        <v>23537.672732925974</v>
      </c>
      <c r="R100" s="197">
        <f t="shared" ref="R100:R131" ca="1" si="22">IF(O100&lt;=$C$9,P99*$V$6/12,P99*$V$16/12)</f>
        <v>1580758.2550448517</v>
      </c>
      <c r="S100" s="197">
        <f t="shared" ca="1" si="17"/>
        <v>1604295.9277777777</v>
      </c>
    </row>
    <row r="101" spans="8:19" x14ac:dyDescent="0.25">
      <c r="H101" s="191">
        <v>94</v>
      </c>
      <c r="I101" s="198">
        <f t="shared" ca="1" si="18"/>
        <v>-226100850.57674393</v>
      </c>
      <c r="J101" s="198">
        <f t="shared" ca="1" si="19"/>
        <v>19806060.988557152</v>
      </c>
      <c r="K101" s="198">
        <f t="shared" ca="1" si="20"/>
        <v>-1899631.1874578868</v>
      </c>
      <c r="L101" s="193">
        <f t="shared" ca="1" si="21"/>
        <v>17906429.801099267</v>
      </c>
      <c r="O101" s="196">
        <v>98</v>
      </c>
      <c r="P101" s="197">
        <f t="shared" ca="1" si="15"/>
        <v>176441259.33918256</v>
      </c>
      <c r="Q101" s="197">
        <f t="shared" ca="1" si="16"/>
        <v>23748.49304633867</v>
      </c>
      <c r="R101" s="197">
        <f t="shared" ca="1" si="22"/>
        <v>1580547.434731439</v>
      </c>
      <c r="S101" s="197">
        <f t="shared" ca="1" si="17"/>
        <v>1604295.9277777777</v>
      </c>
    </row>
    <row r="102" spans="8:19" x14ac:dyDescent="0.25">
      <c r="H102" s="191">
        <v>95</v>
      </c>
      <c r="I102" s="198">
        <f t="shared" ca="1" si="18"/>
        <v>-246089292.37690404</v>
      </c>
      <c r="J102" s="198">
        <f t="shared" ca="1" si="19"/>
        <v>19988441.800160117</v>
      </c>
      <c r="K102" s="198">
        <f t="shared" ca="1" si="20"/>
        <v>-2082011.9990608506</v>
      </c>
      <c r="L102" s="193">
        <f t="shared" ca="1" si="21"/>
        <v>17906429.801099267</v>
      </c>
      <c r="O102" s="196">
        <v>99</v>
      </c>
      <c r="P102" s="197">
        <f t="shared" ca="1" si="15"/>
        <v>176417298.13756457</v>
      </c>
      <c r="Q102" s="197">
        <f t="shared" ca="1" si="16"/>
        <v>23961.20161799388</v>
      </c>
      <c r="R102" s="197">
        <f t="shared" ca="1" si="22"/>
        <v>1580334.7261597838</v>
      </c>
      <c r="S102" s="197">
        <f t="shared" ca="1" si="17"/>
        <v>1604295.9277777777</v>
      </c>
    </row>
    <row r="103" spans="8:19" x14ac:dyDescent="0.25">
      <c r="H103" s="191">
        <v>96</v>
      </c>
      <c r="I103" s="198">
        <f t="shared" ca="1" si="18"/>
        <v>-266261794.41197395</v>
      </c>
      <c r="J103" s="198">
        <f t="shared" ca="1" si="19"/>
        <v>20172502.035069924</v>
      </c>
      <c r="K103" s="198">
        <f t="shared" ca="1" si="20"/>
        <v>-2266072.2339706584</v>
      </c>
      <c r="L103" s="193">
        <f t="shared" ca="1" si="21"/>
        <v>17906429.801099267</v>
      </c>
      <c r="O103" s="196">
        <v>100</v>
      </c>
      <c r="P103" s="197">
        <f t="shared" ca="1" si="15"/>
        <v>176393122.32220408</v>
      </c>
      <c r="Q103" s="197">
        <f t="shared" ca="1" si="16"/>
        <v>24175.815360489534</v>
      </c>
      <c r="R103" s="197">
        <f t="shared" ca="1" si="22"/>
        <v>1580120.1124172881</v>
      </c>
      <c r="S103" s="197">
        <f t="shared" ca="1" si="17"/>
        <v>1604295.9277777777</v>
      </c>
    </row>
    <row r="104" spans="8:19" x14ac:dyDescent="0.25">
      <c r="H104" s="191">
        <v>97</v>
      </c>
      <c r="I104" s="198">
        <f t="shared" ca="1" si="18"/>
        <v>-286620051.56995016</v>
      </c>
      <c r="J104" s="198">
        <f t="shared" ca="1" si="19"/>
        <v>20358257.157976195</v>
      </c>
      <c r="K104" s="198">
        <f t="shared" ca="1" si="20"/>
        <v>-2451827.356876927</v>
      </c>
      <c r="L104" s="193">
        <f t="shared" ca="1" si="21"/>
        <v>17906429.801099267</v>
      </c>
      <c r="O104" s="196">
        <v>101</v>
      </c>
      <c r="P104" s="197">
        <f t="shared" ca="1" si="15"/>
        <v>176368729.97086617</v>
      </c>
      <c r="Q104" s="197">
        <f t="shared" ca="1" si="16"/>
        <v>24392.351337905042</v>
      </c>
      <c r="R104" s="197">
        <f t="shared" ca="1" si="22"/>
        <v>1579903.5764398726</v>
      </c>
      <c r="S104" s="197">
        <f t="shared" ca="1" si="17"/>
        <v>1604295.9277777777</v>
      </c>
    </row>
    <row r="105" spans="8:19" x14ac:dyDescent="0.25">
      <c r="H105" s="191">
        <v>98</v>
      </c>
      <c r="I105" s="198">
        <f t="shared" ca="1" si="18"/>
        <v>-307165774.34592271</v>
      </c>
      <c r="J105" s="198">
        <f t="shared" ca="1" si="19"/>
        <v>20545722.77597256</v>
      </c>
      <c r="K105" s="198">
        <f t="shared" ca="1" si="20"/>
        <v>-2639292.9748732913</v>
      </c>
      <c r="L105" s="193">
        <f t="shared" ca="1" si="21"/>
        <v>17906429.801099267</v>
      </c>
      <c r="O105" s="196">
        <v>102</v>
      </c>
      <c r="P105" s="197">
        <f t="shared" ca="1" si="15"/>
        <v>176344119.14409903</v>
      </c>
      <c r="Q105" s="197">
        <f t="shared" ca="1" si="16"/>
        <v>24610.826767157298</v>
      </c>
      <c r="R105" s="197">
        <f t="shared" ca="1" si="22"/>
        <v>1579685.1010106204</v>
      </c>
      <c r="S105" s="197">
        <f t="shared" ca="1" si="17"/>
        <v>1604295.9277777777</v>
      </c>
    </row>
    <row r="106" spans="8:19" x14ac:dyDescent="0.25">
      <c r="H106" s="191">
        <v>99</v>
      </c>
      <c r="I106" s="198">
        <f t="shared" ca="1" si="18"/>
        <v>-327900688.98579067</v>
      </c>
      <c r="J106" s="198">
        <f t="shared" ca="1" si="19"/>
        <v>20734914.639867973</v>
      </c>
      <c r="K106" s="198">
        <f t="shared" ca="1" si="20"/>
        <v>-2828484.8387687053</v>
      </c>
      <c r="L106" s="193">
        <f t="shared" ca="1" si="21"/>
        <v>17906429.801099267</v>
      </c>
      <c r="O106" s="196">
        <v>103</v>
      </c>
      <c r="P106" s="197">
        <f t="shared" ca="1" si="15"/>
        <v>176319287.88507965</v>
      </c>
      <c r="Q106" s="197">
        <f t="shared" ca="1" si="16"/>
        <v>24831.259019371355</v>
      </c>
      <c r="R106" s="197">
        <f t="shared" ca="1" si="22"/>
        <v>1579464.6687584063</v>
      </c>
      <c r="S106" s="197">
        <f t="shared" ca="1" si="17"/>
        <v>1604295.9277777777</v>
      </c>
    </row>
    <row r="107" spans="8:19" x14ac:dyDescent="0.25">
      <c r="H107" s="191">
        <v>100</v>
      </c>
      <c r="I107" s="198">
        <f t="shared" ca="1" si="18"/>
        <v>-348826537.63130075</v>
      </c>
      <c r="J107" s="198">
        <f t="shared" ca="1" si="19"/>
        <v>20925848.645510089</v>
      </c>
      <c r="K107" s="198">
        <f t="shared" ca="1" si="20"/>
        <v>-3019418.8444108227</v>
      </c>
      <c r="L107" s="193">
        <f t="shared" ca="1" si="21"/>
        <v>17906429.801099267</v>
      </c>
      <c r="O107" s="196">
        <v>104</v>
      </c>
      <c r="P107" s="197">
        <f t="shared" ca="1" si="15"/>
        <v>176294234.2194584</v>
      </c>
      <c r="Q107" s="197">
        <f t="shared" ca="1" si="16"/>
        <v>25053.665621260181</v>
      </c>
      <c r="R107" s="197">
        <f t="shared" ca="1" si="22"/>
        <v>1579242.2621565175</v>
      </c>
      <c r="S107" s="197">
        <f t="shared" ca="1" si="17"/>
        <v>1604295.9277777777</v>
      </c>
    </row>
    <row r="108" spans="8:19" x14ac:dyDescent="0.25">
      <c r="H108" s="191">
        <v>101</v>
      </c>
      <c r="I108" s="198">
        <f t="shared" ca="1" si="18"/>
        <v>-369945078.4664216</v>
      </c>
      <c r="J108" s="198">
        <f t="shared" ca="1" si="19"/>
        <v>21118540.835120827</v>
      </c>
      <c r="K108" s="198">
        <f t="shared" ca="1" si="20"/>
        <v>-3212111.0340215615</v>
      </c>
      <c r="L108" s="193">
        <f t="shared" ca="1" si="21"/>
        <v>17906429.801099267</v>
      </c>
      <c r="O108" s="196">
        <v>105</v>
      </c>
      <c r="P108" s="197">
        <f t="shared" ca="1" si="15"/>
        <v>176268956.15520188</v>
      </c>
      <c r="Q108" s="197">
        <f t="shared" ca="1" si="16"/>
        <v>25278.064256517682</v>
      </c>
      <c r="R108" s="197">
        <f t="shared" ca="1" si="22"/>
        <v>1579017.86352126</v>
      </c>
      <c r="S108" s="197">
        <f t="shared" ca="1" si="17"/>
        <v>1604295.9277777777</v>
      </c>
    </row>
    <row r="109" spans="8:19" x14ac:dyDescent="0.25">
      <c r="H109" s="191">
        <v>102</v>
      </c>
      <c r="I109" s="198">
        <f t="shared" ca="1" si="18"/>
        <v>-391258085.86506581</v>
      </c>
      <c r="J109" s="198">
        <f t="shared" ca="1" si="19"/>
        <v>21313007.398644231</v>
      </c>
      <c r="K109" s="198">
        <f t="shared" ca="1" si="20"/>
        <v>-3406577.5975449658</v>
      </c>
      <c r="L109" s="193">
        <f t="shared" ca="1" si="21"/>
        <v>17906429.801099267</v>
      </c>
      <c r="O109" s="196">
        <v>106</v>
      </c>
      <c r="P109" s="197">
        <f t="shared" ca="1" si="15"/>
        <v>176243451.68243465</v>
      </c>
      <c r="Q109" s="197">
        <f t="shared" ca="1" si="16"/>
        <v>25504.472767227329</v>
      </c>
      <c r="R109" s="197">
        <f t="shared" ca="1" si="22"/>
        <v>1578791.4550105503</v>
      </c>
      <c r="S109" s="197">
        <f t="shared" ca="1" si="17"/>
        <v>1604295.9277777777</v>
      </c>
    </row>
    <row r="110" spans="8:19" x14ac:dyDescent="0.25">
      <c r="H110" s="191">
        <v>103</v>
      </c>
      <c r="I110" s="198">
        <f t="shared" ca="1" si="18"/>
        <v>-412767350.54017258</v>
      </c>
      <c r="J110" s="198">
        <f t="shared" ca="1" si="19"/>
        <v>21509264.675106749</v>
      </c>
      <c r="K110" s="198">
        <f t="shared" ca="1" si="20"/>
        <v>-3602834.8740074812</v>
      </c>
      <c r="L110" s="193">
        <f t="shared" ca="1" si="21"/>
        <v>17906429.801099267</v>
      </c>
      <c r="O110" s="196">
        <v>107</v>
      </c>
      <c r="P110" s="197">
        <f t="shared" ca="1" si="15"/>
        <v>176217718.77327937</v>
      </c>
      <c r="Q110" s="197">
        <f t="shared" ca="1" si="16"/>
        <v>25732.909155277535</v>
      </c>
      <c r="R110" s="197">
        <f t="shared" ca="1" si="22"/>
        <v>1578563.0186225001</v>
      </c>
      <c r="S110" s="197">
        <f t="shared" ca="1" si="17"/>
        <v>1604295.9277777777</v>
      </c>
    </row>
    <row r="111" spans="8:19" x14ac:dyDescent="0.25">
      <c r="H111" s="191">
        <v>104</v>
      </c>
      <c r="I111" s="198">
        <f t="shared" ca="1" si="18"/>
        <v>-434474679.69416261</v>
      </c>
      <c r="J111" s="198">
        <f t="shared" ca="1" si="19"/>
        <v>21707329.153990023</v>
      </c>
      <c r="K111" s="198">
        <f t="shared" ca="1" si="20"/>
        <v>-3800899.352890756</v>
      </c>
      <c r="L111" s="193">
        <f t="shared" ca="1" si="21"/>
        <v>17906429.801099267</v>
      </c>
      <c r="O111" s="196">
        <v>108</v>
      </c>
      <c r="P111" s="197">
        <f t="shared" ca="1" si="15"/>
        <v>176191755.38169557</v>
      </c>
      <c r="Q111" s="197">
        <f t="shared" ca="1" si="16"/>
        <v>25963.391583794961</v>
      </c>
      <c r="R111" s="197">
        <f t="shared" ca="1" si="22"/>
        <v>1578332.5361939827</v>
      </c>
      <c r="S111" s="197">
        <f t="shared" ca="1" si="17"/>
        <v>1604295.9277777777</v>
      </c>
    </row>
    <row r="112" spans="8:19" x14ac:dyDescent="0.25">
      <c r="H112" s="191">
        <v>105</v>
      </c>
      <c r="I112" s="198">
        <f t="shared" ca="1" si="18"/>
        <v>-456381897.17077893</v>
      </c>
      <c r="J112" s="198">
        <f t="shared" ca="1" si="19"/>
        <v>21907217.476616349</v>
      </c>
      <c r="K112" s="198">
        <f t="shared" ca="1" si="20"/>
        <v>-4000787.6755170808</v>
      </c>
      <c r="L112" s="193">
        <f t="shared" ca="1" si="21"/>
        <v>17906429.801099267</v>
      </c>
      <c r="O112" s="196">
        <v>109</v>
      </c>
      <c r="P112" s="197">
        <f t="shared" ca="1" si="15"/>
        <v>176165559.44331697</v>
      </c>
      <c r="Q112" s="197">
        <f t="shared" ca="1" si="16"/>
        <v>26195.938378589228</v>
      </c>
      <c r="R112" s="197">
        <f t="shared" ca="1" si="22"/>
        <v>1578099.9893991884</v>
      </c>
      <c r="S112" s="197">
        <f t="shared" ca="1" si="17"/>
        <v>1604295.9277777777</v>
      </c>
    </row>
    <row r="113" spans="8:19" x14ac:dyDescent="0.25">
      <c r="H113" s="191">
        <v>106</v>
      </c>
      <c r="I113" s="198">
        <f t="shared" ca="1" si="18"/>
        <v>-478490843.60832578</v>
      </c>
      <c r="J113" s="198">
        <f t="shared" ca="1" si="19"/>
        <v>22108946.437546857</v>
      </c>
      <c r="K113" s="198">
        <f t="shared" ca="1" si="20"/>
        <v>-4202516.6364475898</v>
      </c>
      <c r="L113" s="193">
        <f t="shared" ca="1" si="21"/>
        <v>17906429.801099267</v>
      </c>
      <c r="O113" s="196">
        <v>110</v>
      </c>
      <c r="P113" s="197">
        <f t="shared" ca="1" si="15"/>
        <v>176139128.87528735</v>
      </c>
      <c r="Q113" s="197">
        <f t="shared" ca="1" si="16"/>
        <v>26430.568029607879</v>
      </c>
      <c r="R113" s="197">
        <f t="shared" ca="1" si="22"/>
        <v>1577865.3597481698</v>
      </c>
      <c r="S113" s="197">
        <f t="shared" ca="1" si="17"/>
        <v>1604295.9277777777</v>
      </c>
    </row>
    <row r="114" spans="8:19" x14ac:dyDescent="0.25">
      <c r="H114" s="191">
        <v>107</v>
      </c>
      <c r="I114" s="198">
        <f t="shared" ca="1" si="18"/>
        <v>-500803376.59431839</v>
      </c>
      <c r="J114" s="198">
        <f t="shared" ca="1" si="19"/>
        <v>22312532.985992599</v>
      </c>
      <c r="K114" s="198">
        <f t="shared" ca="1" si="20"/>
        <v>-4406103.1848933334</v>
      </c>
      <c r="L114" s="193">
        <f t="shared" ca="1" si="21"/>
        <v>17906429.801099267</v>
      </c>
      <c r="O114" s="196">
        <v>111</v>
      </c>
      <c r="P114" s="197">
        <f t="shared" ca="1" si="15"/>
        <v>176112461.57609496</v>
      </c>
      <c r="Q114" s="197">
        <f t="shared" ca="1" si="16"/>
        <v>26667.2991924081</v>
      </c>
      <c r="R114" s="197">
        <f t="shared" ca="1" si="22"/>
        <v>1577628.6285853696</v>
      </c>
      <c r="S114" s="197">
        <f t="shared" ca="1" si="17"/>
        <v>1604295.9277777777</v>
      </c>
    </row>
    <row r="115" spans="8:19" x14ac:dyDescent="0.25">
      <c r="H115" s="191">
        <v>108</v>
      </c>
      <c r="I115" s="198">
        <f t="shared" ca="1" si="18"/>
        <v>-523321370.82155699</v>
      </c>
      <c r="J115" s="198">
        <f t="shared" ca="1" si="19"/>
        <v>22517994.227238618</v>
      </c>
      <c r="K115" s="198">
        <f t="shared" ca="1" si="20"/>
        <v>-4611564.4261393491</v>
      </c>
      <c r="L115" s="193">
        <f t="shared" ca="1" si="21"/>
        <v>17906429.801099267</v>
      </c>
      <c r="O115" s="196">
        <v>112</v>
      </c>
      <c r="P115" s="197">
        <f t="shared" ca="1" si="15"/>
        <v>176085555.42540532</v>
      </c>
      <c r="Q115" s="197">
        <f t="shared" ca="1" si="16"/>
        <v>26906.150689640082</v>
      </c>
      <c r="R115" s="197">
        <f t="shared" ca="1" si="22"/>
        <v>1577389.7770881376</v>
      </c>
      <c r="S115" s="197">
        <f t="shared" ca="1" si="17"/>
        <v>1604295.9277777777</v>
      </c>
    </row>
    <row r="116" spans="8:19" x14ac:dyDescent="0.25">
      <c r="H116" s="191">
        <v>109</v>
      </c>
      <c r="I116" s="198">
        <f t="shared" ca="1" si="18"/>
        <v>-546046718.24563813</v>
      </c>
      <c r="J116" s="198">
        <f t="shared" ca="1" si="19"/>
        <v>22725347.424081106</v>
      </c>
      <c r="K116" s="198">
        <f t="shared" ca="1" si="20"/>
        <v>-4818917.622981838</v>
      </c>
      <c r="L116" s="193">
        <f t="shared" ca="1" si="21"/>
        <v>17906429.801099267</v>
      </c>
      <c r="O116" s="196">
        <v>113</v>
      </c>
      <c r="P116" s="197">
        <f t="shared" ca="1" si="15"/>
        <v>176058408.28389278</v>
      </c>
      <c r="Q116" s="197">
        <f t="shared" ca="1" si="16"/>
        <v>27147.141512542497</v>
      </c>
      <c r="R116" s="197">
        <f t="shared" ca="1" si="22"/>
        <v>1577148.7862652352</v>
      </c>
      <c r="S116" s="197">
        <f t="shared" ca="1" si="17"/>
        <v>1604295.9277777777</v>
      </c>
    </row>
    <row r="117" spans="8:19" x14ac:dyDescent="0.25">
      <c r="H117" s="191">
        <v>110</v>
      </c>
      <c r="I117" s="198">
        <f t="shared" ca="1" si="18"/>
        <v>-568981328.24391603</v>
      </c>
      <c r="J117" s="198">
        <f t="shared" ca="1" si="19"/>
        <v>22934609.99827785</v>
      </c>
      <c r="K117" s="198">
        <f t="shared" ca="1" si="20"/>
        <v>-5028180.1971785845</v>
      </c>
      <c r="L117" s="193">
        <f t="shared" ca="1" si="21"/>
        <v>17906429.801099267</v>
      </c>
      <c r="O117" s="196">
        <v>114</v>
      </c>
      <c r="P117" s="197">
        <f t="shared" ca="1" si="15"/>
        <v>176031017.99307033</v>
      </c>
      <c r="Q117" s="197">
        <f t="shared" ca="1" si="16"/>
        <v>27390.29082245403</v>
      </c>
      <c r="R117" s="197">
        <f t="shared" ca="1" si="22"/>
        <v>1576905.6369553236</v>
      </c>
      <c r="S117" s="197">
        <f t="shared" ca="1" si="17"/>
        <v>1604295.9277777777</v>
      </c>
    </row>
    <row r="118" spans="8:19" x14ac:dyDescent="0.25">
      <c r="H118" s="191">
        <v>111</v>
      </c>
      <c r="I118" s="198">
        <f t="shared" ca="1" si="18"/>
        <v>-592127127.77592802</v>
      </c>
      <c r="J118" s="198">
        <f t="shared" ca="1" si="19"/>
        <v>23145799.532011993</v>
      </c>
      <c r="K118" s="198">
        <f t="shared" ca="1" si="20"/>
        <v>-5239369.7309127273</v>
      </c>
      <c r="L118" s="193">
        <f t="shared" ca="1" si="21"/>
        <v>17906429.801099267</v>
      </c>
      <c r="O118" s="196">
        <v>115</v>
      </c>
      <c r="P118" s="197">
        <f t="shared" ca="1" si="15"/>
        <v>176003382.37511799</v>
      </c>
      <c r="Q118" s="197">
        <f t="shared" ca="1" si="16"/>
        <v>27635.617952335626</v>
      </c>
      <c r="R118" s="197">
        <f t="shared" ca="1" si="22"/>
        <v>1576660.309825442</v>
      </c>
      <c r="S118" s="197">
        <f t="shared" ca="1" si="17"/>
        <v>1604295.9277777777</v>
      </c>
    </row>
    <row r="119" spans="8:19" x14ac:dyDescent="0.25">
      <c r="H119" s="191">
        <v>112</v>
      </c>
      <c r="I119" s="198">
        <f t="shared" ca="1" si="18"/>
        <v>-615486061.54529727</v>
      </c>
      <c r="J119" s="198">
        <f t="shared" ca="1" si="19"/>
        <v>23358933.769369271</v>
      </c>
      <c r="K119" s="198">
        <f t="shared" ca="1" si="20"/>
        <v>-5452503.9682700038</v>
      </c>
      <c r="L119" s="193">
        <f t="shared" ca="1" si="21"/>
        <v>17906429.801099267</v>
      </c>
      <c r="O119" s="196">
        <v>116</v>
      </c>
      <c r="P119" s="197">
        <f t="shared" ca="1" si="15"/>
        <v>175975499.23270968</v>
      </c>
      <c r="Q119" s="197">
        <f t="shared" ca="1" si="16"/>
        <v>27883.142408307642</v>
      </c>
      <c r="R119" s="197">
        <f t="shared" ca="1" si="22"/>
        <v>1576412.78536947</v>
      </c>
      <c r="S119" s="197">
        <f t="shared" ca="1" si="17"/>
        <v>1604295.9277777777</v>
      </c>
    </row>
    <row r="120" spans="8:19" x14ac:dyDescent="0.25">
      <c r="H120" s="191">
        <v>113</v>
      </c>
      <c r="I120" s="198">
        <f t="shared" ca="1" si="18"/>
        <v>-639060092.16312611</v>
      </c>
      <c r="J120" s="198">
        <f t="shared" ca="1" si="19"/>
        <v>23574030.61782888</v>
      </c>
      <c r="K120" s="198">
        <f t="shared" ca="1" si="20"/>
        <v>-5667600.8167296126</v>
      </c>
      <c r="L120" s="193">
        <f t="shared" ca="1" si="21"/>
        <v>17906429.801099267</v>
      </c>
      <c r="O120" s="196">
        <v>117</v>
      </c>
      <c r="P120" s="197">
        <f t="shared" ca="1" si="15"/>
        <v>175947366.34883848</v>
      </c>
      <c r="Q120" s="197">
        <f t="shared" ca="1" si="16"/>
        <v>28132.883871201891</v>
      </c>
      <c r="R120" s="197">
        <f t="shared" ca="1" si="22"/>
        <v>1576163.0439065758</v>
      </c>
      <c r="S120" s="197">
        <f t="shared" ca="1" si="17"/>
        <v>1604295.9277777777</v>
      </c>
    </row>
    <row r="121" spans="8:19" x14ac:dyDescent="0.25">
      <c r="H121" s="191">
        <v>114</v>
      </c>
      <c r="I121" s="198">
        <f t="shared" ca="1" si="18"/>
        <v>-662851200.31289411</v>
      </c>
      <c r="J121" s="198">
        <f t="shared" ca="1" si="19"/>
        <v>23791108.149768054</v>
      </c>
      <c r="K121" s="198">
        <f t="shared" ca="1" si="20"/>
        <v>-5884678.3486687867</v>
      </c>
      <c r="L121" s="193">
        <f t="shared" ca="1" si="21"/>
        <v>17906429.801099267</v>
      </c>
      <c r="O121" s="196">
        <v>118</v>
      </c>
      <c r="P121" s="197">
        <f t="shared" ca="1" si="15"/>
        <v>175918981.48664036</v>
      </c>
      <c r="Q121" s="197">
        <f t="shared" ca="1" si="16"/>
        <v>28384.862198126037</v>
      </c>
      <c r="R121" s="197">
        <f t="shared" ca="1" si="22"/>
        <v>1575911.0655796516</v>
      </c>
      <c r="S121" s="197">
        <f t="shared" ca="1" si="17"/>
        <v>1604295.9277777777</v>
      </c>
    </row>
    <row r="122" spans="8:19" x14ac:dyDescent="0.25">
      <c r="H122" s="191">
        <v>115</v>
      </c>
      <c r="I122" s="198">
        <f t="shared" ca="1" si="18"/>
        <v>-686861384.91687465</v>
      </c>
      <c r="J122" s="198">
        <f t="shared" ca="1" si="19"/>
        <v>24010184.6039805</v>
      </c>
      <c r="K122" s="198">
        <f t="shared" ca="1" si="20"/>
        <v>-6103754.8028812334</v>
      </c>
      <c r="L122" s="193">
        <f t="shared" ca="1" si="21"/>
        <v>17906429.801099267</v>
      </c>
      <c r="O122" s="196">
        <v>119</v>
      </c>
      <c r="P122" s="197">
        <f t="shared" ca="1" si="15"/>
        <v>175890342.38921633</v>
      </c>
      <c r="Q122" s="197">
        <f t="shared" ca="1" si="16"/>
        <v>28639.097424041945</v>
      </c>
      <c r="R122" s="197">
        <f t="shared" ca="1" si="22"/>
        <v>1575656.8303537357</v>
      </c>
      <c r="S122" s="197">
        <f t="shared" ca="1" si="17"/>
        <v>1604295.9277777777</v>
      </c>
    </row>
    <row r="123" spans="8:19" x14ac:dyDescent="0.25">
      <c r="H123" s="191">
        <v>116</v>
      </c>
      <c r="I123" s="198">
        <f t="shared" ca="1" si="18"/>
        <v>-711092663.30408347</v>
      </c>
      <c r="J123" s="198">
        <f t="shared" ca="1" si="19"/>
        <v>24231278.387208819</v>
      </c>
      <c r="K123" s="198">
        <f t="shared" ca="1" si="20"/>
        <v>-6324848.5861095544</v>
      </c>
      <c r="L123" s="193">
        <f t="shared" ca="1" si="21"/>
        <v>17906429.801099267</v>
      </c>
      <c r="O123" s="196">
        <v>120</v>
      </c>
      <c r="P123" s="197">
        <f t="shared" ca="1" si="15"/>
        <v>175861446.77945298</v>
      </c>
      <c r="Q123" s="197">
        <f t="shared" ca="1" si="16"/>
        <v>28895.60976335872</v>
      </c>
      <c r="R123" s="197">
        <f t="shared" ca="1" si="22"/>
        <v>1575400.3180144189</v>
      </c>
      <c r="S123" s="197">
        <f t="shared" ca="1" si="17"/>
        <v>1604295.9277777777</v>
      </c>
    </row>
    <row r="124" spans="8:19" x14ac:dyDescent="0.25">
      <c r="H124" s="191">
        <v>117</v>
      </c>
      <c r="I124" s="198">
        <f t="shared" ca="1" si="18"/>
        <v>-735547071.37977445</v>
      </c>
      <c r="J124" s="198">
        <f t="shared" ca="1" si="19"/>
        <v>24454408.075691037</v>
      </c>
      <c r="K124" s="198">
        <f t="shared" ca="1" si="20"/>
        <v>-6547978.2745917691</v>
      </c>
      <c r="L124" s="193">
        <f t="shared" ca="1" si="21"/>
        <v>17906429.801099267</v>
      </c>
      <c r="O124" s="196">
        <v>121</v>
      </c>
      <c r="P124" s="197">
        <f t="shared" ca="1" si="15"/>
        <v>173821729.12379467</v>
      </c>
      <c r="Q124" s="197">
        <f t="shared" ca="1" si="16"/>
        <v>2039717.6556583133</v>
      </c>
      <c r="R124" s="197">
        <f t="shared" ca="1" si="22"/>
        <v>2053182.3911501134</v>
      </c>
      <c r="S124" s="197">
        <f t="shared" ca="1" si="17"/>
        <v>4092900.0468084267</v>
      </c>
    </row>
    <row r="125" spans="8:19" x14ac:dyDescent="0.25">
      <c r="H125" s="191">
        <v>118</v>
      </c>
      <c r="I125" s="198">
        <f t="shared" ca="1" si="18"/>
        <v>-760226663.7964958</v>
      </c>
      <c r="J125" s="198">
        <f t="shared" ca="1" si="19"/>
        <v>24679592.416721359</v>
      </c>
      <c r="K125" s="198">
        <f t="shared" ca="1" si="20"/>
        <v>-6773162.6156220902</v>
      </c>
      <c r="L125" s="193">
        <f t="shared" ca="1" si="21"/>
        <v>17906429.801099267</v>
      </c>
      <c r="O125" s="196">
        <v>122</v>
      </c>
      <c r="P125" s="197">
        <f t="shared" ca="1" si="15"/>
        <v>171758197.76450655</v>
      </c>
      <c r="Q125" s="197">
        <f t="shared" ca="1" si="16"/>
        <v>2063531.3592881239</v>
      </c>
      <c r="R125" s="197">
        <f t="shared" ca="1" si="22"/>
        <v>2029368.6875203028</v>
      </c>
      <c r="S125" s="197">
        <f t="shared" ca="1" si="17"/>
        <v>4092900.0468084267</v>
      </c>
    </row>
    <row r="126" spans="8:19" x14ac:dyDescent="0.25">
      <c r="H126" s="191">
        <v>119</v>
      </c>
      <c r="I126" s="198">
        <f t="shared" ca="1" si="18"/>
        <v>-785133514.12672114</v>
      </c>
      <c r="J126" s="198">
        <f t="shared" ca="1" si="19"/>
        <v>24906850.330225334</v>
      </c>
      <c r="K126" s="198">
        <f t="shared" ca="1" si="20"/>
        <v>-7000420.5291260658</v>
      </c>
      <c r="L126" s="193">
        <f t="shared" ca="1" si="21"/>
        <v>17906429.801099267</v>
      </c>
      <c r="O126" s="196">
        <v>123</v>
      </c>
      <c r="P126" s="197">
        <f t="shared" ca="1" si="15"/>
        <v>169670574.67659873</v>
      </c>
      <c r="Q126" s="197">
        <f t="shared" ca="1" si="16"/>
        <v>2087623.0879078128</v>
      </c>
      <c r="R126" s="197">
        <f t="shared" ca="1" si="22"/>
        <v>2005276.9589006139</v>
      </c>
      <c r="S126" s="197">
        <f t="shared" ca="1" si="17"/>
        <v>4092900.0468084267</v>
      </c>
    </row>
    <row r="127" spans="8:19" x14ac:dyDescent="0.25">
      <c r="H127" s="191">
        <v>120</v>
      </c>
      <c r="I127" s="198">
        <f t="shared" ca="1" si="18"/>
        <v>-810269715.03707063</v>
      </c>
      <c r="J127" s="198">
        <f t="shared" ca="1" si="19"/>
        <v>25136200.910349492</v>
      </c>
      <c r="K127" s="198">
        <f t="shared" ca="1" si="20"/>
        <v>-7229771.1092502242</v>
      </c>
      <c r="L127" s="193">
        <f t="shared" ca="1" si="21"/>
        <v>17906429.801099267</v>
      </c>
      <c r="O127" s="196">
        <v>124</v>
      </c>
      <c r="P127" s="197">
        <f t="shared" ca="1" si="15"/>
        <v>167558578.58913958</v>
      </c>
      <c r="Q127" s="197">
        <f t="shared" ca="1" si="16"/>
        <v>2111996.0874591367</v>
      </c>
      <c r="R127" s="197">
        <f t="shared" ca="1" si="22"/>
        <v>1980903.9593492902</v>
      </c>
      <c r="S127" s="197">
        <f t="shared" ca="1" si="17"/>
        <v>4092900.0468084267</v>
      </c>
    </row>
    <row r="128" spans="8:19" x14ac:dyDescent="0.25">
      <c r="H128" s="191">
        <v>121</v>
      </c>
      <c r="I128" s="198">
        <f t="shared" ca="1" si="18"/>
        <v>-835637378.46413624</v>
      </c>
      <c r="J128" s="198">
        <f t="shared" ca="1" si="19"/>
        <v>25367663.427065626</v>
      </c>
      <c r="K128" s="198">
        <f t="shared" ca="1" si="20"/>
        <v>-7461233.6259663589</v>
      </c>
      <c r="L128" s="193">
        <f t="shared" ca="1" si="21"/>
        <v>17906429.801099267</v>
      </c>
      <c r="O128" s="196">
        <v>125</v>
      </c>
      <c r="P128" s="197">
        <f t="shared" ca="1" si="15"/>
        <v>165421924.94735935</v>
      </c>
      <c r="Q128" s="197">
        <f t="shared" ca="1" si="16"/>
        <v>2136653.6417802218</v>
      </c>
      <c r="R128" s="197">
        <f t="shared" ca="1" si="22"/>
        <v>1956246.4050282047</v>
      </c>
      <c r="S128" s="197">
        <f t="shared" ca="1" si="17"/>
        <v>4092900.0468084267</v>
      </c>
    </row>
    <row r="129" spans="8:19" x14ac:dyDescent="0.25">
      <c r="H129" s="191">
        <v>122</v>
      </c>
      <c r="I129" s="198">
        <f t="shared" ca="1" si="18"/>
        <v>-861238635.79192615</v>
      </c>
      <c r="J129" s="198">
        <f t="shared" ca="1" si="19"/>
        <v>25601257.327789854</v>
      </c>
      <c r="K129" s="198">
        <f t="shared" ca="1" si="20"/>
        <v>-7694827.5266905883</v>
      </c>
      <c r="L129" s="193">
        <f t="shared" ca="1" si="21"/>
        <v>17906429.801099267</v>
      </c>
      <c r="O129" s="196">
        <v>126</v>
      </c>
      <c r="P129" s="197">
        <f t="shared" ca="1" si="15"/>
        <v>163260325.87431136</v>
      </c>
      <c r="Q129" s="197">
        <f t="shared" ca="1" si="16"/>
        <v>2161599.0730480063</v>
      </c>
      <c r="R129" s="197">
        <f t="shared" ca="1" si="22"/>
        <v>1931300.9737604205</v>
      </c>
      <c r="S129" s="197">
        <f t="shared" ca="1" si="17"/>
        <v>4092900.0468084267</v>
      </c>
    </row>
    <row r="130" spans="8:19" x14ac:dyDescent="0.25">
      <c r="H130" s="191">
        <v>123</v>
      </c>
      <c r="I130" s="198">
        <f t="shared" ca="1" si="18"/>
        <v>-887075638.03094268</v>
      </c>
      <c r="J130" s="198">
        <f t="shared" ca="1" si="19"/>
        <v>25837002.239016585</v>
      </c>
      <c r="K130" s="198">
        <f t="shared" ca="1" si="20"/>
        <v>-7930572.4379173201</v>
      </c>
      <c r="L130" s="193">
        <f t="shared" ca="1" si="21"/>
        <v>17906429.801099267</v>
      </c>
      <c r="O130" s="196">
        <v>127</v>
      </c>
      <c r="P130" s="197">
        <f t="shared" ca="1" si="15"/>
        <v>161073490.1320855</v>
      </c>
      <c r="Q130" s="197">
        <f t="shared" ca="1" si="16"/>
        <v>2186835.7422258416</v>
      </c>
      <c r="R130" s="197">
        <f t="shared" ca="1" si="22"/>
        <v>1906064.3045825853</v>
      </c>
      <c r="S130" s="197">
        <f t="shared" ca="1" si="17"/>
        <v>4092900.0468084267</v>
      </c>
    </row>
    <row r="131" spans="8:19" x14ac:dyDescent="0.25">
      <c r="H131" s="191">
        <v>124</v>
      </c>
      <c r="I131" s="198">
        <f t="shared" ca="1" si="18"/>
        <v>-913150555.99891019</v>
      </c>
      <c r="J131" s="198">
        <f t="shared" ca="1" si="19"/>
        <v>26074917.967967533</v>
      </c>
      <c r="K131" s="198">
        <f t="shared" ca="1" si="20"/>
        <v>-8168488.1668682648</v>
      </c>
      <c r="L131" s="193">
        <f t="shared" ca="1" si="21"/>
        <v>17906429.801099267</v>
      </c>
      <c r="O131" s="196">
        <v>128</v>
      </c>
      <c r="P131" s="197">
        <f t="shared" ca="1" si="15"/>
        <v>158861123.08256918</v>
      </c>
      <c r="Q131" s="197">
        <f t="shared" ca="1" si="16"/>
        <v>2212367.0495163286</v>
      </c>
      <c r="R131" s="197">
        <f t="shared" ca="1" si="22"/>
        <v>1880532.9972920984</v>
      </c>
      <c r="S131" s="197">
        <f t="shared" ca="1" si="17"/>
        <v>4092900.0468084267</v>
      </c>
    </row>
    <row r="132" spans="8:19" x14ac:dyDescent="0.25">
      <c r="H132" s="191">
        <v>125</v>
      </c>
      <c r="I132" s="198">
        <f t="shared" ca="1" si="18"/>
        <v>-939465580.50316608</v>
      </c>
      <c r="J132" s="198">
        <f t="shared" ca="1" si="19"/>
        <v>26315024.504255898</v>
      </c>
      <c r="K132" s="198">
        <f t="shared" ca="1" si="20"/>
        <v>-8408594.7031566314</v>
      </c>
      <c r="L132" s="193">
        <f t="shared" ca="1" si="21"/>
        <v>17906429.801099267</v>
      </c>
      <c r="O132" s="196">
        <v>129</v>
      </c>
      <c r="P132" s="197">
        <f t="shared" ca="1" si="15"/>
        <v>156622926.64774975</v>
      </c>
      <c r="Q132" s="197">
        <f t="shared" ca="1" si="16"/>
        <v>2238196.4348194315</v>
      </c>
      <c r="R132" s="197">
        <f t="shared" ref="R132:R163" ca="1" si="23">IF(O132&lt;=$C$9,P131*$V$6/12,P131*$V$16/12)</f>
        <v>1854703.6119889952</v>
      </c>
      <c r="S132" s="197">
        <f t="shared" ca="1" si="17"/>
        <v>4092900.0468084267</v>
      </c>
    </row>
    <row r="133" spans="8:19" x14ac:dyDescent="0.25">
      <c r="H133" s="191">
        <v>126</v>
      </c>
      <c r="I133" s="198">
        <f t="shared" ca="1" si="18"/>
        <v>-966022922.52473199</v>
      </c>
      <c r="J133" s="198">
        <f t="shared" ca="1" si="19"/>
        <v>26557342.021565922</v>
      </c>
      <c r="K133" s="198">
        <f t="shared" ca="1" si="20"/>
        <v>-8650912.2204666547</v>
      </c>
      <c r="L133" s="193">
        <f t="shared" ca="1" si="21"/>
        <v>17906429.801099267</v>
      </c>
      <c r="O133" s="196">
        <v>130</v>
      </c>
      <c r="P133" s="197">
        <f t="shared" ref="P133:P183" ca="1" si="24">P132-Q133</f>
        <v>154358599.26955381</v>
      </c>
      <c r="Q133" s="197">
        <f t="shared" ref="Q133:Q183" ca="1" si="25">S133-R133</f>
        <v>2264327.3781959484</v>
      </c>
      <c r="R133" s="197">
        <f t="shared" ca="1" si="23"/>
        <v>1828572.6686124783</v>
      </c>
      <c r="S133" s="197">
        <f t="shared" ref="S133:S183" ca="1" si="26">IFERROR(IF(O133&lt;=$C$8,IF(O133&lt;=$C$9,$V$7,$V$17),0),0)</f>
        <v>4092900.0468084267</v>
      </c>
    </row>
    <row r="134" spans="8:19" x14ac:dyDescent="0.25">
      <c r="H134" s="191">
        <v>127</v>
      </c>
      <c r="I134" s="198">
        <f t="shared" ca="1" si="18"/>
        <v>-992824813.40407979</v>
      </c>
      <c r="J134" s="198">
        <f t="shared" ca="1" si="19"/>
        <v>26801890.879347842</v>
      </c>
      <c r="K134" s="198">
        <f t="shared" ca="1" si="20"/>
        <v>-8895461.0782485753</v>
      </c>
      <c r="L134" s="193">
        <f t="shared" ca="1" si="21"/>
        <v>17906429.801099267</v>
      </c>
      <c r="O134" s="196">
        <v>131</v>
      </c>
      <c r="P134" s="197">
        <f t="shared" ca="1" si="24"/>
        <v>152067835.86921743</v>
      </c>
      <c r="Q134" s="197">
        <f t="shared" ca="1" si="25"/>
        <v>2290763.4003363857</v>
      </c>
      <c r="R134" s="197">
        <f t="shared" ca="1" si="23"/>
        <v>1802136.6464720408</v>
      </c>
      <c r="S134" s="197">
        <f t="shared" ca="1" si="26"/>
        <v>4092900.0468084267</v>
      </c>
    </row>
    <row r="135" spans="8:19" x14ac:dyDescent="0.25">
      <c r="H135" s="191">
        <v>128</v>
      </c>
      <c r="I135" s="198">
        <f t="shared" ca="1" si="18"/>
        <v>-1019873505.0286083</v>
      </c>
      <c r="J135" s="198">
        <f t="shared" ca="1" si="19"/>
        <v>27048691.624528505</v>
      </c>
      <c r="K135" s="198">
        <f t="shared" ca="1" si="20"/>
        <v>-9142261.8234292362</v>
      </c>
      <c r="L135" s="193">
        <f t="shared" ca="1" si="21"/>
        <v>17906429.801099267</v>
      </c>
      <c r="O135" s="196">
        <v>132</v>
      </c>
      <c r="P135" s="197">
        <f t="shared" ca="1" si="24"/>
        <v>149750327.80618212</v>
      </c>
      <c r="Q135" s="197">
        <f t="shared" ca="1" si="25"/>
        <v>2317508.063035313</v>
      </c>
      <c r="R135" s="197">
        <f t="shared" ca="1" si="23"/>
        <v>1775391.9837731135</v>
      </c>
      <c r="S135" s="197">
        <f t="shared" ca="1" si="26"/>
        <v>4092900.0468084267</v>
      </c>
    </row>
    <row r="136" spans="8:19" x14ac:dyDescent="0.25">
      <c r="H136" s="191">
        <v>129</v>
      </c>
      <c r="I136" s="198">
        <f t="shared" ca="1" si="18"/>
        <v>-1047171270.0218461</v>
      </c>
      <c r="J136" s="198">
        <f t="shared" ca="1" si="19"/>
        <v>27297764.993237704</v>
      </c>
      <c r="K136" s="198">
        <f t="shared" ca="1" si="20"/>
        <v>-9391335.1921384353</v>
      </c>
      <c r="L136" s="193">
        <f t="shared" ca="1" si="21"/>
        <v>17906429.801099267</v>
      </c>
      <c r="O136" s="196">
        <v>133</v>
      </c>
      <c r="P136" s="197">
        <f t="shared" ca="1" si="24"/>
        <v>147405762.83651087</v>
      </c>
      <c r="Q136" s="197">
        <f t="shared" ca="1" si="25"/>
        <v>2344564.9696712503</v>
      </c>
      <c r="R136" s="197">
        <f t="shared" ca="1" si="23"/>
        <v>1748335.0771371762</v>
      </c>
      <c r="S136" s="197">
        <f t="shared" ca="1" si="26"/>
        <v>4092900.0468084267</v>
      </c>
    </row>
    <row r="137" spans="8:19" x14ac:dyDescent="0.25">
      <c r="H137" s="191">
        <v>130</v>
      </c>
      <c r="I137" s="198">
        <f t="shared" ca="1" si="18"/>
        <v>-1074720401.9343965</v>
      </c>
      <c r="J137" s="198">
        <f t="shared" ca="1" si="19"/>
        <v>27549131.912550434</v>
      </c>
      <c r="K137" s="198">
        <f t="shared" ca="1" si="20"/>
        <v>-9642702.1114511658</v>
      </c>
      <c r="L137" s="193">
        <f t="shared" ca="1" si="21"/>
        <v>17906429.801099267</v>
      </c>
      <c r="O137" s="196">
        <v>134</v>
      </c>
      <c r="P137" s="197">
        <f t="shared" ca="1" si="24"/>
        <v>145033825.07081869</v>
      </c>
      <c r="Q137" s="197">
        <f t="shared" ca="1" si="25"/>
        <v>2371937.7656921623</v>
      </c>
      <c r="R137" s="197">
        <f t="shared" ca="1" si="23"/>
        <v>1720962.2811162642</v>
      </c>
      <c r="S137" s="197">
        <f t="shared" ca="1" si="26"/>
        <v>4092900.0468084267</v>
      </c>
    </row>
    <row r="138" spans="8:19" x14ac:dyDescent="0.25">
      <c r="H138" s="191">
        <v>131</v>
      </c>
      <c r="I138" s="198">
        <f t="shared" ca="1" si="18"/>
        <v>-1102523215.4366417</v>
      </c>
      <c r="J138" s="198">
        <f t="shared" ca="1" si="19"/>
        <v>27802813.502245169</v>
      </c>
      <c r="K138" s="198">
        <f t="shared" ca="1" si="20"/>
        <v>-9896383.7011459023</v>
      </c>
      <c r="L138" s="193">
        <f t="shared" ca="1" si="21"/>
        <v>17906429.801099267</v>
      </c>
      <c r="O138" s="196">
        <v>135</v>
      </c>
      <c r="P138" s="197">
        <f t="shared" ca="1" si="24"/>
        <v>142634194.93171206</v>
      </c>
      <c r="Q138" s="197">
        <f t="shared" ca="1" si="25"/>
        <v>2399630.1391066182</v>
      </c>
      <c r="R138" s="197">
        <f t="shared" ca="1" si="23"/>
        <v>1693269.9077018083</v>
      </c>
      <c r="S138" s="197">
        <f t="shared" ca="1" si="26"/>
        <v>4092900.0468084267</v>
      </c>
    </row>
    <row r="139" spans="8:19" x14ac:dyDescent="0.25">
      <c r="H139" s="191">
        <v>132</v>
      </c>
      <c r="I139" s="198">
        <f t="shared" ca="1" si="18"/>
        <v>-1130582046.5132201</v>
      </c>
      <c r="J139" s="198">
        <f t="shared" ca="1" si="19"/>
        <v>28058831.076578341</v>
      </c>
      <c r="K139" s="198">
        <f t="shared" ca="1" si="20"/>
        <v>-10152401.275479076</v>
      </c>
      <c r="L139" s="193">
        <f t="shared" ca="1" si="21"/>
        <v>17906429.801099267</v>
      </c>
      <c r="O139" s="196">
        <v>136</v>
      </c>
      <c r="P139" s="197">
        <f t="shared" ca="1" si="24"/>
        <v>140206549.11073136</v>
      </c>
      <c r="Q139" s="197">
        <f t="shared" ca="1" si="25"/>
        <v>2427645.8209806886</v>
      </c>
      <c r="R139" s="197">
        <f t="shared" ca="1" si="23"/>
        <v>1665254.2258277384</v>
      </c>
      <c r="S139" s="197">
        <f t="shared" ca="1" si="26"/>
        <v>4092900.0468084267</v>
      </c>
    </row>
    <row r="140" spans="8:19" x14ac:dyDescent="0.25">
      <c r="H140" s="191">
        <v>133</v>
      </c>
      <c r="I140" s="198">
        <f t="shared" ca="1" si="18"/>
        <v>-1158899252.6592953</v>
      </c>
      <c r="J140" s="198">
        <f t="shared" ca="1" si="19"/>
        <v>28317206.146075167</v>
      </c>
      <c r="K140" s="198">
        <f t="shared" ca="1" si="20"/>
        <v>-10410776.344975902</v>
      </c>
      <c r="L140" s="193">
        <f t="shared" ca="1" si="21"/>
        <v>17906429.801099267</v>
      </c>
      <c r="O140" s="196">
        <v>137</v>
      </c>
      <c r="P140" s="197">
        <f t="shared" ca="1" si="24"/>
        <v>137750560.52479073</v>
      </c>
      <c r="Q140" s="197">
        <f t="shared" ca="1" si="25"/>
        <v>2455988.5859406381</v>
      </c>
      <c r="R140" s="197">
        <f t="shared" ca="1" si="23"/>
        <v>1636911.4608677886</v>
      </c>
      <c r="S140" s="197">
        <f t="shared" ca="1" si="26"/>
        <v>4092900.0468084267</v>
      </c>
    </row>
    <row r="141" spans="8:19" x14ac:dyDescent="0.25">
      <c r="H141" s="191">
        <v>134</v>
      </c>
      <c r="I141" s="198">
        <f t="shared" ca="1" si="18"/>
        <v>-1187477213.0786324</v>
      </c>
      <c r="J141" s="198">
        <f t="shared" ca="1" si="19"/>
        <v>28577960.419336945</v>
      </c>
      <c r="K141" s="198">
        <f t="shared" ca="1" si="20"/>
        <v>-10671530.618237678</v>
      </c>
      <c r="L141" s="193">
        <f t="shared" ca="1" si="21"/>
        <v>17906429.801099267</v>
      </c>
      <c r="O141" s="196">
        <v>138</v>
      </c>
      <c r="P141" s="197">
        <f t="shared" ca="1" si="24"/>
        <v>135265898.27210924</v>
      </c>
      <c r="Q141" s="197">
        <f t="shared" ca="1" si="25"/>
        <v>2484662.2526814947</v>
      </c>
      <c r="R141" s="197">
        <f t="shared" ca="1" si="23"/>
        <v>1608237.7941269318</v>
      </c>
      <c r="S141" s="197">
        <f t="shared" ca="1" si="26"/>
        <v>4092900.0468084267</v>
      </c>
    </row>
    <row r="142" spans="8:19" x14ac:dyDescent="0.25">
      <c r="H142" s="191">
        <v>135</v>
      </c>
      <c r="I142" s="198">
        <f t="shared" ca="1" si="18"/>
        <v>-1216318328.8834975</v>
      </c>
      <c r="J142" s="198">
        <f t="shared" ca="1" si="19"/>
        <v>28841115.804865006</v>
      </c>
      <c r="K142" s="198">
        <f t="shared" ca="1" si="20"/>
        <v>-10934686.00376574</v>
      </c>
      <c r="L142" s="193">
        <f t="shared" ca="1" si="21"/>
        <v>17906429.801099267</v>
      </c>
      <c r="O142" s="196">
        <v>139</v>
      </c>
      <c r="P142" s="197">
        <f t="shared" ca="1" si="24"/>
        <v>132752227.58762769</v>
      </c>
      <c r="Q142" s="197">
        <f t="shared" ca="1" si="25"/>
        <v>2513670.6844815514</v>
      </c>
      <c r="R142" s="197">
        <f t="shared" ca="1" si="23"/>
        <v>1579229.3623268753</v>
      </c>
      <c r="S142" s="197">
        <f t="shared" ca="1" si="26"/>
        <v>4092900.0468084267</v>
      </c>
    </row>
    <row r="143" spans="8:19" x14ac:dyDescent="0.25">
      <c r="H143" s="191">
        <v>136</v>
      </c>
      <c r="I143" s="198">
        <f t="shared" ca="1" si="18"/>
        <v>-1245425023.2963989</v>
      </c>
      <c r="J143" s="198">
        <f t="shared" ca="1" si="19"/>
        <v>29106694.412901476</v>
      </c>
      <c r="K143" s="198">
        <f t="shared" ca="1" si="20"/>
        <v>-11200264.611802207</v>
      </c>
      <c r="L143" s="193">
        <f t="shared" ca="1" si="21"/>
        <v>17906429.801099267</v>
      </c>
      <c r="O143" s="196">
        <v>140</v>
      </c>
      <c r="P143" s="197">
        <f t="shared" ca="1" si="24"/>
        <v>130209209.79790482</v>
      </c>
      <c r="Q143" s="197">
        <f t="shared" ca="1" si="25"/>
        <v>2543017.7897228734</v>
      </c>
      <c r="R143" s="197">
        <f t="shared" ca="1" si="23"/>
        <v>1549882.2570855534</v>
      </c>
      <c r="S143" s="197">
        <f t="shared" ca="1" si="26"/>
        <v>4092900.0468084267</v>
      </c>
    </row>
    <row r="144" spans="8:19" x14ac:dyDescent="0.25">
      <c r="H144" s="191">
        <v>137</v>
      </c>
      <c r="I144" s="198">
        <f t="shared" ca="1" si="18"/>
        <v>-1274799741.8536859</v>
      </c>
      <c r="J144" s="198">
        <f t="shared" ca="1" si="19"/>
        <v>29374718.557286941</v>
      </c>
      <c r="K144" s="198">
        <f t="shared" ca="1" si="20"/>
        <v>-11468288.756187674</v>
      </c>
      <c r="L144" s="193">
        <f t="shared" ca="1" si="21"/>
        <v>17906429.801099267</v>
      </c>
      <c r="O144" s="196">
        <v>141</v>
      </c>
      <c r="P144" s="197">
        <f t="shared" ca="1" si="24"/>
        <v>127636502.27548693</v>
      </c>
      <c r="Q144" s="197">
        <f t="shared" ca="1" si="25"/>
        <v>2572707.522417888</v>
      </c>
      <c r="R144" s="197">
        <f t="shared" ca="1" si="23"/>
        <v>1520192.5243905389</v>
      </c>
      <c r="S144" s="197">
        <f t="shared" ca="1" si="26"/>
        <v>4092900.0468084267</v>
      </c>
    </row>
    <row r="145" spans="8:19" x14ac:dyDescent="0.25">
      <c r="H145" s="191">
        <v>138</v>
      </c>
      <c r="I145" s="198">
        <f t="shared" ca="1" si="18"/>
        <v>-1304444952.611021</v>
      </c>
      <c r="J145" s="198">
        <f t="shared" ca="1" si="19"/>
        <v>29645210.75733529</v>
      </c>
      <c r="K145" s="198">
        <f t="shared" ca="1" si="20"/>
        <v>-11738780.956236025</v>
      </c>
      <c r="L145" s="193">
        <f t="shared" ca="1" si="21"/>
        <v>17906429.801099267</v>
      </c>
      <c r="O145" s="196">
        <v>142</v>
      </c>
      <c r="P145" s="197">
        <f t="shared" ca="1" si="24"/>
        <v>125033758.39274481</v>
      </c>
      <c r="Q145" s="197">
        <f t="shared" ca="1" si="25"/>
        <v>2602743.8827421167</v>
      </c>
      <c r="R145" s="197">
        <f t="shared" ca="1" si="23"/>
        <v>1490156.16406631</v>
      </c>
      <c r="S145" s="197">
        <f t="shared" ca="1" si="26"/>
        <v>4092900.0468084267</v>
      </c>
    </row>
    <row r="146" spans="8:19" x14ac:dyDescent="0.25">
      <c r="H146" s="191">
        <v>139</v>
      </c>
      <c r="I146" s="198">
        <f t="shared" ca="1" si="18"/>
        <v>-1334363146.3507469</v>
      </c>
      <c r="J146" s="198">
        <f t="shared" ca="1" si="19"/>
        <v>29918193.739725754</v>
      </c>
      <c r="K146" s="198">
        <f t="shared" ca="1" si="20"/>
        <v>-12011763.938626487</v>
      </c>
      <c r="L146" s="193">
        <f t="shared" ca="1" si="21"/>
        <v>17906429.801099267</v>
      </c>
      <c r="O146" s="196">
        <v>143</v>
      </c>
      <c r="P146" s="197">
        <f t="shared" ca="1" si="24"/>
        <v>122400627.47517169</v>
      </c>
      <c r="Q146" s="197">
        <f t="shared" ca="1" si="25"/>
        <v>2633130.9175731312</v>
      </c>
      <c r="R146" s="197">
        <f t="shared" ca="1" si="23"/>
        <v>1459769.1292352956</v>
      </c>
      <c r="S146" s="197">
        <f t="shared" ca="1" si="26"/>
        <v>4092900.0468084267</v>
      </c>
    </row>
    <row r="147" spans="8:19" x14ac:dyDescent="0.25">
      <c r="H147" s="191">
        <v>140</v>
      </c>
      <c r="I147" s="198">
        <f t="shared" ca="1" si="18"/>
        <v>-1364556836.7911592</v>
      </c>
      <c r="J147" s="198">
        <f t="shared" ca="1" si="19"/>
        <v>30193690.440412395</v>
      </c>
      <c r="K147" s="198">
        <f t="shared" ca="1" si="20"/>
        <v>-12287260.639313128</v>
      </c>
      <c r="L147" s="193">
        <f t="shared" ca="1" si="21"/>
        <v>17906429.801099267</v>
      </c>
      <c r="O147" s="196">
        <v>144</v>
      </c>
      <c r="P147" s="197">
        <f t="shared" ca="1" si="24"/>
        <v>119736754.75413589</v>
      </c>
      <c r="Q147" s="197">
        <f t="shared" ca="1" si="25"/>
        <v>2663872.7210357971</v>
      </c>
      <c r="R147" s="197">
        <f t="shared" ca="1" si="23"/>
        <v>1429027.3257726294</v>
      </c>
      <c r="S147" s="197">
        <f t="shared" ca="1" si="26"/>
        <v>4092900.0468084267</v>
      </c>
    </row>
    <row r="148" spans="8:19" x14ac:dyDescent="0.25">
      <c r="H148" s="191">
        <v>141</v>
      </c>
      <c r="I148" s="198">
        <f t="shared" ca="1" si="18"/>
        <v>-1395028560.7977104</v>
      </c>
      <c r="J148" s="198">
        <f t="shared" ca="1" si="19"/>
        <v>30471724.006551191</v>
      </c>
      <c r="K148" s="198">
        <f t="shared" ca="1" si="20"/>
        <v>-12565294.205451924</v>
      </c>
      <c r="L148" s="193">
        <f t="shared" ca="1" si="21"/>
        <v>17906429.801099267</v>
      </c>
      <c r="O148" s="196">
        <v>145</v>
      </c>
      <c r="P148" s="197">
        <f t="shared" ca="1" si="24"/>
        <v>117041781.31908201</v>
      </c>
      <c r="Q148" s="197">
        <f t="shared" ca="1" si="25"/>
        <v>2694973.4350538901</v>
      </c>
      <c r="R148" s="197">
        <f t="shared" ca="1" si="23"/>
        <v>1397926.6117545366</v>
      </c>
      <c r="S148" s="197">
        <f t="shared" ca="1" si="26"/>
        <v>4092900.0468084267</v>
      </c>
    </row>
    <row r="149" spans="8:19" x14ac:dyDescent="0.25">
      <c r="H149" s="191">
        <v>142</v>
      </c>
      <c r="I149" s="198">
        <f t="shared" ca="1" si="18"/>
        <v>-1425780878.5961552</v>
      </c>
      <c r="J149" s="198">
        <f t="shared" ca="1" si="19"/>
        <v>30752317.798444852</v>
      </c>
      <c r="K149" s="198">
        <f t="shared" ca="1" si="20"/>
        <v>-12845887.997345584</v>
      </c>
      <c r="L149" s="193">
        <f t="shared" ca="1" si="21"/>
        <v>17906429.801099267</v>
      </c>
      <c r="O149" s="196">
        <v>146</v>
      </c>
      <c r="P149" s="197">
        <f t="shared" ca="1" si="24"/>
        <v>114315344.06917386</v>
      </c>
      <c r="Q149" s="197">
        <f t="shared" ca="1" si="25"/>
        <v>2726437.2499081446</v>
      </c>
      <c r="R149" s="197">
        <f t="shared" ca="1" si="23"/>
        <v>1366462.7969002824</v>
      </c>
      <c r="S149" s="197">
        <f t="shared" ca="1" si="26"/>
        <v>4092900.0468084267</v>
      </c>
    </row>
    <row r="150" spans="8:19" x14ac:dyDescent="0.25">
      <c r="H150" s="191">
        <v>143</v>
      </c>
      <c r="I150" s="198">
        <f t="shared" ca="1" si="18"/>
        <v>-1456816373.9876606</v>
      </c>
      <c r="J150" s="198">
        <f t="shared" ca="1" si="19"/>
        <v>31035495.391505532</v>
      </c>
      <c r="K150" s="198">
        <f t="shared" ca="1" si="20"/>
        <v>-13129065.590406263</v>
      </c>
      <c r="L150" s="193">
        <f t="shared" ca="1" si="21"/>
        <v>17906429.801099267</v>
      </c>
      <c r="O150" s="196">
        <v>147</v>
      </c>
      <c r="P150" s="197">
        <f t="shared" ca="1" si="24"/>
        <v>111557075.66437304</v>
      </c>
      <c r="Q150" s="197">
        <f t="shared" ca="1" si="25"/>
        <v>2758268.404800822</v>
      </c>
      <c r="R150" s="197">
        <f t="shared" ca="1" si="23"/>
        <v>1334631.6420076049</v>
      </c>
      <c r="S150" s="197">
        <f t="shared" ca="1" si="26"/>
        <v>4092900.0468084267</v>
      </c>
    </row>
    <row r="151" spans="8:19" x14ac:dyDescent="0.25">
      <c r="H151" s="191">
        <v>144</v>
      </c>
      <c r="I151" s="198">
        <f t="shared" ca="1" si="18"/>
        <v>-1488137654.5658963</v>
      </c>
      <c r="J151" s="198">
        <f t="shared" ca="1" si="19"/>
        <v>31321280.578235641</v>
      </c>
      <c r="K151" s="198">
        <f t="shared" ca="1" si="20"/>
        <v>-13414850.777136376</v>
      </c>
      <c r="L151" s="193">
        <f t="shared" ca="1" si="21"/>
        <v>17906429.801099267</v>
      </c>
      <c r="O151" s="196">
        <v>148</v>
      </c>
      <c r="P151" s="197">
        <f t="shared" ca="1" si="24"/>
        <v>108766604.47594617</v>
      </c>
      <c r="Q151" s="197">
        <f t="shared" ca="1" si="25"/>
        <v>2790471.1884268718</v>
      </c>
      <c r="R151" s="197">
        <f t="shared" ca="1" si="23"/>
        <v>1302428.8583815552</v>
      </c>
      <c r="S151" s="197">
        <f t="shared" ca="1" si="26"/>
        <v>4092900.0468084267</v>
      </c>
    </row>
    <row r="152" spans="8:19" x14ac:dyDescent="0.25">
      <c r="H152" s="191">
        <v>145</v>
      </c>
      <c r="I152" s="198">
        <f t="shared" ca="1" si="18"/>
        <v>-1519747351.9361231</v>
      </c>
      <c r="J152" s="198">
        <f t="shared" ca="1" si="19"/>
        <v>31609697.370226897</v>
      </c>
      <c r="K152" s="198">
        <f t="shared" ca="1" si="20"/>
        <v>-13703267.569127629</v>
      </c>
      <c r="L152" s="193">
        <f t="shared" ca="1" si="21"/>
        <v>17906429.801099267</v>
      </c>
      <c r="O152" s="196">
        <v>149</v>
      </c>
      <c r="P152" s="197">
        <f t="shared" ca="1" si="24"/>
        <v>105943554.53639442</v>
      </c>
      <c r="Q152" s="197">
        <f t="shared" ca="1" si="25"/>
        <v>2823049.9395517549</v>
      </c>
      <c r="R152" s="197">
        <f t="shared" ca="1" si="23"/>
        <v>1269850.1072566716</v>
      </c>
      <c r="S152" s="197">
        <f t="shared" ca="1" si="26"/>
        <v>4092900.0468084267</v>
      </c>
    </row>
    <row r="153" spans="8:19" x14ac:dyDescent="0.25">
      <c r="H153" s="191">
        <v>146</v>
      </c>
      <c r="I153" s="198">
        <f t="shared" ca="1" si="18"/>
        <v>-1551648121.9363008</v>
      </c>
      <c r="J153" s="198">
        <f t="shared" ca="1" si="19"/>
        <v>31900770.000177734</v>
      </c>
      <c r="K153" s="198">
        <f t="shared" ca="1" si="20"/>
        <v>-13994340.199078469</v>
      </c>
      <c r="L153" s="193">
        <f t="shared" ca="1" si="21"/>
        <v>17906429.801099267</v>
      </c>
      <c r="O153" s="196">
        <v>150</v>
      </c>
      <c r="P153" s="197">
        <f t="shared" ca="1" si="24"/>
        <v>103087545.48879839</v>
      </c>
      <c r="Q153" s="197">
        <f t="shared" ca="1" si="25"/>
        <v>2856009.0475960216</v>
      </c>
      <c r="R153" s="197">
        <f t="shared" ca="1" si="23"/>
        <v>1236890.9992124049</v>
      </c>
      <c r="S153" s="197">
        <f t="shared" ca="1" si="26"/>
        <v>4092900.0468084267</v>
      </c>
    </row>
    <row r="154" spans="8:19" x14ac:dyDescent="0.25">
      <c r="H154" s="191">
        <v>147</v>
      </c>
      <c r="I154" s="198">
        <f t="shared" ca="1" si="18"/>
        <v>-1583842644.8602302</v>
      </c>
      <c r="J154" s="198">
        <f t="shared" ca="1" si="19"/>
        <v>32194522.923929371</v>
      </c>
      <c r="K154" s="198">
        <f t="shared" ca="1" si="20"/>
        <v>-14288093.122830104</v>
      </c>
      <c r="L154" s="193">
        <f t="shared" ca="1" si="21"/>
        <v>17906429.801099267</v>
      </c>
      <c r="O154" s="196">
        <v>151</v>
      </c>
      <c r="P154" s="197">
        <f t="shared" ca="1" si="24"/>
        <v>100198192.53557169</v>
      </c>
      <c r="Q154" s="197">
        <f t="shared" ca="1" si="25"/>
        <v>2889352.9532267051</v>
      </c>
      <c r="R154" s="197">
        <f t="shared" ca="1" si="23"/>
        <v>1203547.0935817214</v>
      </c>
      <c r="S154" s="197">
        <f t="shared" ca="1" si="26"/>
        <v>4092900.0468084267</v>
      </c>
    </row>
    <row r="155" spans="8:19" x14ac:dyDescent="0.25">
      <c r="H155" s="191">
        <v>148</v>
      </c>
      <c r="I155" s="198">
        <f t="shared" ca="1" si="18"/>
        <v>-1616333625.6827507</v>
      </c>
      <c r="J155" s="198">
        <f t="shared" ca="1" si="19"/>
        <v>32490980.822520554</v>
      </c>
      <c r="K155" s="198">
        <f t="shared" ca="1" si="20"/>
        <v>-14584551.021421287</v>
      </c>
      <c r="L155" s="193">
        <f t="shared" ca="1" si="21"/>
        <v>17906429.801099267</v>
      </c>
      <c r="O155" s="196">
        <v>152</v>
      </c>
      <c r="P155" s="197">
        <f t="shared" ca="1" si="24"/>
        <v>97275106.386616066</v>
      </c>
      <c r="Q155" s="197">
        <f t="shared" ca="1" si="25"/>
        <v>2923086.1489556273</v>
      </c>
      <c r="R155" s="197">
        <f t="shared" ca="1" si="23"/>
        <v>1169813.8978527996</v>
      </c>
      <c r="S155" s="197">
        <f t="shared" ca="1" si="26"/>
        <v>4092900.0468084267</v>
      </c>
    </row>
    <row r="156" spans="8:19" x14ac:dyDescent="0.25">
      <c r="H156" s="191">
        <v>149</v>
      </c>
      <c r="I156" s="198">
        <f t="shared" ca="1" si="18"/>
        <v>-1649123794.2870119</v>
      </c>
      <c r="J156" s="198">
        <f t="shared" ca="1" si="19"/>
        <v>32790168.604261264</v>
      </c>
      <c r="K156" s="198">
        <f t="shared" ca="1" si="20"/>
        <v>-14883738.803161997</v>
      </c>
      <c r="L156" s="193">
        <f t="shared" ca="1" si="21"/>
        <v>17906429.801099267</v>
      </c>
      <c r="O156" s="196">
        <v>153</v>
      </c>
      <c r="P156" s="197">
        <f t="shared" ca="1" si="24"/>
        <v>94317893.206871375</v>
      </c>
      <c r="Q156" s="197">
        <f t="shared" ca="1" si="25"/>
        <v>2957213.1797446841</v>
      </c>
      <c r="R156" s="197">
        <f t="shared" ca="1" si="23"/>
        <v>1135686.8670637426</v>
      </c>
      <c r="S156" s="197">
        <f t="shared" ca="1" si="26"/>
        <v>4092900.0468084267</v>
      </c>
    </row>
    <row r="157" spans="8:19" x14ac:dyDescent="0.25">
      <c r="H157" s="191">
        <v>150</v>
      </c>
      <c r="I157" s="198">
        <f t="shared" ca="1" si="18"/>
        <v>-1682215905.6938374</v>
      </c>
      <c r="J157" s="198">
        <f t="shared" ca="1" si="19"/>
        <v>33092111.406825501</v>
      </c>
      <c r="K157" s="198">
        <f t="shared" ca="1" si="20"/>
        <v>-15185681.605726235</v>
      </c>
      <c r="L157" s="193">
        <f t="shared" ca="1" si="21"/>
        <v>17906429.801099267</v>
      </c>
      <c r="O157" s="196">
        <v>154</v>
      </c>
      <c r="P157" s="197">
        <f t="shared" ca="1" si="24"/>
        <v>91326154.563253164</v>
      </c>
      <c r="Q157" s="197">
        <f t="shared" ca="1" si="25"/>
        <v>2991738.6436182037</v>
      </c>
      <c r="R157" s="197">
        <f t="shared" ca="1" si="23"/>
        <v>1101161.4031902233</v>
      </c>
      <c r="S157" s="197">
        <f t="shared" ca="1" si="26"/>
        <v>4092900.0468084267</v>
      </c>
    </row>
    <row r="158" spans="8:19" x14ac:dyDescent="0.25">
      <c r="H158" s="191">
        <v>151</v>
      </c>
      <c r="I158" s="198">
        <f t="shared" ca="1" si="18"/>
        <v>-1715612740.2932007</v>
      </c>
      <c r="J158" s="198">
        <f t="shared" ca="1" si="19"/>
        <v>33396834.599363357</v>
      </c>
      <c r="K158" s="198">
        <f t="shared" ca="1" si="20"/>
        <v>-15490404.798264088</v>
      </c>
      <c r="L158" s="193">
        <f t="shared" ca="1" si="21"/>
        <v>17906429.801099267</v>
      </c>
      <c r="O158" s="196">
        <v>155</v>
      </c>
      <c r="P158" s="197">
        <f t="shared" ca="1" si="24"/>
        <v>88299487.370970726</v>
      </c>
      <c r="Q158" s="197">
        <f t="shared" ca="1" si="25"/>
        <v>3026667.1922824457</v>
      </c>
      <c r="R158" s="197">
        <f t="shared" ca="1" si="23"/>
        <v>1066232.8545259808</v>
      </c>
      <c r="S158" s="197">
        <f t="shared" ca="1" si="26"/>
        <v>4092900.0468084267</v>
      </c>
    </row>
    <row r="159" spans="8:19" x14ac:dyDescent="0.25">
      <c r="H159" s="191">
        <v>152</v>
      </c>
      <c r="I159" s="198">
        <f t="shared" ca="1" si="18"/>
        <v>-1749317104.0778332</v>
      </c>
      <c r="J159" s="198">
        <f t="shared" ca="1" si="19"/>
        <v>33704363.784632489</v>
      </c>
      <c r="K159" s="198">
        <f t="shared" ca="1" si="20"/>
        <v>-15797933.983533224</v>
      </c>
      <c r="L159" s="193">
        <f t="shared" ca="1" si="21"/>
        <v>17906429.801099267</v>
      </c>
      <c r="O159" s="196">
        <v>156</v>
      </c>
      <c r="P159" s="197">
        <f t="shared" ca="1" si="24"/>
        <v>85237483.839218378</v>
      </c>
      <c r="Q159" s="197">
        <f t="shared" ca="1" si="25"/>
        <v>3062003.5317523433</v>
      </c>
      <c r="R159" s="197">
        <f t="shared" ca="1" si="23"/>
        <v>1030896.5150560833</v>
      </c>
      <c r="S159" s="197">
        <f t="shared" ca="1" si="26"/>
        <v>4092900.0468084267</v>
      </c>
    </row>
    <row r="160" spans="8:19" x14ac:dyDescent="0.25">
      <c r="H160" s="191">
        <v>153</v>
      </c>
      <c r="I160" s="198">
        <f t="shared" ref="I160:I223" ca="1" si="27">I159-J160</f>
        <v>-1783331828.8789825</v>
      </c>
      <c r="J160" s="198">
        <f t="shared" ref="J160:J223" ca="1" si="28">L160-K160</f>
        <v>34014724.801149316</v>
      </c>
      <c r="K160" s="198">
        <f t="shared" ref="K160:K223" ca="1" si="29">$C$63/12*I159</f>
        <v>-16108295.000050047</v>
      </c>
      <c r="L160" s="193">
        <f t="shared" ref="L160:L223" ca="1" si="30">L159</f>
        <v>17906429.801099267</v>
      </c>
      <c r="O160" s="196">
        <v>157</v>
      </c>
      <c r="P160" s="197">
        <f t="shared" ca="1" si="24"/>
        <v>82139731.416232824</v>
      </c>
      <c r="Q160" s="197">
        <f t="shared" ca="1" si="25"/>
        <v>3097752.4229855523</v>
      </c>
      <c r="R160" s="197">
        <f t="shared" ca="1" si="23"/>
        <v>995147.62382287451</v>
      </c>
      <c r="S160" s="197">
        <f t="shared" ca="1" si="26"/>
        <v>4092900.0468084267</v>
      </c>
    </row>
    <row r="161" spans="8:19" x14ac:dyDescent="0.25">
      <c r="H161" s="191">
        <v>154</v>
      </c>
      <c r="I161" s="198">
        <f t="shared" ca="1" si="27"/>
        <v>-1817659772.6043425</v>
      </c>
      <c r="J161" s="198">
        <f t="shared" ca="1" si="28"/>
        <v>34327943.725359902</v>
      </c>
      <c r="K161" s="198">
        <f t="shared" ca="1" si="29"/>
        <v>-16421513.924260631</v>
      </c>
      <c r="L161" s="193">
        <f t="shared" ca="1" si="30"/>
        <v>17906429.801099267</v>
      </c>
      <c r="O161" s="196">
        <v>158</v>
      </c>
      <c r="P161" s="197">
        <f t="shared" ca="1" si="24"/>
        <v>79005812.733708918</v>
      </c>
      <c r="Q161" s="197">
        <f t="shared" ca="1" si="25"/>
        <v>3133918.6825239086</v>
      </c>
      <c r="R161" s="197">
        <f t="shared" ca="1" si="23"/>
        <v>958981.36428451817</v>
      </c>
      <c r="S161" s="197">
        <f t="shared" ca="1" si="26"/>
        <v>4092900.0468084267</v>
      </c>
    </row>
    <row r="162" spans="8:19" x14ac:dyDescent="0.25">
      <c r="H162" s="191">
        <v>155</v>
      </c>
      <c r="I162" s="198">
        <f t="shared" ca="1" si="27"/>
        <v>-1852303819.4781735</v>
      </c>
      <c r="J162" s="198">
        <f t="shared" ca="1" si="28"/>
        <v>34644046.873830922</v>
      </c>
      <c r="K162" s="198">
        <f t="shared" ca="1" si="29"/>
        <v>-16737617.072731655</v>
      </c>
      <c r="L162" s="193">
        <f t="shared" ca="1" si="30"/>
        <v>17906429.801099267</v>
      </c>
      <c r="O162" s="196">
        <v>159</v>
      </c>
      <c r="P162" s="197">
        <f t="shared" ca="1" si="24"/>
        <v>75835305.550566539</v>
      </c>
      <c r="Q162" s="197">
        <f t="shared" ca="1" si="25"/>
        <v>3170507.1831423752</v>
      </c>
      <c r="R162" s="197">
        <f t="shared" ca="1" si="23"/>
        <v>922392.86366605165</v>
      </c>
      <c r="S162" s="197">
        <f t="shared" ca="1" si="26"/>
        <v>4092900.0468084267</v>
      </c>
    </row>
    <row r="163" spans="8:19" x14ac:dyDescent="0.25">
      <c r="H163" s="191">
        <v>156</v>
      </c>
      <c r="I163" s="198">
        <f t="shared" ca="1" si="27"/>
        <v>-1887266880.2836342</v>
      </c>
      <c r="J163" s="198">
        <f t="shared" ca="1" si="28"/>
        <v>34963060.805460781</v>
      </c>
      <c r="K163" s="198">
        <f t="shared" ca="1" si="29"/>
        <v>-17056631.004361514</v>
      </c>
      <c r="L163" s="193">
        <f t="shared" ca="1" si="30"/>
        <v>17906429.801099267</v>
      </c>
      <c r="O163" s="196">
        <v>160</v>
      </c>
      <c r="P163" s="197">
        <f t="shared" ca="1" si="24"/>
        <v>72627782.69606097</v>
      </c>
      <c r="Q163" s="197">
        <f t="shared" ca="1" si="25"/>
        <v>3207522.8545055622</v>
      </c>
      <c r="R163" s="197">
        <f t="shared" ca="1" si="23"/>
        <v>885377.19230286439</v>
      </c>
      <c r="S163" s="197">
        <f t="shared" ca="1" si="26"/>
        <v>4092900.0468084267</v>
      </c>
    </row>
    <row r="164" spans="8:19" x14ac:dyDescent="0.25">
      <c r="H164" s="191">
        <v>157</v>
      </c>
      <c r="I164" s="198">
        <f t="shared" ca="1" si="27"/>
        <v>-1922551892.6073453</v>
      </c>
      <c r="J164" s="198">
        <f t="shared" ca="1" si="28"/>
        <v>35285012.323711067</v>
      </c>
      <c r="K164" s="198">
        <f t="shared" ca="1" si="29"/>
        <v>-17378582.522611801</v>
      </c>
      <c r="L164" s="193">
        <f t="shared" ca="1" si="30"/>
        <v>17906429.801099267</v>
      </c>
      <c r="O164" s="196">
        <v>161</v>
      </c>
      <c r="P164" s="197">
        <f t="shared" ca="1" si="24"/>
        <v>69382812.012229055</v>
      </c>
      <c r="Q164" s="197">
        <f t="shared" ca="1" si="25"/>
        <v>3244970.6838319148</v>
      </c>
      <c r="R164" s="197">
        <f t="shared" ref="R164:R183" ca="1" si="31">IF(O164&lt;=$C$9,P163*$V$6/12,P163*$V$16/12)</f>
        <v>847929.36297651182</v>
      </c>
      <c r="S164" s="197">
        <f t="shared" ca="1" si="26"/>
        <v>4092900.0468084267</v>
      </c>
    </row>
    <row r="165" spans="8:19" x14ac:dyDescent="0.25">
      <c r="H165" s="191">
        <v>158</v>
      </c>
      <c r="I165" s="198">
        <f t="shared" ca="1" si="27"/>
        <v>-1958161821.0862038</v>
      </c>
      <c r="J165" s="198">
        <f t="shared" ca="1" si="28"/>
        <v>35609928.478858575</v>
      </c>
      <c r="K165" s="198">
        <f t="shared" ca="1" si="29"/>
        <v>-17703498.677759305</v>
      </c>
      <c r="L165" s="193">
        <f t="shared" ca="1" si="30"/>
        <v>17906429.801099267</v>
      </c>
      <c r="O165" s="196">
        <v>162</v>
      </c>
      <c r="P165" s="197">
        <f t="shared" ca="1" si="24"/>
        <v>66099956.295663401</v>
      </c>
      <c r="Q165" s="197">
        <f t="shared" ca="1" si="25"/>
        <v>3282855.7165656523</v>
      </c>
      <c r="R165" s="197">
        <f t="shared" ca="1" si="31"/>
        <v>810044.33024277433</v>
      </c>
      <c r="S165" s="197">
        <f t="shared" ca="1" si="26"/>
        <v>4092900.0468084267</v>
      </c>
    </row>
    <row r="166" spans="8:19" x14ac:dyDescent="0.25">
      <c r="H166" s="191">
        <v>159</v>
      </c>
      <c r="I166" s="198">
        <f t="shared" ca="1" si="27"/>
        <v>-1994099657.656472</v>
      </c>
      <c r="J166" s="198">
        <f t="shared" ca="1" si="28"/>
        <v>35937836.570268065</v>
      </c>
      <c r="K166" s="198">
        <f t="shared" ca="1" si="29"/>
        <v>-18031406.769168794</v>
      </c>
      <c r="L166" s="193">
        <f t="shared" ca="1" si="30"/>
        <v>17906429.801099267</v>
      </c>
      <c r="O166" s="196">
        <v>163</v>
      </c>
      <c r="P166" s="197">
        <f t="shared" ca="1" si="24"/>
        <v>62778773.238606848</v>
      </c>
      <c r="Q166" s="197">
        <f t="shared" ca="1" si="25"/>
        <v>3321183.0570565565</v>
      </c>
      <c r="R166" s="197">
        <f t="shared" ca="1" si="31"/>
        <v>771716.98975187028</v>
      </c>
      <c r="S166" s="197">
        <f t="shared" ca="1" si="26"/>
        <v>4092900.0468084267</v>
      </c>
    </row>
    <row r="167" spans="8:19" x14ac:dyDescent="0.25">
      <c r="H167" s="191">
        <v>160</v>
      </c>
      <c r="I167" s="198">
        <f t="shared" ca="1" si="27"/>
        <v>-2030368421.8051579</v>
      </c>
      <c r="J167" s="198">
        <f t="shared" ca="1" si="28"/>
        <v>36268764.148685947</v>
      </c>
      <c r="K167" s="198">
        <f t="shared" ca="1" si="29"/>
        <v>-18362334.34758668</v>
      </c>
      <c r="L167" s="193">
        <f t="shared" ca="1" si="30"/>
        <v>17906429.801099267</v>
      </c>
      <c r="O167" s="196">
        <v>164</v>
      </c>
      <c r="P167" s="197">
        <f t="shared" ca="1" si="24"/>
        <v>59418815.369359158</v>
      </c>
      <c r="Q167" s="197">
        <f t="shared" ca="1" si="25"/>
        <v>3359957.8692476917</v>
      </c>
      <c r="R167" s="197">
        <f t="shared" ca="1" si="31"/>
        <v>732942.17756073503</v>
      </c>
      <c r="S167" s="197">
        <f t="shared" ca="1" si="26"/>
        <v>4092900.0468084267</v>
      </c>
    </row>
    <row r="168" spans="8:19" x14ac:dyDescent="0.25">
      <c r="H168" s="191">
        <v>161</v>
      </c>
      <c r="I168" s="198">
        <f t="shared" ca="1" si="27"/>
        <v>-2066971160.8237131</v>
      </c>
      <c r="J168" s="198">
        <f t="shared" ca="1" si="28"/>
        <v>36602739.018555097</v>
      </c>
      <c r="K168" s="198">
        <f t="shared" ca="1" si="29"/>
        <v>-18696309.21745583</v>
      </c>
      <c r="L168" s="193">
        <f t="shared" ca="1" si="30"/>
        <v>17906429.801099267</v>
      </c>
      <c r="O168" s="196">
        <v>165</v>
      </c>
      <c r="P168" s="197">
        <f t="shared" ca="1" si="24"/>
        <v>56019629.991988003</v>
      </c>
      <c r="Q168" s="197">
        <f t="shared" ca="1" si="25"/>
        <v>3399185.3773711585</v>
      </c>
      <c r="R168" s="197">
        <f t="shared" ca="1" si="31"/>
        <v>693714.66943726817</v>
      </c>
      <c r="S168" s="197">
        <f t="shared" ca="1" si="26"/>
        <v>4092900.0468084267</v>
      </c>
    </row>
    <row r="169" spans="8:19" x14ac:dyDescent="0.25">
      <c r="H169" s="191">
        <v>162</v>
      </c>
      <c r="I169" s="198">
        <f t="shared" ca="1" si="27"/>
        <v>-2103910950.064064</v>
      </c>
      <c r="J169" s="198">
        <f t="shared" ca="1" si="28"/>
        <v>36939789.240350962</v>
      </c>
      <c r="K169" s="198">
        <f t="shared" ca="1" si="29"/>
        <v>-19033359.439251691</v>
      </c>
      <c r="L169" s="193">
        <f t="shared" ca="1" si="30"/>
        <v>17906429.801099267</v>
      </c>
      <c r="O169" s="196">
        <v>166</v>
      </c>
      <c r="P169" s="197">
        <f t="shared" ca="1" si="24"/>
        <v>52580759.125336036</v>
      </c>
      <c r="Q169" s="197">
        <f t="shared" ca="1" si="25"/>
        <v>3438870.8666519667</v>
      </c>
      <c r="R169" s="197">
        <f t="shared" ca="1" si="31"/>
        <v>654029.18015645992</v>
      </c>
      <c r="S169" s="197">
        <f t="shared" ca="1" si="26"/>
        <v>4092900.0468084267</v>
      </c>
    </row>
    <row r="170" spans="8:19" x14ac:dyDescent="0.25">
      <c r="H170" s="191">
        <v>163</v>
      </c>
      <c r="I170" s="198">
        <f t="shared" ca="1" si="27"/>
        <v>-2141190893.1970031</v>
      </c>
      <c r="J170" s="198">
        <f t="shared" ca="1" si="28"/>
        <v>37279943.13293919</v>
      </c>
      <c r="K170" s="198">
        <f t="shared" ca="1" si="29"/>
        <v>-19373513.331839923</v>
      </c>
      <c r="L170" s="193">
        <f t="shared" ca="1" si="30"/>
        <v>17906429.801099267</v>
      </c>
      <c r="O170" s="196">
        <v>167</v>
      </c>
      <c r="P170" s="197">
        <f t="shared" ca="1" si="24"/>
        <v>49101739.441315904</v>
      </c>
      <c r="Q170" s="197">
        <f t="shared" ca="1" si="25"/>
        <v>3479019.6840201286</v>
      </c>
      <c r="R170" s="197">
        <f t="shared" ca="1" si="31"/>
        <v>613880.36278829828</v>
      </c>
      <c r="S170" s="197">
        <f t="shared" ca="1" si="26"/>
        <v>4092900.0468084267</v>
      </c>
    </row>
    <row r="171" spans="8:19" x14ac:dyDescent="0.25">
      <c r="H171" s="191">
        <v>164</v>
      </c>
      <c r="I171" s="198">
        <f t="shared" ca="1" si="27"/>
        <v>-2178814122.4729581</v>
      </c>
      <c r="J171" s="198">
        <f t="shared" ca="1" si="28"/>
        <v>37623229.275955006</v>
      </c>
      <c r="K171" s="198">
        <f t="shared" ca="1" si="29"/>
        <v>-19716799.47485574</v>
      </c>
      <c r="L171" s="193">
        <f t="shared" ca="1" si="30"/>
        <v>17906429.801099267</v>
      </c>
      <c r="O171" s="196">
        <v>168</v>
      </c>
      <c r="P171" s="197">
        <f t="shared" ca="1" si="24"/>
        <v>45582102.202484839</v>
      </c>
      <c r="Q171" s="197">
        <f t="shared" ca="1" si="25"/>
        <v>3519637.2388310637</v>
      </c>
      <c r="R171" s="197">
        <f t="shared" ca="1" si="31"/>
        <v>573262.80797736312</v>
      </c>
      <c r="S171" s="197">
        <f t="shared" ca="1" si="26"/>
        <v>4092900.0468084267</v>
      </c>
    </row>
    <row r="172" spans="8:19" x14ac:dyDescent="0.25">
      <c r="H172" s="191">
        <v>165</v>
      </c>
      <c r="I172" s="198">
        <f t="shared" ca="1" si="27"/>
        <v>-2216783798.9851627</v>
      </c>
      <c r="J172" s="198">
        <f t="shared" ca="1" si="28"/>
        <v>37969676.512204424</v>
      </c>
      <c r="K172" s="198">
        <f t="shared" ca="1" si="29"/>
        <v>-20063246.711105157</v>
      </c>
      <c r="L172" s="193">
        <f t="shared" ca="1" si="30"/>
        <v>17906429.801099267</v>
      </c>
      <c r="O172" s="196">
        <v>169</v>
      </c>
      <c r="P172" s="197">
        <f t="shared" ca="1" si="24"/>
        <v>42021373.198890425</v>
      </c>
      <c r="Q172" s="197">
        <f t="shared" ca="1" si="25"/>
        <v>3560729.0035944162</v>
      </c>
      <c r="R172" s="197">
        <f t="shared" ca="1" si="31"/>
        <v>532171.04321401042</v>
      </c>
      <c r="S172" s="197">
        <f t="shared" ca="1" si="26"/>
        <v>4092900.0468084267</v>
      </c>
    </row>
    <row r="173" spans="8:19" x14ac:dyDescent="0.25">
      <c r="H173" s="191">
        <v>166</v>
      </c>
      <c r="I173" s="198">
        <f t="shared" ca="1" si="27"/>
        <v>-2255103112.9352503</v>
      </c>
      <c r="J173" s="198">
        <f t="shared" ca="1" si="28"/>
        <v>38319313.950087637</v>
      </c>
      <c r="K173" s="198">
        <f t="shared" ca="1" si="29"/>
        <v>-20412884.148988374</v>
      </c>
      <c r="L173" s="193">
        <f t="shared" ca="1" si="30"/>
        <v>17906429.801099267</v>
      </c>
      <c r="O173" s="196">
        <v>170</v>
      </c>
      <c r="P173" s="197">
        <f t="shared" ca="1" si="24"/>
        <v>38419072.684179045</v>
      </c>
      <c r="Q173" s="197">
        <f t="shared" ca="1" si="25"/>
        <v>3602300.5147113809</v>
      </c>
      <c r="R173" s="197">
        <f t="shared" ca="1" si="31"/>
        <v>490599.53209704574</v>
      </c>
      <c r="S173" s="197">
        <f t="shared" ca="1" si="26"/>
        <v>4092900.0468084267</v>
      </c>
    </row>
    <row r="174" spans="8:19" x14ac:dyDescent="0.25">
      <c r="H174" s="191">
        <v>167</v>
      </c>
      <c r="I174" s="198">
        <f t="shared" ca="1" si="27"/>
        <v>-2293775283.9012952</v>
      </c>
      <c r="J174" s="198">
        <f t="shared" ca="1" si="28"/>
        <v>38672170.966044694</v>
      </c>
      <c r="K174" s="198">
        <f t="shared" ca="1" si="29"/>
        <v>-20765741.164945431</v>
      </c>
      <c r="L174" s="193">
        <f t="shared" ca="1" si="30"/>
        <v>17906429.801099267</v>
      </c>
      <c r="O174" s="196">
        <v>171</v>
      </c>
      <c r="P174" s="197">
        <f t="shared" ca="1" si="24"/>
        <v>34774715.310958408</v>
      </c>
      <c r="Q174" s="197">
        <f t="shared" ca="1" si="25"/>
        <v>3644357.3732206365</v>
      </c>
      <c r="R174" s="197">
        <f t="shared" ca="1" si="31"/>
        <v>448542.6735877904</v>
      </c>
      <c r="S174" s="197">
        <f t="shared" ca="1" si="26"/>
        <v>4092900.0468084267</v>
      </c>
    </row>
    <row r="175" spans="8:19" x14ac:dyDescent="0.25">
      <c r="H175" s="191">
        <v>168</v>
      </c>
      <c r="I175" s="198">
        <f t="shared" ca="1" si="27"/>
        <v>-2332803561.1083188</v>
      </c>
      <c r="J175" s="198">
        <f t="shared" ca="1" si="28"/>
        <v>39028277.207023695</v>
      </c>
      <c r="K175" s="198">
        <f t="shared" ca="1" si="29"/>
        <v>-21121847.405924428</v>
      </c>
      <c r="L175" s="193">
        <f t="shared" ca="1" si="30"/>
        <v>17906429.801099267</v>
      </c>
      <c r="O175" s="196">
        <v>172</v>
      </c>
      <c r="P175" s="197">
        <f t="shared" ca="1" si="24"/>
        <v>31087810.065405421</v>
      </c>
      <c r="Q175" s="197">
        <f t="shared" ca="1" si="25"/>
        <v>3686905.2455529873</v>
      </c>
      <c r="R175" s="197">
        <f t="shared" ca="1" si="31"/>
        <v>405994.80125543941</v>
      </c>
      <c r="S175" s="197">
        <f t="shared" ca="1" si="26"/>
        <v>4092900.0468084267</v>
      </c>
    </row>
    <row r="176" spans="8:19" x14ac:dyDescent="0.25">
      <c r="H176" s="191">
        <v>169</v>
      </c>
      <c r="I176" s="198">
        <f t="shared" ca="1" si="27"/>
        <v>-2372191223.7012906</v>
      </c>
      <c r="J176" s="198">
        <f t="shared" ca="1" si="28"/>
        <v>39387662.592971705</v>
      </c>
      <c r="K176" s="198">
        <f t="shared" ca="1" si="29"/>
        <v>-21481232.791872438</v>
      </c>
      <c r="L176" s="193">
        <f t="shared" ca="1" si="30"/>
        <v>17906429.801099267</v>
      </c>
      <c r="O176" s="196">
        <v>173</v>
      </c>
      <c r="P176" s="197">
        <f t="shared" ca="1" si="24"/>
        <v>27357860.201110601</v>
      </c>
      <c r="Q176" s="197">
        <f t="shared" ca="1" si="25"/>
        <v>3729949.8642948186</v>
      </c>
      <c r="R176" s="197">
        <f t="shared" ca="1" si="31"/>
        <v>362950.18251360831</v>
      </c>
      <c r="S176" s="197">
        <f t="shared" ca="1" si="26"/>
        <v>4092900.0468084267</v>
      </c>
    </row>
    <row r="177" spans="8:19" x14ac:dyDescent="0.25">
      <c r="H177" s="191">
        <v>170</v>
      </c>
      <c r="I177" s="198">
        <f t="shared" ca="1" si="27"/>
        <v>-2411941581.0206394</v>
      </c>
      <c r="J177" s="198">
        <f t="shared" ca="1" si="28"/>
        <v>39750357.319348648</v>
      </c>
      <c r="K177" s="198">
        <f t="shared" ca="1" si="29"/>
        <v>-21843927.518249385</v>
      </c>
      <c r="L177" s="193">
        <f t="shared" ca="1" si="30"/>
        <v>17906429.801099267</v>
      </c>
      <c r="O177" s="196">
        <v>174</v>
      </c>
      <c r="P177" s="197">
        <f t="shared" ca="1" si="24"/>
        <v>23584363.172150142</v>
      </c>
      <c r="Q177" s="197">
        <f t="shared" ca="1" si="25"/>
        <v>3773497.0289604603</v>
      </c>
      <c r="R177" s="197">
        <f t="shared" ca="1" si="31"/>
        <v>319403.01784796629</v>
      </c>
      <c r="S177" s="197">
        <f t="shared" ca="1" si="26"/>
        <v>4092900.0468084267</v>
      </c>
    </row>
    <row r="178" spans="8:19" x14ac:dyDescent="0.25">
      <c r="H178" s="191">
        <v>171</v>
      </c>
      <c r="I178" s="198">
        <f t="shared" ca="1" si="27"/>
        <v>-2452057972.8803039</v>
      </c>
      <c r="J178" s="198">
        <f t="shared" ca="1" si="28"/>
        <v>40116391.859664321</v>
      </c>
      <c r="K178" s="198">
        <f t="shared" ca="1" si="29"/>
        <v>-22209962.058565058</v>
      </c>
      <c r="L178" s="193">
        <f t="shared" ca="1" si="30"/>
        <v>17906429.801099267</v>
      </c>
      <c r="O178" s="196">
        <v>175</v>
      </c>
      <c r="P178" s="197">
        <f t="shared" ca="1" si="24"/>
        <v>19766810.565376569</v>
      </c>
      <c r="Q178" s="197">
        <f t="shared" ca="1" si="25"/>
        <v>3817552.6067735739</v>
      </c>
      <c r="R178" s="197">
        <f t="shared" ca="1" si="31"/>
        <v>275347.44003485289</v>
      </c>
      <c r="S178" s="197">
        <f t="shared" ca="1" si="26"/>
        <v>4092900.0468084267</v>
      </c>
    </row>
    <row r="179" spans="8:19" x14ac:dyDescent="0.25">
      <c r="H179" s="191">
        <v>172</v>
      </c>
      <c r="I179" s="198">
        <f t="shared" ca="1" si="27"/>
        <v>-2492543769.8483424</v>
      </c>
      <c r="J179" s="198">
        <f t="shared" ca="1" si="28"/>
        <v>40485796.968038738</v>
      </c>
      <c r="K179" s="198">
        <f t="shared" ca="1" si="29"/>
        <v>-22579367.166939467</v>
      </c>
      <c r="L179" s="193">
        <f t="shared" ca="1" si="30"/>
        <v>17906429.801099267</v>
      </c>
      <c r="O179" s="196">
        <v>176</v>
      </c>
      <c r="P179" s="197">
        <f t="shared" ca="1" si="24"/>
        <v>15904688.031918913</v>
      </c>
      <c r="Q179" s="197">
        <f t="shared" ca="1" si="25"/>
        <v>3862122.5334576555</v>
      </c>
      <c r="R179" s="197">
        <f t="shared" ca="1" si="31"/>
        <v>230777.51335077142</v>
      </c>
      <c r="S179" s="197">
        <f t="shared" ca="1" si="26"/>
        <v>4092900.0468084267</v>
      </c>
    </row>
    <row r="180" spans="8:19" x14ac:dyDescent="0.25">
      <c r="H180" s="191">
        <v>173</v>
      </c>
      <c r="I180" s="198">
        <f t="shared" ca="1" si="27"/>
        <v>-2533402373.5301285</v>
      </c>
      <c r="J180" s="198">
        <f t="shared" ca="1" si="28"/>
        <v>40858603.68178609</v>
      </c>
      <c r="K180" s="198">
        <f t="shared" ca="1" si="29"/>
        <v>-22952173.880686823</v>
      </c>
      <c r="L180" s="193">
        <f t="shared" ca="1" si="30"/>
        <v>17906429.801099267</v>
      </c>
      <c r="O180" s="196">
        <v>177</v>
      </c>
      <c r="P180" s="197">
        <f t="shared" ca="1" si="24"/>
        <v>11997475.21788314</v>
      </c>
      <c r="Q180" s="197">
        <f t="shared" ca="1" si="25"/>
        <v>3907212.8140357733</v>
      </c>
      <c r="R180" s="197">
        <f t="shared" ca="1" si="31"/>
        <v>185687.23277265331</v>
      </c>
      <c r="S180" s="197">
        <f t="shared" ca="1" si="26"/>
        <v>4092900.0468084267</v>
      </c>
    </row>
    <row r="181" spans="8:19" x14ac:dyDescent="0.25">
      <c r="H181" s="191">
        <v>174</v>
      </c>
      <c r="I181" s="198">
        <f t="shared" ca="1" si="27"/>
        <v>-2574637216.8541508</v>
      </c>
      <c r="J181" s="198">
        <f t="shared" ca="1" si="28"/>
        <v>41234843.324022532</v>
      </c>
      <c r="K181" s="198">
        <f t="shared" ca="1" si="29"/>
        <v>-23328413.522923268</v>
      </c>
      <c r="L181" s="193">
        <f t="shared" ca="1" si="30"/>
        <v>17906429.801099267</v>
      </c>
      <c r="O181" s="196">
        <v>178</v>
      </c>
      <c r="P181" s="197">
        <f t="shared" ca="1" si="24"/>
        <v>8044645.6942434981</v>
      </c>
      <c r="Q181" s="197">
        <f t="shared" ca="1" si="25"/>
        <v>3952829.5236396412</v>
      </c>
      <c r="R181" s="197">
        <f t="shared" ca="1" si="31"/>
        <v>140070.52316878564</v>
      </c>
      <c r="S181" s="197">
        <f t="shared" ca="1" si="26"/>
        <v>4092900.0468084267</v>
      </c>
    </row>
    <row r="182" spans="8:19" x14ac:dyDescent="0.25">
      <c r="H182" s="191">
        <v>175</v>
      </c>
      <c r="I182" s="198">
        <f t="shared" ca="1" si="27"/>
        <v>-2616251764.3604488</v>
      </c>
      <c r="J182" s="198">
        <f t="shared" ca="1" si="28"/>
        <v>41614547.506297909</v>
      </c>
      <c r="K182" s="198">
        <f t="shared" ca="1" si="29"/>
        <v>-23708117.705198642</v>
      </c>
      <c r="L182" s="193">
        <f t="shared" ca="1" si="30"/>
        <v>17906429.801099267</v>
      </c>
      <c r="O182" s="196">
        <v>179</v>
      </c>
      <c r="P182" s="197">
        <f t="shared" ca="1" si="24"/>
        <v>4045666.8859153641</v>
      </c>
      <c r="Q182" s="197">
        <f t="shared" ca="1" si="25"/>
        <v>3998978.808328134</v>
      </c>
      <c r="R182" s="197">
        <f t="shared" ca="1" si="31"/>
        <v>93921.238480292843</v>
      </c>
      <c r="S182" s="197">
        <f t="shared" ca="1" si="26"/>
        <v>4092900.0468084267</v>
      </c>
    </row>
    <row r="183" spans="8:19" x14ac:dyDescent="0.25">
      <c r="H183" s="191">
        <v>176</v>
      </c>
      <c r="I183" s="198">
        <f t="shared" ca="1" si="27"/>
        <v>-2658249512.4917006</v>
      </c>
      <c r="J183" s="198">
        <f t="shared" ca="1" si="28"/>
        <v>41997748.131251737</v>
      </c>
      <c r="K183" s="198">
        <f t="shared" ca="1" si="29"/>
        <v>-24091318.330152467</v>
      </c>
      <c r="L183" s="193">
        <f t="shared" ca="1" si="30"/>
        <v>17906429.801099267</v>
      </c>
      <c r="O183" s="196">
        <v>180</v>
      </c>
      <c r="P183" s="197">
        <f t="shared" ca="1" si="24"/>
        <v>0</v>
      </c>
      <c r="Q183" s="197">
        <f t="shared" ca="1" si="25"/>
        <v>4045666.8859153651</v>
      </c>
      <c r="R183" s="197">
        <f t="shared" ca="1" si="31"/>
        <v>47233.160893061875</v>
      </c>
      <c r="S183" s="197">
        <f t="shared" ca="1" si="26"/>
        <v>4092900.0468084267</v>
      </c>
    </row>
    <row r="184" spans="8:19" x14ac:dyDescent="0.25">
      <c r="H184" s="191">
        <v>177</v>
      </c>
      <c r="I184" s="198">
        <f t="shared" ca="1" si="27"/>
        <v>-2700633989.8869944</v>
      </c>
      <c r="J184" s="198">
        <f t="shared" ca="1" si="28"/>
        <v>42384477.395293683</v>
      </c>
      <c r="K184" s="198">
        <f t="shared" ca="1" si="29"/>
        <v>-24478047.594194412</v>
      </c>
      <c r="L184" s="193">
        <f t="shared" ca="1" si="30"/>
        <v>17906429.801099267</v>
      </c>
      <c r="O184" s="196">
        <v>181</v>
      </c>
      <c r="P184" s="197">
        <f t="shared" ref="P184:P243" ca="1" si="32">P183-Q184</f>
        <v>0</v>
      </c>
      <c r="Q184" s="197">
        <f t="shared" ref="Q184:Q243" ca="1" si="33">S184-R184</f>
        <v>0</v>
      </c>
      <c r="R184" s="197">
        <f t="shared" ref="R184:R243" ca="1" si="34">IF(O184&lt;=$C$9,P183*$V$6/12,P183*$V$16/12)</f>
        <v>0</v>
      </c>
      <c r="S184" s="197">
        <f t="shared" ref="S184:S243" si="35">IFERROR(IF(O184&lt;=$C$8,IF(O184&lt;=$C$9,$V$7,$V$17),0),0)</f>
        <v>0</v>
      </c>
    </row>
    <row r="185" spans="8:19" x14ac:dyDescent="0.25">
      <c r="H185" s="191">
        <v>178</v>
      </c>
      <c r="I185" s="198">
        <f t="shared" ca="1" si="27"/>
        <v>-2743408757.6783032</v>
      </c>
      <c r="J185" s="198">
        <f t="shared" ca="1" si="28"/>
        <v>42774767.791308671</v>
      </c>
      <c r="K185" s="198">
        <f t="shared" ca="1" si="29"/>
        <v>-24868337.990209408</v>
      </c>
      <c r="L185" s="193">
        <f t="shared" ca="1" si="30"/>
        <v>17906429.801099267</v>
      </c>
      <c r="O185" s="196">
        <v>182</v>
      </c>
      <c r="P185" s="197">
        <f t="shared" ca="1" si="32"/>
        <v>0</v>
      </c>
      <c r="Q185" s="197">
        <f t="shared" ca="1" si="33"/>
        <v>0</v>
      </c>
      <c r="R185" s="197">
        <f t="shared" ca="1" si="34"/>
        <v>0</v>
      </c>
      <c r="S185" s="197">
        <f t="shared" si="35"/>
        <v>0</v>
      </c>
    </row>
    <row r="186" spans="8:19" x14ac:dyDescent="0.25">
      <c r="H186" s="191">
        <v>179</v>
      </c>
      <c r="I186" s="198">
        <f t="shared" ca="1" si="27"/>
        <v>-2786577409.78969</v>
      </c>
      <c r="J186" s="198">
        <f t="shared" ca="1" si="28"/>
        <v>43168652.111386977</v>
      </c>
      <c r="K186" s="198">
        <f t="shared" ca="1" si="29"/>
        <v>-25262222.31028771</v>
      </c>
      <c r="L186" s="193">
        <f t="shared" ca="1" si="30"/>
        <v>17906429.801099267</v>
      </c>
      <c r="O186" s="196">
        <v>183</v>
      </c>
      <c r="P186" s="197">
        <f t="shared" ca="1" si="32"/>
        <v>0</v>
      </c>
      <c r="Q186" s="197">
        <f t="shared" ca="1" si="33"/>
        <v>0</v>
      </c>
      <c r="R186" s="197">
        <f t="shared" ca="1" si="34"/>
        <v>0</v>
      </c>
      <c r="S186" s="197">
        <f t="shared" si="35"/>
        <v>0</v>
      </c>
    </row>
    <row r="187" spans="8:19" x14ac:dyDescent="0.25">
      <c r="H187" s="191">
        <v>180</v>
      </c>
      <c r="I187" s="209">
        <f t="shared" ca="1" si="27"/>
        <v>-2830143573.2392693</v>
      </c>
      <c r="J187" s="198">
        <f t="shared" ca="1" si="28"/>
        <v>43566163.449579328</v>
      </c>
      <c r="K187" s="198">
        <f t="shared" ca="1" si="29"/>
        <v>-25659733.648480065</v>
      </c>
      <c r="L187" s="193">
        <f t="shared" ca="1" si="30"/>
        <v>17906429.801099267</v>
      </c>
      <c r="O187" s="196">
        <v>184</v>
      </c>
      <c r="P187" s="197">
        <f t="shared" ca="1" si="32"/>
        <v>0</v>
      </c>
      <c r="Q187" s="197">
        <f t="shared" ca="1" si="33"/>
        <v>0</v>
      </c>
      <c r="R187" s="197">
        <f t="shared" ca="1" si="34"/>
        <v>0</v>
      </c>
      <c r="S187" s="197">
        <f t="shared" si="35"/>
        <v>0</v>
      </c>
    </row>
    <row r="188" spans="8:19" x14ac:dyDescent="0.25">
      <c r="H188" s="191">
        <v>181</v>
      </c>
      <c r="I188" s="209">
        <f t="shared" ca="1" si="27"/>
        <v>-2874110908.4439468</v>
      </c>
      <c r="J188" s="198">
        <f t="shared" ca="1" si="28"/>
        <v>43967335.204677537</v>
      </c>
      <c r="K188" s="198">
        <f t="shared" ca="1" si="29"/>
        <v>-26060905.403578274</v>
      </c>
      <c r="L188" s="193">
        <f t="shared" ca="1" si="30"/>
        <v>17906429.801099267</v>
      </c>
      <c r="O188" s="196">
        <v>185</v>
      </c>
      <c r="P188" s="197">
        <f t="shared" ca="1" si="32"/>
        <v>0</v>
      </c>
      <c r="Q188" s="197">
        <f t="shared" ca="1" si="33"/>
        <v>0</v>
      </c>
      <c r="R188" s="197">
        <f t="shared" ca="1" si="34"/>
        <v>0</v>
      </c>
      <c r="S188" s="197">
        <f t="shared" si="35"/>
        <v>0</v>
      </c>
    </row>
    <row r="189" spans="8:19" x14ac:dyDescent="0.25">
      <c r="H189" s="191">
        <v>182</v>
      </c>
      <c r="I189" s="209">
        <f t="shared" ca="1" si="27"/>
        <v>-2918483109.5269675</v>
      </c>
      <c r="J189" s="198">
        <f t="shared" ca="1" si="28"/>
        <v>44372201.083020613</v>
      </c>
      <c r="K189" s="198">
        <f t="shared" ca="1" si="29"/>
        <v>-26465771.281921346</v>
      </c>
      <c r="L189" s="193">
        <f t="shared" ca="1" si="30"/>
        <v>17906429.801099267</v>
      </c>
      <c r="O189" s="196">
        <v>186</v>
      </c>
      <c r="P189" s="197">
        <f t="shared" ca="1" si="32"/>
        <v>0</v>
      </c>
      <c r="Q189" s="197">
        <f t="shared" ca="1" si="33"/>
        <v>0</v>
      </c>
      <c r="R189" s="197">
        <f t="shared" ca="1" si="34"/>
        <v>0</v>
      </c>
      <c r="S189" s="197">
        <f t="shared" si="35"/>
        <v>0</v>
      </c>
    </row>
    <row r="190" spans="8:19" x14ac:dyDescent="0.25">
      <c r="H190" s="191">
        <v>183</v>
      </c>
      <c r="I190" s="209">
        <f t="shared" ca="1" si="27"/>
        <v>-2963263904.6282945</v>
      </c>
      <c r="J190" s="198">
        <f t="shared" ca="1" si="28"/>
        <v>44780795.101326764</v>
      </c>
      <c r="K190" s="198">
        <f t="shared" ca="1" si="29"/>
        <v>-26874365.300227493</v>
      </c>
      <c r="L190" s="193">
        <f t="shared" ca="1" si="30"/>
        <v>17906429.801099267</v>
      </c>
      <c r="O190" s="196">
        <v>187</v>
      </c>
      <c r="P190" s="197">
        <f t="shared" ca="1" si="32"/>
        <v>0</v>
      </c>
      <c r="Q190" s="197">
        <f t="shared" ca="1" si="33"/>
        <v>0</v>
      </c>
      <c r="R190" s="197">
        <f t="shared" ca="1" si="34"/>
        <v>0</v>
      </c>
      <c r="S190" s="197">
        <f t="shared" si="35"/>
        <v>0</v>
      </c>
    </row>
    <row r="191" spans="8:19" x14ac:dyDescent="0.25">
      <c r="H191" s="191">
        <v>184</v>
      </c>
      <c r="I191" s="209">
        <f t="shared" ca="1" si="27"/>
        <v>-3008457056.2178459</v>
      </c>
      <c r="J191" s="198">
        <f t="shared" ca="1" si="28"/>
        <v>45193151.589551479</v>
      </c>
      <c r="K191" s="198">
        <f t="shared" ca="1" si="29"/>
        <v>-27286721.788452212</v>
      </c>
      <c r="L191" s="193">
        <f t="shared" ca="1" si="30"/>
        <v>17906429.801099267</v>
      </c>
      <c r="O191" s="196">
        <v>188</v>
      </c>
      <c r="P191" s="197">
        <f t="shared" ca="1" si="32"/>
        <v>0</v>
      </c>
      <c r="Q191" s="197">
        <f t="shared" ca="1" si="33"/>
        <v>0</v>
      </c>
      <c r="R191" s="197">
        <f t="shared" ca="1" si="34"/>
        <v>0</v>
      </c>
      <c r="S191" s="197">
        <f t="shared" si="35"/>
        <v>0</v>
      </c>
    </row>
    <row r="192" spans="8:19" x14ac:dyDescent="0.25">
      <c r="H192" s="191">
        <v>185</v>
      </c>
      <c r="I192" s="209">
        <f t="shared" ca="1" si="27"/>
        <v>-3054066361.4116178</v>
      </c>
      <c r="J192" s="198">
        <f t="shared" ca="1" si="28"/>
        <v>45609305.193771929</v>
      </c>
      <c r="K192" s="198">
        <f t="shared" ca="1" si="29"/>
        <v>-27702875.392672665</v>
      </c>
      <c r="L192" s="193">
        <f t="shared" ca="1" si="30"/>
        <v>17906429.801099267</v>
      </c>
      <c r="O192" s="196">
        <v>189</v>
      </c>
      <c r="P192" s="197">
        <f t="shared" ca="1" si="32"/>
        <v>0</v>
      </c>
      <c r="Q192" s="197">
        <f t="shared" ca="1" si="33"/>
        <v>0</v>
      </c>
      <c r="R192" s="197">
        <f t="shared" ca="1" si="34"/>
        <v>0</v>
      </c>
      <c r="S192" s="197">
        <f t="shared" si="35"/>
        <v>0</v>
      </c>
    </row>
    <row r="193" spans="8:19" x14ac:dyDescent="0.25">
      <c r="H193" s="191">
        <v>186</v>
      </c>
      <c r="I193" s="209">
        <f t="shared" ca="1" si="27"/>
        <v>-3100095652.2907157</v>
      </c>
      <c r="J193" s="198">
        <f t="shared" ca="1" si="28"/>
        <v>46029290.879097916</v>
      </c>
      <c r="K193" s="198">
        <f t="shared" ca="1" si="29"/>
        <v>-28122861.077998649</v>
      </c>
      <c r="L193" s="193">
        <f t="shared" ca="1" si="30"/>
        <v>17906429.801099267</v>
      </c>
      <c r="O193" s="196">
        <v>190</v>
      </c>
      <c r="P193" s="197">
        <f t="shared" ca="1" si="32"/>
        <v>0</v>
      </c>
      <c r="Q193" s="197">
        <f t="shared" ca="1" si="33"/>
        <v>0</v>
      </c>
      <c r="R193" s="197">
        <f t="shared" ca="1" si="34"/>
        <v>0</v>
      </c>
      <c r="S193" s="197">
        <f t="shared" si="35"/>
        <v>0</v>
      </c>
    </row>
    <row r="194" spans="8:19" x14ac:dyDescent="0.25">
      <c r="H194" s="191">
        <v>187</v>
      </c>
      <c r="I194" s="209">
        <f t="shared" ca="1" si="27"/>
        <v>-3146548796.2233253</v>
      </c>
      <c r="J194" s="198">
        <f t="shared" ca="1" si="28"/>
        <v>46453143.93260961</v>
      </c>
      <c r="K194" s="198">
        <f t="shared" ca="1" si="29"/>
        <v>-28546714.131510343</v>
      </c>
      <c r="L194" s="193">
        <f t="shared" ca="1" si="30"/>
        <v>17906429.801099267</v>
      </c>
      <c r="O194" s="196">
        <v>191</v>
      </c>
      <c r="P194" s="197">
        <f t="shared" ca="1" si="32"/>
        <v>0</v>
      </c>
      <c r="Q194" s="197">
        <f t="shared" ca="1" si="33"/>
        <v>0</v>
      </c>
      <c r="R194" s="197">
        <f t="shared" ca="1" si="34"/>
        <v>0</v>
      </c>
      <c r="S194" s="197">
        <f t="shared" si="35"/>
        <v>0</v>
      </c>
    </row>
    <row r="195" spans="8:19" x14ac:dyDescent="0.25">
      <c r="H195" s="191">
        <v>188</v>
      </c>
      <c r="I195" s="209">
        <f t="shared" ca="1" si="27"/>
        <v>-3193429696.1896477</v>
      </c>
      <c r="J195" s="198">
        <f t="shared" ca="1" si="28"/>
        <v>46880899.966322392</v>
      </c>
      <c r="K195" s="198">
        <f t="shared" ca="1" si="29"/>
        <v>-28974470.165223122</v>
      </c>
      <c r="L195" s="193">
        <f t="shared" ca="1" si="30"/>
        <v>17906429.801099267</v>
      </c>
      <c r="O195" s="196">
        <v>192</v>
      </c>
      <c r="P195" s="197">
        <f t="shared" ca="1" si="32"/>
        <v>0</v>
      </c>
      <c r="Q195" s="197">
        <f t="shared" ca="1" si="33"/>
        <v>0</v>
      </c>
      <c r="R195" s="197">
        <f t="shared" ca="1" si="34"/>
        <v>0</v>
      </c>
      <c r="S195" s="197">
        <f t="shared" si="35"/>
        <v>0</v>
      </c>
    </row>
    <row r="196" spans="8:19" x14ac:dyDescent="0.25">
      <c r="H196" s="191">
        <v>189</v>
      </c>
      <c r="I196" s="209">
        <f t="shared" ca="1" si="27"/>
        <v>-3240742291.1098266</v>
      </c>
      <c r="J196" s="198">
        <f t="shared" ca="1" si="28"/>
        <v>47312594.920178942</v>
      </c>
      <c r="K196" s="198">
        <f t="shared" ca="1" si="29"/>
        <v>-29406165.119079676</v>
      </c>
      <c r="L196" s="193">
        <f t="shared" ca="1" si="30"/>
        <v>17906429.801099267</v>
      </c>
      <c r="O196" s="196">
        <v>193</v>
      </c>
      <c r="P196" s="197">
        <f t="shared" ca="1" si="32"/>
        <v>0</v>
      </c>
      <c r="Q196" s="197">
        <f t="shared" ca="1" si="33"/>
        <v>0</v>
      </c>
      <c r="R196" s="197">
        <f t="shared" ca="1" si="34"/>
        <v>0</v>
      </c>
      <c r="S196" s="197">
        <f t="shared" si="35"/>
        <v>0</v>
      </c>
    </row>
    <row r="197" spans="8:19" x14ac:dyDescent="0.25">
      <c r="H197" s="191">
        <v>190</v>
      </c>
      <c r="I197" s="209">
        <f t="shared" ca="1" si="27"/>
        <v>-3288490556.1748953</v>
      </c>
      <c r="J197" s="198">
        <f t="shared" ca="1" si="28"/>
        <v>47748265.065068923</v>
      </c>
      <c r="K197" s="198">
        <f t="shared" ca="1" si="29"/>
        <v>-29841835.263969656</v>
      </c>
      <c r="L197" s="193">
        <f t="shared" ca="1" si="30"/>
        <v>17906429.801099267</v>
      </c>
      <c r="O197" s="196">
        <v>194</v>
      </c>
      <c r="P197" s="197">
        <f t="shared" ca="1" si="32"/>
        <v>0</v>
      </c>
      <c r="Q197" s="197">
        <f t="shared" ca="1" si="33"/>
        <v>0</v>
      </c>
      <c r="R197" s="197">
        <f t="shared" ca="1" si="34"/>
        <v>0</v>
      </c>
      <c r="S197" s="197">
        <f t="shared" si="35"/>
        <v>0</v>
      </c>
    </row>
    <row r="198" spans="8:19" x14ac:dyDescent="0.25">
      <c r="H198" s="191">
        <v>191</v>
      </c>
      <c r="I198" s="209">
        <f t="shared" ca="1" si="27"/>
        <v>-3336678503.1807718</v>
      </c>
      <c r="J198" s="198">
        <f t="shared" ca="1" si="28"/>
        <v>48187947.005876429</v>
      </c>
      <c r="K198" s="198">
        <f t="shared" ca="1" si="29"/>
        <v>-30281517.204777163</v>
      </c>
      <c r="L198" s="193">
        <f t="shared" ca="1" si="30"/>
        <v>17906429.801099267</v>
      </c>
      <c r="O198" s="196">
        <v>195</v>
      </c>
      <c r="P198" s="197">
        <f t="shared" ca="1" si="32"/>
        <v>0</v>
      </c>
      <c r="Q198" s="197">
        <f t="shared" ca="1" si="33"/>
        <v>0</v>
      </c>
      <c r="R198" s="197">
        <f t="shared" ca="1" si="34"/>
        <v>0</v>
      </c>
      <c r="S198" s="197">
        <f t="shared" si="35"/>
        <v>0</v>
      </c>
    </row>
    <row r="199" spans="8:19" x14ac:dyDescent="0.25">
      <c r="H199" s="191">
        <v>192</v>
      </c>
      <c r="I199" s="209">
        <f t="shared" ca="1" si="27"/>
        <v>-3385310180.8653274</v>
      </c>
      <c r="J199" s="198">
        <f t="shared" ca="1" si="28"/>
        <v>48631677.684555545</v>
      </c>
      <c r="K199" s="198">
        <f t="shared" ca="1" si="29"/>
        <v>-30725247.883456275</v>
      </c>
      <c r="L199" s="193">
        <f t="shared" ca="1" si="30"/>
        <v>17906429.801099267</v>
      </c>
      <c r="O199" s="196">
        <v>196</v>
      </c>
      <c r="P199" s="197">
        <f t="shared" ca="1" si="32"/>
        <v>0</v>
      </c>
      <c r="Q199" s="197">
        <f t="shared" ca="1" si="33"/>
        <v>0</v>
      </c>
      <c r="R199" s="197">
        <f t="shared" ca="1" si="34"/>
        <v>0</v>
      </c>
      <c r="S199" s="197">
        <f t="shared" si="35"/>
        <v>0</v>
      </c>
    </row>
    <row r="200" spans="8:19" x14ac:dyDescent="0.25">
      <c r="H200" s="191">
        <v>193</v>
      </c>
      <c r="I200" s="209">
        <f t="shared" ca="1" si="27"/>
        <v>-3434389675.2485614</v>
      </c>
      <c r="J200" s="198">
        <f t="shared" ca="1" si="28"/>
        <v>49079494.383234158</v>
      </c>
      <c r="K200" s="198">
        <f t="shared" ca="1" si="29"/>
        <v>-31173064.582134891</v>
      </c>
      <c r="L200" s="193">
        <f t="shared" ca="1" si="30"/>
        <v>17906429.801099267</v>
      </c>
      <c r="O200" s="196">
        <v>197</v>
      </c>
      <c r="P200" s="197">
        <f t="shared" ca="1" si="32"/>
        <v>0</v>
      </c>
      <c r="Q200" s="197">
        <f t="shared" ca="1" si="33"/>
        <v>0</v>
      </c>
      <c r="R200" s="197">
        <f t="shared" ca="1" si="34"/>
        <v>0</v>
      </c>
      <c r="S200" s="197">
        <f t="shared" si="35"/>
        <v>0</v>
      </c>
    </row>
    <row r="201" spans="8:19" x14ac:dyDescent="0.25">
      <c r="H201" s="191">
        <v>194</v>
      </c>
      <c r="I201" s="209">
        <f t="shared" ca="1" si="27"/>
        <v>-3483921109.9759078</v>
      </c>
      <c r="J201" s="198">
        <f t="shared" ca="1" si="28"/>
        <v>49531434.727346435</v>
      </c>
      <c r="K201" s="198">
        <f t="shared" ca="1" si="29"/>
        <v>-31625004.926247172</v>
      </c>
      <c r="L201" s="193">
        <f t="shared" ca="1" si="30"/>
        <v>17906429.801099267</v>
      </c>
      <c r="O201" s="196">
        <v>198</v>
      </c>
      <c r="P201" s="197">
        <f t="shared" ca="1" si="32"/>
        <v>0</v>
      </c>
      <c r="Q201" s="197">
        <f t="shared" ca="1" si="33"/>
        <v>0</v>
      </c>
      <c r="R201" s="197">
        <f t="shared" ca="1" si="34"/>
        <v>0</v>
      </c>
      <c r="S201" s="197">
        <f t="shared" si="35"/>
        <v>0</v>
      </c>
    </row>
    <row r="202" spans="8:19" x14ac:dyDescent="0.25">
      <c r="H202" s="191">
        <v>195</v>
      </c>
      <c r="I202" s="209">
        <f t="shared" ca="1" si="27"/>
        <v>-3533908646.6647019</v>
      </c>
      <c r="J202" s="198">
        <f t="shared" ca="1" si="28"/>
        <v>49987536.688794091</v>
      </c>
      <c r="K202" s="198">
        <f t="shared" ca="1" si="29"/>
        <v>-32081106.887694821</v>
      </c>
      <c r="L202" s="193">
        <f t="shared" ca="1" si="30"/>
        <v>17906429.801099267</v>
      </c>
      <c r="O202" s="196">
        <v>199</v>
      </c>
      <c r="P202" s="197">
        <f t="shared" ca="1" si="32"/>
        <v>0</v>
      </c>
      <c r="Q202" s="197">
        <f t="shared" ca="1" si="33"/>
        <v>0</v>
      </c>
      <c r="R202" s="197">
        <f t="shared" ca="1" si="34"/>
        <v>0</v>
      </c>
      <c r="S202" s="197">
        <f t="shared" si="35"/>
        <v>0</v>
      </c>
    </row>
    <row r="203" spans="8:19" x14ac:dyDescent="0.25">
      <c r="H203" s="191">
        <v>196</v>
      </c>
      <c r="I203" s="209">
        <f t="shared" ca="1" si="27"/>
        <v>-3584356485.2538385</v>
      </c>
      <c r="J203" s="198">
        <f t="shared" ca="1" si="28"/>
        <v>50447838.589136735</v>
      </c>
      <c r="K203" s="198">
        <f t="shared" ca="1" si="29"/>
        <v>-32541408.788037468</v>
      </c>
      <c r="L203" s="193">
        <f t="shared" ca="1" si="30"/>
        <v>17906429.801099267</v>
      </c>
      <c r="O203" s="196">
        <v>200</v>
      </c>
      <c r="P203" s="197">
        <f t="shared" ca="1" si="32"/>
        <v>0</v>
      </c>
      <c r="Q203" s="197">
        <f t="shared" ca="1" si="33"/>
        <v>0</v>
      </c>
      <c r="R203" s="197">
        <f t="shared" ca="1" si="34"/>
        <v>0</v>
      </c>
      <c r="S203" s="197">
        <f t="shared" si="35"/>
        <v>0</v>
      </c>
    </row>
    <row r="204" spans="8:19" x14ac:dyDescent="0.25">
      <c r="H204" s="191">
        <v>197</v>
      </c>
      <c r="I204" s="209">
        <f t="shared" ca="1" si="27"/>
        <v>-3635268864.3566504</v>
      </c>
      <c r="J204" s="198">
        <f t="shared" ca="1" si="28"/>
        <v>50912379.102811694</v>
      </c>
      <c r="K204" s="198">
        <f t="shared" ca="1" si="29"/>
        <v>-33005949.301712431</v>
      </c>
      <c r="L204" s="193">
        <f t="shared" ca="1" si="30"/>
        <v>17906429.801099267</v>
      </c>
      <c r="O204" s="196">
        <v>201</v>
      </c>
      <c r="P204" s="197">
        <f t="shared" ca="1" si="32"/>
        <v>0</v>
      </c>
      <c r="Q204" s="197">
        <f t="shared" ca="1" si="33"/>
        <v>0</v>
      </c>
      <c r="R204" s="197">
        <f t="shared" ca="1" si="34"/>
        <v>0</v>
      </c>
      <c r="S204" s="197">
        <f t="shared" si="35"/>
        <v>0</v>
      </c>
    </row>
    <row r="205" spans="8:19" x14ac:dyDescent="0.25">
      <c r="H205" s="191">
        <v>198</v>
      </c>
      <c r="I205" s="209">
        <f t="shared" ca="1" si="27"/>
        <v>-3686650061.617034</v>
      </c>
      <c r="J205" s="198">
        <f t="shared" ca="1" si="28"/>
        <v>51381197.260383427</v>
      </c>
      <c r="K205" s="198">
        <f t="shared" ca="1" si="29"/>
        <v>-33474767.459284157</v>
      </c>
      <c r="L205" s="193">
        <f t="shared" ca="1" si="30"/>
        <v>17906429.801099267</v>
      </c>
      <c r="O205" s="196">
        <v>202</v>
      </c>
      <c r="P205" s="197">
        <f t="shared" ca="1" si="32"/>
        <v>0</v>
      </c>
      <c r="Q205" s="197">
        <f t="shared" ca="1" si="33"/>
        <v>0</v>
      </c>
      <c r="R205" s="197">
        <f t="shared" ca="1" si="34"/>
        <v>0</v>
      </c>
      <c r="S205" s="197">
        <f t="shared" si="35"/>
        <v>0</v>
      </c>
    </row>
    <row r="206" spans="8:19" x14ac:dyDescent="0.25">
      <c r="H206" s="191">
        <v>199</v>
      </c>
      <c r="I206" s="209">
        <f t="shared" ca="1" si="27"/>
        <v>-3738504394.0688567</v>
      </c>
      <c r="J206" s="198">
        <f t="shared" ca="1" si="28"/>
        <v>51854332.451822788</v>
      </c>
      <c r="K206" s="198">
        <f t="shared" ca="1" si="29"/>
        <v>-33947902.650723524</v>
      </c>
      <c r="L206" s="193">
        <f t="shared" ca="1" si="30"/>
        <v>17906429.801099267</v>
      </c>
      <c r="O206" s="196">
        <v>203</v>
      </c>
      <c r="P206" s="197">
        <f t="shared" ca="1" si="32"/>
        <v>0</v>
      </c>
      <c r="Q206" s="197">
        <f t="shared" ca="1" si="33"/>
        <v>0</v>
      </c>
      <c r="R206" s="197">
        <f t="shared" ca="1" si="34"/>
        <v>0</v>
      </c>
      <c r="S206" s="197">
        <f t="shared" si="35"/>
        <v>0</v>
      </c>
    </row>
    <row r="207" spans="8:19" x14ac:dyDescent="0.25">
      <c r="H207" s="191">
        <v>200</v>
      </c>
      <c r="I207" s="209">
        <f t="shared" ca="1" si="27"/>
        <v>-3790836218.4986734</v>
      </c>
      <c r="J207" s="198">
        <f t="shared" ca="1" si="28"/>
        <v>52331824.429816663</v>
      </c>
      <c r="K207" s="198">
        <f t="shared" ca="1" si="29"/>
        <v>-34425394.628717393</v>
      </c>
      <c r="L207" s="193">
        <f t="shared" ca="1" si="30"/>
        <v>17906429.801099267</v>
      </c>
      <c r="O207" s="196">
        <v>204</v>
      </c>
      <c r="P207" s="197">
        <f t="shared" ca="1" si="32"/>
        <v>0</v>
      </c>
      <c r="Q207" s="197">
        <f t="shared" ca="1" si="33"/>
        <v>0</v>
      </c>
      <c r="R207" s="197">
        <f t="shared" ca="1" si="34"/>
        <v>0</v>
      </c>
      <c r="S207" s="197">
        <f t="shared" si="35"/>
        <v>0</v>
      </c>
    </row>
    <row r="208" spans="8:19" x14ac:dyDescent="0.25">
      <c r="H208" s="191">
        <v>201</v>
      </c>
      <c r="I208" s="209">
        <f t="shared" ca="1" si="27"/>
        <v>-3843649931.8117814</v>
      </c>
      <c r="J208" s="198">
        <f t="shared" ca="1" si="28"/>
        <v>52813713.313107893</v>
      </c>
      <c r="K208" s="198">
        <f t="shared" ca="1" si="29"/>
        <v>-34907283.512008622</v>
      </c>
      <c r="L208" s="193">
        <f t="shared" ca="1" si="30"/>
        <v>17906429.801099267</v>
      </c>
      <c r="O208" s="196">
        <v>205</v>
      </c>
      <c r="P208" s="197">
        <f t="shared" ca="1" si="32"/>
        <v>0</v>
      </c>
      <c r="Q208" s="197">
        <f t="shared" ca="1" si="33"/>
        <v>0</v>
      </c>
      <c r="R208" s="197">
        <f t="shared" ca="1" si="34"/>
        <v>0</v>
      </c>
      <c r="S208" s="197">
        <f t="shared" si="35"/>
        <v>0</v>
      </c>
    </row>
    <row r="209" spans="8:19" x14ac:dyDescent="0.25">
      <c r="H209" s="191">
        <v>202</v>
      </c>
      <c r="I209" s="209">
        <f t="shared" ca="1" si="27"/>
        <v>-3896949971.4016476</v>
      </c>
      <c r="J209" s="198">
        <f t="shared" ca="1" si="28"/>
        <v>53300039.589866087</v>
      </c>
      <c r="K209" s="198">
        <f t="shared" ca="1" si="29"/>
        <v>-35393609.788766824</v>
      </c>
      <c r="L209" s="193">
        <f t="shared" ca="1" si="30"/>
        <v>17906429.801099267</v>
      </c>
      <c r="O209" s="196">
        <v>206</v>
      </c>
      <c r="P209" s="197">
        <f t="shared" ca="1" si="32"/>
        <v>0</v>
      </c>
      <c r="Q209" s="197">
        <f t="shared" ca="1" si="33"/>
        <v>0</v>
      </c>
      <c r="R209" s="197">
        <f t="shared" ca="1" si="34"/>
        <v>0</v>
      </c>
      <c r="S209" s="197">
        <f t="shared" si="35"/>
        <v>0</v>
      </c>
    </row>
    <row r="210" spans="8:19" x14ac:dyDescent="0.25">
      <c r="H210" s="191">
        <v>203</v>
      </c>
      <c r="I210" s="209">
        <f t="shared" ca="1" si="27"/>
        <v>-3950740815.522737</v>
      </c>
      <c r="J210" s="198">
        <f t="shared" ca="1" si="28"/>
        <v>53790844.121089444</v>
      </c>
      <c r="K210" s="198">
        <f t="shared" ca="1" si="29"/>
        <v>-35884414.319990173</v>
      </c>
      <c r="L210" s="193">
        <f t="shared" ca="1" si="30"/>
        <v>17906429.801099267</v>
      </c>
      <c r="O210" s="196">
        <v>207</v>
      </c>
      <c r="P210" s="197">
        <f t="shared" ca="1" si="32"/>
        <v>0</v>
      </c>
      <c r="Q210" s="197">
        <f t="shared" ca="1" si="33"/>
        <v>0</v>
      </c>
      <c r="R210" s="197">
        <f t="shared" ca="1" si="34"/>
        <v>0</v>
      </c>
      <c r="S210" s="197">
        <f t="shared" si="35"/>
        <v>0</v>
      </c>
    </row>
    <row r="211" spans="8:19" x14ac:dyDescent="0.25">
      <c r="H211" s="191">
        <v>204</v>
      </c>
      <c r="I211" s="209">
        <f t="shared" ca="1" si="27"/>
        <v>-4005026983.6667747</v>
      </c>
      <c r="J211" s="198">
        <f t="shared" ca="1" si="28"/>
        <v>54286168.144037813</v>
      </c>
      <c r="K211" s="198">
        <f t="shared" ca="1" si="29"/>
        <v>-36379738.342938542</v>
      </c>
      <c r="L211" s="193">
        <f t="shared" ca="1" si="30"/>
        <v>17906429.801099267</v>
      </c>
      <c r="O211" s="196">
        <v>208</v>
      </c>
      <c r="P211" s="197">
        <f t="shared" ca="1" si="32"/>
        <v>0</v>
      </c>
      <c r="Q211" s="197">
        <f t="shared" ca="1" si="33"/>
        <v>0</v>
      </c>
      <c r="R211" s="197">
        <f t="shared" ca="1" si="34"/>
        <v>0</v>
      </c>
      <c r="S211" s="197">
        <f t="shared" si="35"/>
        <v>0</v>
      </c>
    </row>
    <row r="212" spans="8:19" x14ac:dyDescent="0.25">
      <c r="H212" s="191">
        <v>205</v>
      </c>
      <c r="I212" s="209">
        <f t="shared" ca="1" si="27"/>
        <v>-4059813036.9424725</v>
      </c>
      <c r="J212" s="198">
        <f t="shared" ca="1" si="28"/>
        <v>54786053.275697485</v>
      </c>
      <c r="K212" s="198">
        <f t="shared" ca="1" si="29"/>
        <v>-36879623.474598221</v>
      </c>
      <c r="L212" s="193">
        <f t="shared" ca="1" si="30"/>
        <v>17906429.801099267</v>
      </c>
      <c r="O212" s="196">
        <v>209</v>
      </c>
      <c r="P212" s="197">
        <f t="shared" ca="1" si="32"/>
        <v>0</v>
      </c>
      <c r="Q212" s="197">
        <f t="shared" ca="1" si="33"/>
        <v>0</v>
      </c>
      <c r="R212" s="197">
        <f t="shared" ca="1" si="34"/>
        <v>0</v>
      </c>
      <c r="S212" s="197">
        <f t="shared" si="35"/>
        <v>0</v>
      </c>
    </row>
    <row r="213" spans="8:19" x14ac:dyDescent="0.25">
      <c r="H213" s="191">
        <v>206</v>
      </c>
      <c r="I213" s="209">
        <f t="shared" ca="1" si="27"/>
        <v>-4115103578.4587502</v>
      </c>
      <c r="J213" s="198">
        <f t="shared" ca="1" si="28"/>
        <v>55290541.516277865</v>
      </c>
      <c r="K213" s="198">
        <f t="shared" ca="1" si="29"/>
        <v>-37384111.715178601</v>
      </c>
      <c r="L213" s="193">
        <f t="shared" ca="1" si="30"/>
        <v>17906429.801099267</v>
      </c>
      <c r="O213" s="196">
        <v>210</v>
      </c>
      <c r="P213" s="197">
        <f t="shared" ca="1" si="32"/>
        <v>0</v>
      </c>
      <c r="Q213" s="197">
        <f t="shared" ca="1" si="33"/>
        <v>0</v>
      </c>
      <c r="R213" s="197">
        <f t="shared" ca="1" si="34"/>
        <v>0</v>
      </c>
      <c r="S213" s="197">
        <f t="shared" si="35"/>
        <v>0</v>
      </c>
    </row>
    <row r="214" spans="8:19" x14ac:dyDescent="0.25">
      <c r="H214" s="191">
        <v>207</v>
      </c>
      <c r="I214" s="209">
        <f t="shared" ca="1" si="27"/>
        <v>-4170903253.7114906</v>
      </c>
      <c r="J214" s="198">
        <f t="shared" ca="1" si="28"/>
        <v>55799675.252740264</v>
      </c>
      <c r="K214" s="198">
        <f t="shared" ca="1" si="29"/>
        <v>-37893245.451640993</v>
      </c>
      <c r="L214" s="193">
        <f t="shared" ca="1" si="30"/>
        <v>17906429.801099267</v>
      </c>
      <c r="O214" s="196">
        <v>211</v>
      </c>
      <c r="P214" s="197">
        <f t="shared" ca="1" si="32"/>
        <v>0</v>
      </c>
      <c r="Q214" s="197">
        <f t="shared" ca="1" si="33"/>
        <v>0</v>
      </c>
      <c r="R214" s="197">
        <f t="shared" ca="1" si="34"/>
        <v>0</v>
      </c>
      <c r="S214" s="197">
        <f t="shared" si="35"/>
        <v>0</v>
      </c>
    </row>
    <row r="215" spans="8:19" x14ac:dyDescent="0.25">
      <c r="H215" s="191">
        <v>208</v>
      </c>
      <c r="I215" s="209">
        <f t="shared" ca="1" si="27"/>
        <v>-4227216750.9738498</v>
      </c>
      <c r="J215" s="198">
        <f t="shared" ca="1" si="28"/>
        <v>56313497.262359247</v>
      </c>
      <c r="K215" s="198">
        <f t="shared" ca="1" si="29"/>
        <v>-38407067.461259976</v>
      </c>
      <c r="L215" s="193">
        <f t="shared" ca="1" si="30"/>
        <v>17906429.801099267</v>
      </c>
      <c r="O215" s="196">
        <v>212</v>
      </c>
      <c r="P215" s="197">
        <f t="shared" ca="1" si="32"/>
        <v>0</v>
      </c>
      <c r="Q215" s="197">
        <f t="shared" ca="1" si="33"/>
        <v>0</v>
      </c>
      <c r="R215" s="197">
        <f t="shared" ca="1" si="34"/>
        <v>0</v>
      </c>
      <c r="S215" s="197">
        <f t="shared" si="35"/>
        <v>0</v>
      </c>
    </row>
    <row r="216" spans="8:19" x14ac:dyDescent="0.25">
      <c r="H216" s="191">
        <v>209</v>
      </c>
      <c r="I216" s="209">
        <f t="shared" ca="1" si="27"/>
        <v>-4284048801.6901665</v>
      </c>
      <c r="J216" s="198">
        <f t="shared" ca="1" si="28"/>
        <v>56832050.716316804</v>
      </c>
      <c r="K216" s="198">
        <f t="shared" ca="1" si="29"/>
        <v>-38925620.915217534</v>
      </c>
      <c r="L216" s="193">
        <f t="shared" ca="1" si="30"/>
        <v>17906429.801099267</v>
      </c>
      <c r="O216" s="196">
        <v>213</v>
      </c>
      <c r="P216" s="197">
        <f t="shared" ca="1" si="32"/>
        <v>0</v>
      </c>
      <c r="Q216" s="197">
        <f t="shared" ca="1" si="33"/>
        <v>0</v>
      </c>
      <c r="R216" s="197">
        <f t="shared" ca="1" si="34"/>
        <v>0</v>
      </c>
      <c r="S216" s="197">
        <f t="shared" si="35"/>
        <v>0</v>
      </c>
    </row>
    <row r="217" spans="8:19" x14ac:dyDescent="0.25">
      <c r="H217" s="191">
        <v>210</v>
      </c>
      <c r="I217" s="209">
        <f t="shared" ca="1" si="27"/>
        <v>-4341404180.8734961</v>
      </c>
      <c r="J217" s="198">
        <f t="shared" ca="1" si="28"/>
        <v>57355379.183329552</v>
      </c>
      <c r="K217" s="198">
        <f t="shared" ca="1" si="29"/>
        <v>-39448949.382230289</v>
      </c>
      <c r="L217" s="193">
        <f t="shared" ca="1" si="30"/>
        <v>17906429.801099267</v>
      </c>
      <c r="O217" s="196">
        <v>214</v>
      </c>
      <c r="P217" s="197">
        <f t="shared" ca="1" si="32"/>
        <v>0</v>
      </c>
      <c r="Q217" s="197">
        <f t="shared" ca="1" si="33"/>
        <v>0</v>
      </c>
      <c r="R217" s="197">
        <f t="shared" ca="1" si="34"/>
        <v>0</v>
      </c>
      <c r="S217" s="197">
        <f t="shared" si="35"/>
        <v>0</v>
      </c>
    </row>
    <row r="218" spans="8:19" x14ac:dyDescent="0.25">
      <c r="H218" s="191">
        <v>211</v>
      </c>
      <c r="I218" s="209">
        <f t="shared" ca="1" si="27"/>
        <v>-4399287707.5068054</v>
      </c>
      <c r="J218" s="198">
        <f t="shared" ca="1" si="28"/>
        <v>57883526.633309379</v>
      </c>
      <c r="K218" s="198">
        <f t="shared" ca="1" si="29"/>
        <v>-39977096.832210116</v>
      </c>
      <c r="L218" s="193">
        <f t="shared" ca="1" si="30"/>
        <v>17906429.801099267</v>
      </c>
      <c r="O218" s="196">
        <v>215</v>
      </c>
      <c r="P218" s="197">
        <f t="shared" ca="1" si="32"/>
        <v>0</v>
      </c>
      <c r="Q218" s="197">
        <f t="shared" ca="1" si="33"/>
        <v>0</v>
      </c>
      <c r="R218" s="197">
        <f t="shared" ca="1" si="34"/>
        <v>0</v>
      </c>
      <c r="S218" s="197">
        <f t="shared" si="35"/>
        <v>0</v>
      </c>
    </row>
    <row r="219" spans="8:19" x14ac:dyDescent="0.25">
      <c r="H219" s="191">
        <v>212</v>
      </c>
      <c r="I219" s="209">
        <f t="shared" ca="1" si="27"/>
        <v>-4457704244.9478636</v>
      </c>
      <c r="J219" s="198">
        <f t="shared" ca="1" si="28"/>
        <v>58416537.441057771</v>
      </c>
      <c r="K219" s="198">
        <f t="shared" ca="1" si="29"/>
        <v>-40510107.639958501</v>
      </c>
      <c r="L219" s="193">
        <f t="shared" ca="1" si="30"/>
        <v>17906429.801099267</v>
      </c>
      <c r="O219" s="196">
        <v>216</v>
      </c>
      <c r="P219" s="197">
        <f t="shared" ca="1" si="32"/>
        <v>0</v>
      </c>
      <c r="Q219" s="197">
        <f t="shared" ca="1" si="33"/>
        <v>0</v>
      </c>
      <c r="R219" s="197">
        <f t="shared" ca="1" si="34"/>
        <v>0</v>
      </c>
      <c r="S219" s="197">
        <f t="shared" si="35"/>
        <v>0</v>
      </c>
    </row>
    <row r="220" spans="8:19" x14ac:dyDescent="0.25">
      <c r="H220" s="191">
        <v>213</v>
      </c>
      <c r="I220" s="209">
        <f t="shared" ca="1" si="27"/>
        <v>-4516658701.3378582</v>
      </c>
      <c r="J220" s="198">
        <f t="shared" ca="1" si="28"/>
        <v>58954456.389994174</v>
      </c>
      <c r="K220" s="198">
        <f t="shared" ca="1" si="29"/>
        <v>-41048026.588894911</v>
      </c>
      <c r="L220" s="193">
        <f t="shared" ca="1" si="30"/>
        <v>17906429.801099267</v>
      </c>
      <c r="O220" s="196">
        <v>217</v>
      </c>
      <c r="P220" s="197">
        <f t="shared" ca="1" si="32"/>
        <v>0</v>
      </c>
      <c r="Q220" s="197">
        <f t="shared" ca="1" si="33"/>
        <v>0</v>
      </c>
      <c r="R220" s="197">
        <f t="shared" ca="1" si="34"/>
        <v>0</v>
      </c>
      <c r="S220" s="197">
        <f t="shared" si="35"/>
        <v>0</v>
      </c>
    </row>
    <row r="221" spans="8:19" x14ac:dyDescent="0.25">
      <c r="H221" s="191">
        <v>214</v>
      </c>
      <c r="I221" s="209">
        <f t="shared" ca="1" si="27"/>
        <v>-4576156030.0137768</v>
      </c>
      <c r="J221" s="198">
        <f t="shared" ca="1" si="28"/>
        <v>59497328.675918713</v>
      </c>
      <c r="K221" s="198">
        <f t="shared" ca="1" si="29"/>
        <v>-41590898.87481945</v>
      </c>
      <c r="L221" s="193">
        <f t="shared" ca="1" si="30"/>
        <v>17906429.801099267</v>
      </c>
      <c r="O221" s="196">
        <v>218</v>
      </c>
      <c r="P221" s="197">
        <f t="shared" ca="1" si="32"/>
        <v>0</v>
      </c>
      <c r="Q221" s="197">
        <f t="shared" ca="1" si="33"/>
        <v>0</v>
      </c>
      <c r="R221" s="197">
        <f t="shared" ca="1" si="34"/>
        <v>0</v>
      </c>
      <c r="S221" s="197">
        <f t="shared" si="35"/>
        <v>0</v>
      </c>
    </row>
    <row r="222" spans="8:19" x14ac:dyDescent="0.25">
      <c r="H222" s="191">
        <v>215</v>
      </c>
      <c r="I222" s="209">
        <f t="shared" ca="1" si="27"/>
        <v>-4636201229.9245863</v>
      </c>
      <c r="J222" s="198">
        <f t="shared" ca="1" si="28"/>
        <v>60045199.910809457</v>
      </c>
      <c r="K222" s="198">
        <f t="shared" ca="1" si="29"/>
        <v>-42138770.109710194</v>
      </c>
      <c r="L222" s="193">
        <f t="shared" ca="1" si="30"/>
        <v>17906429.801099267</v>
      </c>
      <c r="O222" s="196">
        <v>219</v>
      </c>
      <c r="P222" s="197">
        <f t="shared" ca="1" si="32"/>
        <v>0</v>
      </c>
      <c r="Q222" s="197">
        <f t="shared" ca="1" si="33"/>
        <v>0</v>
      </c>
      <c r="R222" s="197">
        <f t="shared" ca="1" si="34"/>
        <v>0</v>
      </c>
      <c r="S222" s="197">
        <f t="shared" si="35"/>
        <v>0</v>
      </c>
    </row>
    <row r="223" spans="8:19" x14ac:dyDescent="0.25">
      <c r="H223" s="191">
        <v>216</v>
      </c>
      <c r="I223" s="209">
        <f t="shared" ca="1" si="27"/>
        <v>-4696799346.0512409</v>
      </c>
      <c r="J223" s="198">
        <f t="shared" ca="1" si="28"/>
        <v>60598116.126654834</v>
      </c>
      <c r="K223" s="198">
        <f t="shared" ca="1" si="29"/>
        <v>-42691686.32555557</v>
      </c>
      <c r="L223" s="193">
        <f t="shared" ca="1" si="30"/>
        <v>17906429.801099267</v>
      </c>
      <c r="O223" s="196">
        <v>220</v>
      </c>
      <c r="P223" s="197">
        <f t="shared" ca="1" si="32"/>
        <v>0</v>
      </c>
      <c r="Q223" s="197">
        <f t="shared" ca="1" si="33"/>
        <v>0</v>
      </c>
      <c r="R223" s="197">
        <f t="shared" ca="1" si="34"/>
        <v>0</v>
      </c>
      <c r="S223" s="197">
        <f t="shared" si="35"/>
        <v>0</v>
      </c>
    </row>
    <row r="224" spans="8:19" x14ac:dyDescent="0.25">
      <c r="H224" s="191">
        <v>217</v>
      </c>
      <c r="I224" s="209">
        <f t="shared" ref="I224:I246" ca="1" si="36">I223-J224</f>
        <v>-4757955469.8305616</v>
      </c>
      <c r="J224" s="198">
        <f t="shared" ref="J224:J247" ca="1" si="37">L224-K224</f>
        <v>61156123.779321119</v>
      </c>
      <c r="K224" s="198">
        <f t="shared" ref="K224:K247" ca="1" si="38">$C$63/12*I223</f>
        <v>-43249693.978221849</v>
      </c>
      <c r="L224" s="193">
        <f t="shared" ref="L224:L247" ca="1" si="39">L223</f>
        <v>17906429.801099267</v>
      </c>
      <c r="O224" s="196">
        <v>221</v>
      </c>
      <c r="P224" s="197">
        <f t="shared" ca="1" si="32"/>
        <v>0</v>
      </c>
      <c r="Q224" s="197">
        <f t="shared" ca="1" si="33"/>
        <v>0</v>
      </c>
      <c r="R224" s="197">
        <f t="shared" ca="1" si="34"/>
        <v>0</v>
      </c>
      <c r="S224" s="197">
        <f t="shared" si="35"/>
        <v>0</v>
      </c>
    </row>
    <row r="225" spans="8:19" x14ac:dyDescent="0.25">
      <c r="H225" s="191">
        <v>218</v>
      </c>
      <c r="I225" s="209">
        <f t="shared" ca="1" si="36"/>
        <v>-4819674739.5830173</v>
      </c>
      <c r="J225" s="198">
        <f t="shared" ca="1" si="37"/>
        <v>61719269.752455696</v>
      </c>
      <c r="K225" s="198">
        <f t="shared" ca="1" si="38"/>
        <v>-43812839.951356426</v>
      </c>
      <c r="L225" s="193">
        <f t="shared" ca="1" si="39"/>
        <v>17906429.801099267</v>
      </c>
      <c r="O225" s="196">
        <v>222</v>
      </c>
      <c r="P225" s="197">
        <f t="shared" ca="1" si="32"/>
        <v>0</v>
      </c>
      <c r="Q225" s="197">
        <f t="shared" ca="1" si="33"/>
        <v>0</v>
      </c>
      <c r="R225" s="197">
        <f t="shared" ca="1" si="34"/>
        <v>0</v>
      </c>
      <c r="S225" s="197">
        <f t="shared" si="35"/>
        <v>0</v>
      </c>
    </row>
    <row r="226" spans="8:19" x14ac:dyDescent="0.25">
      <c r="H226" s="191">
        <v>219</v>
      </c>
      <c r="I226" s="209">
        <f t="shared" ca="1" si="36"/>
        <v>-4881962340.9444437</v>
      </c>
      <c r="J226" s="198">
        <f t="shared" ca="1" si="37"/>
        <v>62287601.361426219</v>
      </c>
      <c r="K226" s="198">
        <f t="shared" ca="1" si="38"/>
        <v>-44381171.560326956</v>
      </c>
      <c r="L226" s="193">
        <f t="shared" ca="1" si="39"/>
        <v>17906429.801099267</v>
      </c>
      <c r="O226" s="196">
        <v>223</v>
      </c>
      <c r="P226" s="197">
        <f t="shared" ca="1" si="32"/>
        <v>0</v>
      </c>
      <c r="Q226" s="197">
        <f t="shared" ca="1" si="33"/>
        <v>0</v>
      </c>
      <c r="R226" s="197">
        <f t="shared" ca="1" si="34"/>
        <v>0</v>
      </c>
      <c r="S226" s="197">
        <f t="shared" si="35"/>
        <v>0</v>
      </c>
    </row>
    <row r="227" spans="8:19" x14ac:dyDescent="0.25">
      <c r="H227" s="191">
        <v>220</v>
      </c>
      <c r="I227" s="209">
        <f t="shared" ca="1" si="36"/>
        <v>-4944823507.3017397</v>
      </c>
      <c r="J227" s="198">
        <f t="shared" ca="1" si="37"/>
        <v>62861166.35729602</v>
      </c>
      <c r="K227" s="198">
        <f t="shared" ca="1" si="38"/>
        <v>-44954736.556196757</v>
      </c>
      <c r="L227" s="193">
        <f t="shared" ca="1" si="39"/>
        <v>17906429.801099267</v>
      </c>
      <c r="O227" s="196">
        <v>224</v>
      </c>
      <c r="P227" s="197">
        <f t="shared" ca="1" si="32"/>
        <v>0</v>
      </c>
      <c r="Q227" s="197">
        <f t="shared" ca="1" si="33"/>
        <v>0</v>
      </c>
      <c r="R227" s="197">
        <f t="shared" ca="1" si="34"/>
        <v>0</v>
      </c>
      <c r="S227" s="197">
        <f t="shared" si="35"/>
        <v>0</v>
      </c>
    </row>
    <row r="228" spans="8:19" x14ac:dyDescent="0.25">
      <c r="H228" s="191">
        <v>221</v>
      </c>
      <c r="I228" s="209">
        <f t="shared" ca="1" si="36"/>
        <v>-5008263520.2325754</v>
      </c>
      <c r="J228" s="198">
        <f t="shared" ca="1" si="37"/>
        <v>63440012.930836126</v>
      </c>
      <c r="K228" s="198">
        <f t="shared" ca="1" si="38"/>
        <v>-45533583.129736856</v>
      </c>
      <c r="L228" s="193">
        <f t="shared" ca="1" si="39"/>
        <v>17906429.801099267</v>
      </c>
      <c r="O228" s="196">
        <v>225</v>
      </c>
      <c r="P228" s="197">
        <f t="shared" ca="1" si="32"/>
        <v>0</v>
      </c>
      <c r="Q228" s="197">
        <f t="shared" ca="1" si="33"/>
        <v>0</v>
      </c>
      <c r="R228" s="197">
        <f t="shared" ca="1" si="34"/>
        <v>0</v>
      </c>
      <c r="S228" s="197">
        <f t="shared" si="35"/>
        <v>0</v>
      </c>
    </row>
    <row r="229" spans="8:19" x14ac:dyDescent="0.25">
      <c r="H229" s="191">
        <v>222</v>
      </c>
      <c r="I229" s="209">
        <f t="shared" ca="1" si="36"/>
        <v>-5072287709.9491501</v>
      </c>
      <c r="J229" s="198">
        <f t="shared" ca="1" si="37"/>
        <v>64024189.716574237</v>
      </c>
      <c r="K229" s="198">
        <f t="shared" ca="1" si="38"/>
        <v>-46117759.915474966</v>
      </c>
      <c r="L229" s="193">
        <f t="shared" ca="1" si="39"/>
        <v>17906429.801099267</v>
      </c>
      <c r="O229" s="196">
        <v>226</v>
      </c>
      <c r="P229" s="197">
        <f t="shared" ca="1" si="32"/>
        <v>0</v>
      </c>
      <c r="Q229" s="197">
        <f t="shared" ca="1" si="33"/>
        <v>0</v>
      </c>
      <c r="R229" s="197">
        <f t="shared" ca="1" si="34"/>
        <v>0</v>
      </c>
      <c r="S229" s="197">
        <f t="shared" si="35"/>
        <v>0</v>
      </c>
    </row>
    <row r="230" spans="8:19" x14ac:dyDescent="0.25">
      <c r="H230" s="191">
        <v>223</v>
      </c>
      <c r="I230" s="209">
        <f t="shared" ca="1" si="36"/>
        <v>-5136901455.7460308</v>
      </c>
      <c r="J230" s="198">
        <f t="shared" ca="1" si="37"/>
        <v>64613745.79688102</v>
      </c>
      <c r="K230" s="198">
        <f t="shared" ca="1" si="38"/>
        <v>-46707315.995781757</v>
      </c>
      <c r="L230" s="193">
        <f t="shared" ca="1" si="39"/>
        <v>17906429.801099267</v>
      </c>
      <c r="O230" s="196">
        <v>227</v>
      </c>
      <c r="P230" s="197">
        <f t="shared" ca="1" si="32"/>
        <v>0</v>
      </c>
      <c r="Q230" s="197">
        <f t="shared" ca="1" si="33"/>
        <v>0</v>
      </c>
      <c r="R230" s="197">
        <f t="shared" ca="1" si="34"/>
        <v>0</v>
      </c>
      <c r="S230" s="197">
        <f t="shared" si="35"/>
        <v>0</v>
      </c>
    </row>
    <row r="231" spans="8:19" x14ac:dyDescent="0.25">
      <c r="H231" s="191">
        <v>224</v>
      </c>
      <c r="I231" s="209">
        <f t="shared" ca="1" si="36"/>
        <v>-5202110186.4521246</v>
      </c>
      <c r="J231" s="198">
        <f t="shared" ca="1" si="37"/>
        <v>65208730.706093967</v>
      </c>
      <c r="K231" s="198">
        <f t="shared" ca="1" si="38"/>
        <v>-47302300.904994704</v>
      </c>
      <c r="L231" s="193">
        <f t="shared" ca="1" si="39"/>
        <v>17906429.801099267</v>
      </c>
      <c r="O231" s="196">
        <v>228</v>
      </c>
      <c r="P231" s="197">
        <f t="shared" ca="1" si="32"/>
        <v>0</v>
      </c>
      <c r="Q231" s="197">
        <f t="shared" ca="1" si="33"/>
        <v>0</v>
      </c>
      <c r="R231" s="197">
        <f t="shared" ca="1" si="34"/>
        <v>0</v>
      </c>
      <c r="S231" s="197">
        <f t="shared" si="35"/>
        <v>0</v>
      </c>
    </row>
    <row r="232" spans="8:19" x14ac:dyDescent="0.25">
      <c r="H232" s="191">
        <v>225</v>
      </c>
      <c r="I232" s="209">
        <f t="shared" ca="1" si="36"/>
        <v>-5267919380.8868036</v>
      </c>
      <c r="J232" s="198">
        <f t="shared" ca="1" si="37"/>
        <v>65809194.434679255</v>
      </c>
      <c r="K232" s="198">
        <f t="shared" ca="1" si="38"/>
        <v>-47902764.633579984</v>
      </c>
      <c r="L232" s="193">
        <f t="shared" ca="1" si="39"/>
        <v>17906429.801099267</v>
      </c>
      <c r="O232" s="196">
        <v>229</v>
      </c>
      <c r="P232" s="197">
        <f t="shared" ca="1" si="32"/>
        <v>0</v>
      </c>
      <c r="Q232" s="197">
        <f t="shared" ca="1" si="33"/>
        <v>0</v>
      </c>
      <c r="R232" s="197">
        <f t="shared" ca="1" si="34"/>
        <v>0</v>
      </c>
      <c r="S232" s="197">
        <f t="shared" si="35"/>
        <v>0</v>
      </c>
    </row>
    <row r="233" spans="8:19" x14ac:dyDescent="0.25">
      <c r="H233" s="191">
        <v>226</v>
      </c>
      <c r="I233" s="209">
        <f t="shared" ca="1" si="36"/>
        <v>-5334334568.3202353</v>
      </c>
      <c r="J233" s="198">
        <f t="shared" ca="1" si="37"/>
        <v>66415187.433431923</v>
      </c>
      <c r="K233" s="198">
        <f t="shared" ca="1" si="38"/>
        <v>-48508757.632332653</v>
      </c>
      <c r="L233" s="193">
        <f t="shared" ca="1" si="39"/>
        <v>17906429.801099267</v>
      </c>
      <c r="O233" s="196">
        <v>230</v>
      </c>
      <c r="P233" s="197">
        <f t="shared" ca="1" si="32"/>
        <v>0</v>
      </c>
      <c r="Q233" s="197">
        <f t="shared" ca="1" si="33"/>
        <v>0</v>
      </c>
      <c r="R233" s="197">
        <f t="shared" ca="1" si="34"/>
        <v>0</v>
      </c>
      <c r="S233" s="197">
        <f t="shared" si="35"/>
        <v>0</v>
      </c>
    </row>
    <row r="234" spans="8:19" x14ac:dyDescent="0.25">
      <c r="H234" s="191">
        <v>227</v>
      </c>
      <c r="I234" s="209">
        <f t="shared" ca="1" si="36"/>
        <v>-5401361328.9379501</v>
      </c>
      <c r="J234" s="198">
        <f t="shared" ca="1" si="37"/>
        <v>67026760.617714763</v>
      </c>
      <c r="K234" s="198">
        <f t="shared" ca="1" si="38"/>
        <v>-49120330.8166155</v>
      </c>
      <c r="L234" s="193">
        <f t="shared" ca="1" si="39"/>
        <v>17906429.801099267</v>
      </c>
      <c r="O234" s="196">
        <v>231</v>
      </c>
      <c r="P234" s="197">
        <f t="shared" ca="1" si="32"/>
        <v>0</v>
      </c>
      <c r="Q234" s="197">
        <f t="shared" ca="1" si="33"/>
        <v>0</v>
      </c>
      <c r="R234" s="197">
        <f t="shared" ca="1" si="34"/>
        <v>0</v>
      </c>
      <c r="S234" s="197">
        <f t="shared" si="35"/>
        <v>0</v>
      </c>
    </row>
    <row r="235" spans="8:19" x14ac:dyDescent="0.25">
      <c r="H235" s="191">
        <v>228</v>
      </c>
      <c r="I235" s="209">
        <f t="shared" ca="1" si="36"/>
        <v>-5469005294.3096867</v>
      </c>
      <c r="J235" s="198">
        <f t="shared" ca="1" si="37"/>
        <v>67643965.371736228</v>
      </c>
      <c r="K235" s="198">
        <f t="shared" ca="1" si="38"/>
        <v>-49737535.570636958</v>
      </c>
      <c r="L235" s="193">
        <f t="shared" ca="1" si="39"/>
        <v>17906429.801099267</v>
      </c>
      <c r="O235" s="196">
        <v>232</v>
      </c>
      <c r="P235" s="197">
        <f t="shared" ca="1" si="32"/>
        <v>0</v>
      </c>
      <c r="Q235" s="197">
        <f t="shared" ca="1" si="33"/>
        <v>0</v>
      </c>
      <c r="R235" s="197">
        <f t="shared" ca="1" si="34"/>
        <v>0</v>
      </c>
      <c r="S235" s="197">
        <f t="shared" si="35"/>
        <v>0</v>
      </c>
    </row>
    <row r="236" spans="8:19" x14ac:dyDescent="0.25">
      <c r="H236" s="191">
        <v>229</v>
      </c>
      <c r="I236" s="209">
        <f t="shared" ca="1" si="36"/>
        <v>-5537272147.8625546</v>
      </c>
      <c r="J236" s="198">
        <f t="shared" ca="1" si="37"/>
        <v>68266853.552867636</v>
      </c>
      <c r="K236" s="198">
        <f t="shared" ca="1" si="38"/>
        <v>-50360423.751768366</v>
      </c>
      <c r="L236" s="193">
        <f t="shared" ca="1" si="39"/>
        <v>17906429.801099267</v>
      </c>
      <c r="O236" s="196">
        <v>233</v>
      </c>
      <c r="P236" s="197">
        <f t="shared" ca="1" si="32"/>
        <v>0</v>
      </c>
      <c r="Q236" s="197">
        <f t="shared" ca="1" si="33"/>
        <v>0</v>
      </c>
      <c r="R236" s="197">
        <f t="shared" ca="1" si="34"/>
        <v>0</v>
      </c>
      <c r="S236" s="197">
        <f t="shared" si="35"/>
        <v>0</v>
      </c>
    </row>
    <row r="237" spans="8:19" x14ac:dyDescent="0.25">
      <c r="H237" s="191">
        <v>230</v>
      </c>
      <c r="I237" s="209">
        <f t="shared" ca="1" si="36"/>
        <v>-5606167625.3585548</v>
      </c>
      <c r="J237" s="198">
        <f t="shared" ca="1" si="37"/>
        <v>68895477.49600029</v>
      </c>
      <c r="K237" s="198">
        <f t="shared" ca="1" si="38"/>
        <v>-50989047.694901027</v>
      </c>
      <c r="L237" s="193">
        <f t="shared" ca="1" si="39"/>
        <v>17906429.801099267</v>
      </c>
      <c r="O237" s="196">
        <v>234</v>
      </c>
      <c r="P237" s="197">
        <f t="shared" ca="1" si="32"/>
        <v>0</v>
      </c>
      <c r="Q237" s="197">
        <f t="shared" ca="1" si="33"/>
        <v>0</v>
      </c>
      <c r="R237" s="197">
        <f t="shared" ca="1" si="34"/>
        <v>0</v>
      </c>
      <c r="S237" s="197">
        <f t="shared" si="35"/>
        <v>0</v>
      </c>
    </row>
    <row r="238" spans="8:19" x14ac:dyDescent="0.25">
      <c r="H238" s="191">
        <v>231</v>
      </c>
      <c r="I238" s="209">
        <f t="shared" ca="1" si="36"/>
        <v>-5675697515.3764973</v>
      </c>
      <c r="J238" s="198">
        <f t="shared" ca="1" si="37"/>
        <v>69529890.017942622</v>
      </c>
      <c r="K238" s="198">
        <f t="shared" ca="1" si="38"/>
        <v>-51623460.216843359</v>
      </c>
      <c r="L238" s="193">
        <f t="shared" ca="1" si="39"/>
        <v>17906429.801099267</v>
      </c>
      <c r="O238" s="196">
        <v>235</v>
      </c>
      <c r="P238" s="197">
        <f t="shared" ca="1" si="32"/>
        <v>0</v>
      </c>
      <c r="Q238" s="197">
        <f t="shared" ca="1" si="33"/>
        <v>0</v>
      </c>
      <c r="R238" s="197">
        <f t="shared" ca="1" si="34"/>
        <v>0</v>
      </c>
      <c r="S238" s="197">
        <f t="shared" si="35"/>
        <v>0</v>
      </c>
    </row>
    <row r="239" spans="8:19" x14ac:dyDescent="0.25">
      <c r="H239" s="191">
        <v>232</v>
      </c>
      <c r="I239" s="209">
        <f t="shared" ca="1" si="36"/>
        <v>-5745867659.7983551</v>
      </c>
      <c r="J239" s="198">
        <f t="shared" ca="1" si="37"/>
        <v>70170144.421857849</v>
      </c>
      <c r="K239" s="198">
        <f t="shared" ca="1" si="38"/>
        <v>-52263714.620758586</v>
      </c>
      <c r="L239" s="193">
        <f t="shared" ca="1" si="39"/>
        <v>17906429.801099267</v>
      </c>
      <c r="O239" s="196">
        <v>236</v>
      </c>
      <c r="P239" s="197">
        <f t="shared" ca="1" si="32"/>
        <v>0</v>
      </c>
      <c r="Q239" s="197">
        <f t="shared" ca="1" si="33"/>
        <v>0</v>
      </c>
      <c r="R239" s="197">
        <f t="shared" ca="1" si="34"/>
        <v>0</v>
      </c>
      <c r="S239" s="197">
        <f t="shared" si="35"/>
        <v>0</v>
      </c>
    </row>
    <row r="240" spans="8:19" x14ac:dyDescent="0.25">
      <c r="H240" s="191">
        <v>233</v>
      </c>
      <c r="I240" s="209">
        <f t="shared" ca="1" si="36"/>
        <v>-5816683954.3000975</v>
      </c>
      <c r="J240" s="198">
        <f t="shared" ca="1" si="37"/>
        <v>70816294.501742452</v>
      </c>
      <c r="K240" s="198">
        <f t="shared" ca="1" si="38"/>
        <v>-52909864.700643189</v>
      </c>
      <c r="L240" s="193">
        <f t="shared" ca="1" si="39"/>
        <v>17906429.801099267</v>
      </c>
      <c r="O240" s="196">
        <v>237</v>
      </c>
      <c r="P240" s="197">
        <f t="shared" ca="1" si="32"/>
        <v>0</v>
      </c>
      <c r="Q240" s="197">
        <f t="shared" ca="1" si="33"/>
        <v>0</v>
      </c>
      <c r="R240" s="197">
        <f t="shared" ca="1" si="34"/>
        <v>0</v>
      </c>
      <c r="S240" s="197">
        <f t="shared" si="35"/>
        <v>0</v>
      </c>
    </row>
    <row r="241" spans="8:19" x14ac:dyDescent="0.25">
      <c r="H241" s="191">
        <v>234</v>
      </c>
      <c r="I241" s="209">
        <f t="shared" ca="1" si="36"/>
        <v>-5888152348.847043</v>
      </c>
      <c r="J241" s="198">
        <f t="shared" ca="1" si="37"/>
        <v>71468394.546946004</v>
      </c>
      <c r="K241" s="198">
        <f t="shared" ca="1" si="38"/>
        <v>-53561964.745846733</v>
      </c>
      <c r="L241" s="193">
        <f t="shared" ca="1" si="39"/>
        <v>17906429.801099267</v>
      </c>
      <c r="O241" s="196">
        <v>238</v>
      </c>
      <c r="P241" s="197">
        <f t="shared" ca="1" si="32"/>
        <v>0</v>
      </c>
      <c r="Q241" s="197">
        <f t="shared" ca="1" si="33"/>
        <v>0</v>
      </c>
      <c r="R241" s="197">
        <f t="shared" ca="1" si="34"/>
        <v>0</v>
      </c>
      <c r="S241" s="197">
        <f t="shared" si="35"/>
        <v>0</v>
      </c>
    </row>
    <row r="242" spans="8:19" x14ac:dyDescent="0.25">
      <c r="H242" s="191">
        <v>235</v>
      </c>
      <c r="I242" s="209">
        <f t="shared" ca="1" si="36"/>
        <v>-5960278848.1937752</v>
      </c>
      <c r="J242" s="198">
        <f t="shared" ca="1" si="37"/>
        <v>72126499.346732453</v>
      </c>
      <c r="K242" s="198">
        <f t="shared" ca="1" si="38"/>
        <v>-54220069.545633189</v>
      </c>
      <c r="L242" s="193">
        <f t="shared" ca="1" si="39"/>
        <v>17906429.801099267</v>
      </c>
      <c r="O242" s="196">
        <v>239</v>
      </c>
      <c r="P242" s="197">
        <f t="shared" ca="1" si="32"/>
        <v>0</v>
      </c>
      <c r="Q242" s="197">
        <f t="shared" ca="1" si="33"/>
        <v>0</v>
      </c>
      <c r="R242" s="197">
        <f t="shared" ca="1" si="34"/>
        <v>0</v>
      </c>
      <c r="S242" s="197">
        <f t="shared" si="35"/>
        <v>0</v>
      </c>
    </row>
    <row r="243" spans="8:19" x14ac:dyDescent="0.25">
      <c r="H243" s="191">
        <v>236</v>
      </c>
      <c r="I243" s="209">
        <f t="shared" ca="1" si="36"/>
        <v>-6033069512.3886585</v>
      </c>
      <c r="J243" s="198">
        <f t="shared" ca="1" si="37"/>
        <v>72790664.194883615</v>
      </c>
      <c r="K243" s="198">
        <f t="shared" ca="1" si="38"/>
        <v>-54884234.393784352</v>
      </c>
      <c r="L243" s="193">
        <f t="shared" ca="1" si="39"/>
        <v>17906429.801099267</v>
      </c>
      <c r="O243" s="196">
        <v>240</v>
      </c>
      <c r="P243" s="197">
        <f t="shared" ca="1" si="32"/>
        <v>0</v>
      </c>
      <c r="Q243" s="197">
        <f t="shared" ca="1" si="33"/>
        <v>0</v>
      </c>
      <c r="R243" s="197">
        <f t="shared" ca="1" si="34"/>
        <v>0</v>
      </c>
      <c r="S243" s="197">
        <f t="shared" si="35"/>
        <v>0</v>
      </c>
    </row>
    <row r="244" spans="8:19" x14ac:dyDescent="0.25">
      <c r="H244" s="191">
        <v>237</v>
      </c>
      <c r="I244" s="209">
        <f t="shared" ca="1" si="36"/>
        <v>-6106530457.2830038</v>
      </c>
      <c r="J244" s="198">
        <f t="shared" ca="1" si="37"/>
        <v>73460944.894344836</v>
      </c>
      <c r="K244" s="198">
        <f t="shared" ca="1" si="38"/>
        <v>-55554515.093245566</v>
      </c>
      <c r="L244" s="193">
        <f t="shared" ca="1" si="39"/>
        <v>17906429.801099267</v>
      </c>
      <c r="O244" s="196"/>
    </row>
    <row r="245" spans="8:19" x14ac:dyDescent="0.25">
      <c r="H245" s="191">
        <v>238</v>
      </c>
      <c r="I245" s="209">
        <f t="shared" ca="1" si="36"/>
        <v>-6180667855.0449171</v>
      </c>
      <c r="J245" s="198">
        <f t="shared" ca="1" si="37"/>
        <v>74137397.761913598</v>
      </c>
      <c r="K245" s="198">
        <f t="shared" ca="1" si="38"/>
        <v>-56230967.960814334</v>
      </c>
      <c r="L245" s="193">
        <f t="shared" ca="1" si="39"/>
        <v>17906429.801099267</v>
      </c>
      <c r="O245" s="196"/>
    </row>
    <row r="246" spans="8:19" x14ac:dyDescent="0.25">
      <c r="H246" s="191">
        <v>239</v>
      </c>
      <c r="I246" s="209">
        <f t="shared" ca="1" si="36"/>
        <v>-6255487934.6778879</v>
      </c>
      <c r="J246" s="198">
        <f t="shared" ca="1" si="37"/>
        <v>74820079.632971212</v>
      </c>
      <c r="K246" s="198">
        <f t="shared" ca="1" si="38"/>
        <v>-56913649.831871949</v>
      </c>
      <c r="L246" s="193">
        <f t="shared" ca="1" si="39"/>
        <v>17906429.801099267</v>
      </c>
      <c r="O246" s="196"/>
    </row>
    <row r="247" spans="8:19" x14ac:dyDescent="0.25">
      <c r="H247" s="191">
        <v>240</v>
      </c>
      <c r="J247" s="198">
        <f t="shared" ca="1" si="37"/>
        <v>75509047.866258159</v>
      </c>
      <c r="K247" s="198">
        <f t="shared" ca="1" si="38"/>
        <v>-57602618.065158889</v>
      </c>
      <c r="L247" s="193">
        <f t="shared" ca="1" si="39"/>
        <v>17906429.801099267</v>
      </c>
      <c r="O247" s="196"/>
    </row>
  </sheetData>
  <sheetProtection algorithmName="SHA-512" hashValue="jIiPVyE1X++upwtGBtuDLx5FRdHJOpfLOnNvctx3kST9FI9a09GFa3nNil/Ggkd1OV5X04KZk0QABfWNWtq/bg==" saltValue="/ln2JdMAxzS6kCF+4JcQpw==" spinCount="100000" sheet="1" objects="1" scenarios="1"/>
  <mergeCells count="9">
    <mergeCell ref="B16:E19"/>
    <mergeCell ref="B29:E30"/>
    <mergeCell ref="B15:E15"/>
    <mergeCell ref="D31:E31"/>
    <mergeCell ref="A48:A55"/>
    <mergeCell ref="A38:A46"/>
    <mergeCell ref="A16:A20"/>
    <mergeCell ref="A22:A27"/>
    <mergeCell ref="A33:A36"/>
  </mergeCells>
  <printOptions headings="1" gridLines="1"/>
  <pageMargins left="0.7" right="0.7" top="0.75" bottom="0.75" header="0.3" footer="0.3"/>
  <pageSetup paperSize="9" scale="6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5"/>
  <sheetViews>
    <sheetView workbookViewId="0">
      <selection activeCell="B5" sqref="B5"/>
    </sheetView>
  </sheetViews>
  <sheetFormatPr defaultColWidth="9.98828125" defaultRowHeight="21" x14ac:dyDescent="0.3"/>
  <sheetData>
    <row r="2" spans="2:4" x14ac:dyDescent="0.3">
      <c r="B2" t="s">
        <v>263</v>
      </c>
      <c r="C2" t="s">
        <v>65</v>
      </c>
      <c r="D2" t="s">
        <v>264</v>
      </c>
    </row>
    <row r="3" spans="2:4" x14ac:dyDescent="0.3">
      <c r="B3">
        <v>540</v>
      </c>
      <c r="C3">
        <v>39</v>
      </c>
      <c r="D3">
        <v>500</v>
      </c>
    </row>
    <row r="5" spans="2:4" x14ac:dyDescent="0.3">
      <c r="C5">
        <v>39</v>
      </c>
      <c r="D5">
        <v>519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allowEditUser xmlns="https://web.wps.cn/et/2018/main" xmlns:s="http://schemas.openxmlformats.org/spreadsheetml/2006/main" hasInvisiblePropRange="0">
  <rangeList sheetStid="1"/>
  <rangeList sheetStid="2" master=""/>
  <rangeList sheetStid="3" master=""/>
  <rangeList sheetStid="4"/>
  <rangeList sheetStid="5" master=""/>
  <rangeList sheetStid="6" master=""/>
  <rangeList sheetStid="7" master=""/>
  <rangeList sheetStid="8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Lembar kerja</vt:lpstr>
      </vt:variant>
      <vt:variant>
        <vt:i4>8</vt:i4>
      </vt:variant>
      <vt:variant>
        <vt:lpstr>Rentang Bernama</vt:lpstr>
      </vt:variant>
      <vt:variant>
        <vt:i4>2</vt:i4>
      </vt:variant>
    </vt:vector>
  </HeadingPairs>
  <TitlesOfParts>
    <vt:vector size="10" baseType="lpstr">
      <vt:lpstr>Akseptasi</vt:lpstr>
      <vt:lpstr>Simulasi</vt:lpstr>
      <vt:lpstr>Rumus Plafond + Atrib PP10 (2)</vt:lpstr>
      <vt:lpstr>Rincian ke Nsb</vt:lpstr>
      <vt:lpstr>Jadwal Angsuran Dekade Berkah</vt:lpstr>
      <vt:lpstr>Jadwal Angsuran TriBerkah (Blok</vt:lpstr>
      <vt:lpstr>Rumus Plafond + Atrib PP3</vt:lpstr>
      <vt:lpstr>Sheet1</vt:lpstr>
      <vt:lpstr>Rumus Plafond + Atrib PP10 (2)!Print_Area</vt:lpstr>
      <vt:lpstr>Rumus Plafond + Atrib PP3!Print_Area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GreySky</dc:creator>
  <cp:lastModifiedBy>User</cp:lastModifiedBy>
  <dcterms:created xsi:type="dcterms:W3CDTF">2025-03-12T22:16:00Z</dcterms:created>
  <dcterms:modified xsi:type="dcterms:W3CDTF">2026-09-28T08:58:39Z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04a87d4dc1ff408a951b426efeeb6f37</vt:lpwstr>
  </property>
  <property fmtid="{D5CDD505-2E9C-101B-9397-08002B2CF9AE}" pid="3" name="KSOProductBuildVer">
    <vt:lpwstr>1033-12.2.0.21931</vt:lpwstr>
  </property>
</Properties>
</file>