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D:\Projects\layanan_pensiunan\Blue_Print\Rumus BSI\"/>
    </mc:Choice>
  </mc:AlternateContent>
  <xr:revisionPtr revIDLastSave="0" documentId="13_ncr:1_{BFF6A8A7-2B66-49C5-B5FB-9D26B3E9DDCB}" xr6:coauthVersionLast="43" xr6:coauthVersionMax="47" xr10:uidLastSave="{00000000-0000-0000-0000-000000000000}"/>
  <workbookProtection workbookAlgorithmName="SHA-512" workbookHashValue="KJ6ZEJjcTFXV2XEprY10QW4F3R8Q6KCpUj5yFzYSsr9ZRzbVpTOP/wj37CGvbsuJGrVn1U40tLuww8k9kZv8Og==" workbookSaltValue="l5+3wCH669ltiqf5R9at3w==" workbookSpinCount="100000" lockStructure="1"/>
  <bookViews>
    <workbookView xWindow="10845" yWindow="750" windowWidth="9990" windowHeight="10515" tabRatio="876" firstSheet="2" activeTab="2" xr2:uid="{00000000-000D-0000-FFFF-FFFF00000000}"/>
  </bookViews>
  <sheets>
    <sheet name="Spek Produk" sheetId="19" state="veryHidden" r:id="rId1"/>
    <sheet name="Medic" sheetId="17" state="veryHidden" r:id="rId2"/>
    <sheet name="Simulasi Premi 1 (Personal)" sheetId="14" r:id="rId3"/>
    <sheet name="Simulasi Premi 2 (Group)" sheetId="20" state="veryHidden" r:id="rId4"/>
  </sheets>
  <externalReferences>
    <externalReference r:id="rId5"/>
  </externalReferences>
  <definedNames>
    <definedName name="_xleta.VLOOKUP" hidden="1" xlm="1">#NAME?</definedName>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(Personal)'!$B$4:$J$75</definedName>
    <definedName name="tahun" localSheetId="3">'[1]TARIP '!$K$4:$K$24</definedName>
    <definedName name="tahun">#REF!</definedName>
  </definedNames>
  <calcPr calcId="191028"/>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2" i="14" l="1"/>
  <c r="R11" i="20"/>
  <c r="S11" i="20"/>
  <c r="R10" i="20"/>
  <c r="R9" i="20"/>
  <c r="R8" i="20"/>
  <c r="R6" i="20"/>
  <c r="R7" i="20"/>
  <c r="R12" i="20"/>
  <c r="R13" i="20"/>
  <c r="R14" i="20"/>
  <c r="R15" i="20"/>
  <c r="R16" i="20"/>
  <c r="R17" i="20"/>
  <c r="S17" i="20"/>
  <c r="R18" i="20"/>
  <c r="S18" i="20"/>
  <c r="R19" i="20"/>
  <c r="S19" i="20"/>
  <c r="R20" i="20"/>
  <c r="S20" i="20"/>
  <c r="R21" i="20"/>
  <c r="S21" i="20"/>
  <c r="R22" i="20"/>
  <c r="S22" i="20"/>
  <c r="R23" i="20"/>
  <c r="S23" i="20"/>
  <c r="R24" i="20"/>
  <c r="S24" i="20"/>
  <c r="R25" i="20"/>
  <c r="S25" i="20"/>
  <c r="R26" i="20"/>
  <c r="S26" i="20"/>
  <c r="R27" i="20"/>
  <c r="R28" i="20"/>
  <c r="R29" i="20"/>
  <c r="R30" i="20"/>
  <c r="R31" i="20"/>
  <c r="R32" i="20"/>
  <c r="R33" i="20"/>
  <c r="R34" i="20"/>
  <c r="R35" i="20"/>
  <c r="R36" i="20"/>
  <c r="R37" i="20"/>
  <c r="S37" i="20"/>
  <c r="R38" i="20"/>
  <c r="S38" i="20"/>
  <c r="R39" i="20"/>
  <c r="S39" i="20"/>
  <c r="R40" i="20"/>
  <c r="S40" i="20"/>
  <c r="R41" i="20"/>
  <c r="S41" i="20"/>
  <c r="R42" i="20"/>
  <c r="S42" i="20"/>
  <c r="R43" i="20"/>
  <c r="S43" i="20"/>
  <c r="R44" i="20"/>
  <c r="S44" i="20"/>
  <c r="R45" i="20"/>
  <c r="S45" i="20"/>
  <c r="R46" i="20"/>
  <c r="S46" i="20"/>
  <c r="R47" i="20"/>
  <c r="R48" i="20"/>
  <c r="R49" i="20"/>
  <c r="R50" i="20"/>
  <c r="R51" i="20"/>
  <c r="R52" i="20"/>
  <c r="R53" i="20"/>
  <c r="R54" i="20"/>
  <c r="R55" i="20"/>
  <c r="S12" i="20"/>
  <c r="S13" i="20"/>
  <c r="S14" i="20"/>
  <c r="S15" i="20"/>
  <c r="S16" i="20"/>
  <c r="S27" i="20"/>
  <c r="S28" i="20"/>
  <c r="S29" i="20"/>
  <c r="S30" i="20"/>
  <c r="S31" i="20"/>
  <c r="S32" i="20"/>
  <c r="S33" i="20"/>
  <c r="S34" i="20"/>
  <c r="S35" i="20"/>
  <c r="S36" i="20"/>
  <c r="S47" i="20"/>
  <c r="S48" i="20"/>
  <c r="S49" i="20"/>
  <c r="S50" i="20"/>
  <c r="S51" i="20"/>
  <c r="S52" i="20"/>
  <c r="S53" i="20"/>
  <c r="S54" i="20"/>
  <c r="S55" i="20"/>
  <c r="T7" i="20"/>
  <c r="T9" i="20"/>
  <c r="T11" i="20"/>
  <c r="T12" i="20"/>
  <c r="T13" i="20"/>
  <c r="T14" i="20"/>
  <c r="T15" i="20"/>
  <c r="T16" i="20"/>
  <c r="T17" i="20"/>
  <c r="T18" i="20"/>
  <c r="T19" i="20"/>
  <c r="T20" i="20"/>
  <c r="T21" i="20"/>
  <c r="T22" i="20"/>
  <c r="T23" i="20"/>
  <c r="T24" i="20"/>
  <c r="T25" i="20"/>
  <c r="T26" i="20"/>
  <c r="T27" i="20"/>
  <c r="T28" i="20"/>
  <c r="T29" i="20"/>
  <c r="T30" i="20"/>
  <c r="T31" i="20"/>
  <c r="T32" i="20"/>
  <c r="T33" i="20"/>
  <c r="T34" i="20"/>
  <c r="T35" i="20"/>
  <c r="T36" i="20"/>
  <c r="T37" i="20"/>
  <c r="T38" i="20"/>
  <c r="T39" i="20"/>
  <c r="T40" i="20"/>
  <c r="T41" i="20"/>
  <c r="T42" i="20"/>
  <c r="T43" i="20"/>
  <c r="T44" i="20"/>
  <c r="T45" i="20"/>
  <c r="T46" i="20"/>
  <c r="T47" i="20"/>
  <c r="T48" i="20"/>
  <c r="T49" i="20"/>
  <c r="T50" i="20"/>
  <c r="T51" i="20"/>
  <c r="T52" i="20"/>
  <c r="T53" i="20"/>
  <c r="T54" i="20"/>
  <c r="T55" i="20"/>
  <c r="M8" i="19"/>
  <c r="N8" i="19"/>
  <c r="O8" i="19"/>
  <c r="P8" i="19"/>
  <c r="Q8" i="19"/>
  <c r="R8" i="19"/>
  <c r="S8" i="19"/>
  <c r="T8" i="19"/>
  <c r="M9" i="19"/>
  <c r="N9" i="19"/>
  <c r="O9" i="19"/>
  <c r="P9" i="19"/>
  <c r="Q9" i="19"/>
  <c r="R9" i="19"/>
  <c r="S9" i="19"/>
  <c r="T9" i="19"/>
  <c r="M10" i="19"/>
  <c r="N10" i="19"/>
  <c r="O10" i="19"/>
  <c r="P10" i="19"/>
  <c r="Q10" i="19"/>
  <c r="R10" i="19"/>
  <c r="S10" i="19"/>
  <c r="T10" i="19"/>
  <c r="M11" i="19"/>
  <c r="N11" i="19"/>
  <c r="O11" i="19"/>
  <c r="P11" i="19"/>
  <c r="Q11" i="19"/>
  <c r="R11" i="19"/>
  <c r="S11" i="19"/>
  <c r="T11" i="19"/>
  <c r="M12" i="19"/>
  <c r="N12" i="19"/>
  <c r="O12" i="19"/>
  <c r="P12" i="19"/>
  <c r="Q12" i="19"/>
  <c r="R12" i="19"/>
  <c r="S12" i="19"/>
  <c r="T12" i="19"/>
  <c r="M13" i="19"/>
  <c r="N13" i="19"/>
  <c r="O13" i="19"/>
  <c r="P13" i="19"/>
  <c r="Q13" i="19"/>
  <c r="R13" i="19"/>
  <c r="S13" i="19"/>
  <c r="T13" i="19"/>
  <c r="M14" i="19"/>
  <c r="N14" i="19"/>
  <c r="O14" i="19"/>
  <c r="P14" i="19"/>
  <c r="Q14" i="19"/>
  <c r="R14" i="19"/>
  <c r="S14" i="19"/>
  <c r="T14" i="19"/>
  <c r="M15" i="19"/>
  <c r="N15" i="19"/>
  <c r="O15" i="19"/>
  <c r="P15" i="19"/>
  <c r="Q15" i="19"/>
  <c r="R15" i="19"/>
  <c r="S15" i="19"/>
  <c r="T15" i="19"/>
  <c r="M16" i="19"/>
  <c r="N16" i="19"/>
  <c r="O16" i="19"/>
  <c r="P16" i="19"/>
  <c r="Q16" i="19"/>
  <c r="R16" i="19"/>
  <c r="S16" i="19"/>
  <c r="T16" i="19"/>
  <c r="M17" i="19"/>
  <c r="N17" i="19"/>
  <c r="O17" i="19"/>
  <c r="P17" i="19"/>
  <c r="Q17" i="19"/>
  <c r="R17" i="19"/>
  <c r="S17" i="19"/>
  <c r="T17" i="19"/>
  <c r="M18" i="19"/>
  <c r="N18" i="19"/>
  <c r="O18" i="19"/>
  <c r="P18" i="19"/>
  <c r="Q18" i="19"/>
  <c r="R18" i="19"/>
  <c r="S18" i="19"/>
  <c r="T18" i="19"/>
  <c r="M19" i="19"/>
  <c r="N19" i="19"/>
  <c r="O19" i="19"/>
  <c r="P19" i="19"/>
  <c r="Q19" i="19"/>
  <c r="R19" i="19"/>
  <c r="S19" i="19"/>
  <c r="T19" i="19"/>
  <c r="M20" i="19"/>
  <c r="N20" i="19"/>
  <c r="O20" i="19"/>
  <c r="P20" i="19"/>
  <c r="Q20" i="19"/>
  <c r="R20" i="19"/>
  <c r="S20" i="19"/>
  <c r="T20" i="19"/>
  <c r="M21" i="19"/>
  <c r="N21" i="19"/>
  <c r="O21" i="19"/>
  <c r="P21" i="19"/>
  <c r="Q21" i="19"/>
  <c r="R21" i="19"/>
  <c r="S21" i="19"/>
  <c r="T21" i="19"/>
  <c r="M22" i="19"/>
  <c r="N22" i="19"/>
  <c r="O22" i="19"/>
  <c r="P22" i="19"/>
  <c r="Q22" i="19"/>
  <c r="R22" i="19"/>
  <c r="S22" i="19"/>
  <c r="T22" i="19"/>
  <c r="M23" i="19"/>
  <c r="N23" i="19"/>
  <c r="O23" i="19"/>
  <c r="P23" i="19"/>
  <c r="Q23" i="19"/>
  <c r="R23" i="19"/>
  <c r="S23" i="19"/>
  <c r="T23" i="19"/>
  <c r="M24" i="19"/>
  <c r="N24" i="19"/>
  <c r="O24" i="19"/>
  <c r="P24" i="19"/>
  <c r="Q24" i="19"/>
  <c r="R24" i="19"/>
  <c r="S24" i="19"/>
  <c r="T24" i="19"/>
  <c r="M25" i="19"/>
  <c r="N25" i="19"/>
  <c r="O25" i="19"/>
  <c r="P25" i="19"/>
  <c r="Q25" i="19"/>
  <c r="R25" i="19"/>
  <c r="S25" i="19"/>
  <c r="T25" i="19"/>
  <c r="M26" i="19"/>
  <c r="N26" i="19"/>
  <c r="O26" i="19"/>
  <c r="P26" i="19"/>
  <c r="Q26" i="19"/>
  <c r="R26" i="19"/>
  <c r="S26" i="19"/>
  <c r="T26" i="19"/>
  <c r="M27" i="19"/>
  <c r="N27" i="19"/>
  <c r="O27" i="19"/>
  <c r="P27" i="19"/>
  <c r="Q27" i="19"/>
  <c r="R27" i="19"/>
  <c r="S27" i="19"/>
  <c r="T27" i="19"/>
  <c r="M28" i="19"/>
  <c r="N28" i="19"/>
  <c r="O28" i="19"/>
  <c r="P28" i="19"/>
  <c r="Q28" i="19"/>
  <c r="R28" i="19"/>
  <c r="S28" i="19"/>
  <c r="T28" i="19"/>
  <c r="M29" i="19"/>
  <c r="N29" i="19"/>
  <c r="O29" i="19"/>
  <c r="P29" i="19"/>
  <c r="Q29" i="19"/>
  <c r="R29" i="19"/>
  <c r="S29" i="19"/>
  <c r="T29" i="19"/>
  <c r="M30" i="19"/>
  <c r="N30" i="19"/>
  <c r="O30" i="19"/>
  <c r="P30" i="19"/>
  <c r="Q30" i="19"/>
  <c r="R30" i="19"/>
  <c r="S30" i="19"/>
  <c r="T30" i="19"/>
  <c r="M31" i="19"/>
  <c r="N31" i="19"/>
  <c r="O31" i="19"/>
  <c r="P31" i="19"/>
  <c r="Q31" i="19"/>
  <c r="R31" i="19"/>
  <c r="S31" i="19"/>
  <c r="T31" i="19"/>
  <c r="M32" i="19"/>
  <c r="N32" i="19"/>
  <c r="O32" i="19"/>
  <c r="P32" i="19"/>
  <c r="Q32" i="19"/>
  <c r="R32" i="19"/>
  <c r="S32" i="19"/>
  <c r="T32" i="19"/>
  <c r="M33" i="19"/>
  <c r="N33" i="19"/>
  <c r="O33" i="19"/>
  <c r="P33" i="19"/>
  <c r="Q33" i="19"/>
  <c r="R33" i="19"/>
  <c r="S33" i="19"/>
  <c r="T33" i="19"/>
  <c r="M34" i="19"/>
  <c r="N34" i="19"/>
  <c r="O34" i="19"/>
  <c r="P34" i="19"/>
  <c r="Q34" i="19"/>
  <c r="R34" i="19"/>
  <c r="S34" i="19"/>
  <c r="T34" i="19"/>
  <c r="M35" i="19"/>
  <c r="N35" i="19"/>
  <c r="O35" i="19"/>
  <c r="P35" i="19"/>
  <c r="Q35" i="19"/>
  <c r="R35" i="19"/>
  <c r="S35" i="19"/>
  <c r="T35" i="19"/>
  <c r="M36" i="19"/>
  <c r="N36" i="19"/>
  <c r="O36" i="19"/>
  <c r="P36" i="19"/>
  <c r="Q36" i="19"/>
  <c r="R36" i="19"/>
  <c r="S36" i="19"/>
  <c r="T36" i="19"/>
  <c r="M37" i="19"/>
  <c r="N37" i="19"/>
  <c r="O37" i="19"/>
  <c r="P37" i="19"/>
  <c r="Q37" i="19"/>
  <c r="R37" i="19"/>
  <c r="S37" i="19"/>
  <c r="T37" i="19"/>
  <c r="M38" i="19"/>
  <c r="N38" i="19"/>
  <c r="O38" i="19"/>
  <c r="P38" i="19"/>
  <c r="Q38" i="19"/>
  <c r="R38" i="19"/>
  <c r="S38" i="19"/>
  <c r="T38" i="19"/>
  <c r="M39" i="19"/>
  <c r="N39" i="19"/>
  <c r="O39" i="19"/>
  <c r="P39" i="19"/>
  <c r="Q39" i="19"/>
  <c r="R39" i="19"/>
  <c r="S39" i="19"/>
  <c r="T39" i="19"/>
  <c r="M40" i="19"/>
  <c r="N40" i="19"/>
  <c r="O40" i="19"/>
  <c r="P40" i="19"/>
  <c r="Q40" i="19"/>
  <c r="R40" i="19"/>
  <c r="S40" i="19"/>
  <c r="T40" i="19"/>
  <c r="M41" i="19"/>
  <c r="N41" i="19"/>
  <c r="O41" i="19"/>
  <c r="P41" i="19"/>
  <c r="Q41" i="19"/>
  <c r="R41" i="19"/>
  <c r="S41" i="19"/>
  <c r="T41" i="19"/>
  <c r="M42" i="19"/>
  <c r="N42" i="19"/>
  <c r="O42" i="19"/>
  <c r="P42" i="19"/>
  <c r="Q42" i="19"/>
  <c r="R42" i="19"/>
  <c r="S42" i="19"/>
  <c r="T42" i="19"/>
  <c r="M43" i="19"/>
  <c r="N43" i="19"/>
  <c r="O43" i="19"/>
  <c r="P43" i="19"/>
  <c r="Q43" i="19"/>
  <c r="R43" i="19"/>
  <c r="S43" i="19"/>
  <c r="T43" i="19"/>
  <c r="M44" i="19"/>
  <c r="N44" i="19"/>
  <c r="O44" i="19"/>
  <c r="P44" i="19"/>
  <c r="Q44" i="19"/>
  <c r="R44" i="19"/>
  <c r="S44" i="19"/>
  <c r="T44" i="19"/>
  <c r="M45" i="19"/>
  <c r="N45" i="19"/>
  <c r="O45" i="19"/>
  <c r="P45" i="19"/>
  <c r="Q45" i="19"/>
  <c r="R45" i="19"/>
  <c r="S45" i="19"/>
  <c r="T45" i="19"/>
  <c r="M46" i="19"/>
  <c r="N46" i="19"/>
  <c r="O46" i="19"/>
  <c r="P46" i="19"/>
  <c r="Q46" i="19"/>
  <c r="R46" i="19"/>
  <c r="S46" i="19"/>
  <c r="T46" i="19"/>
  <c r="M47" i="19"/>
  <c r="N47" i="19"/>
  <c r="O47" i="19"/>
  <c r="P47" i="19"/>
  <c r="Q47" i="19"/>
  <c r="R47" i="19"/>
  <c r="S47" i="19"/>
  <c r="T47" i="19"/>
  <c r="M48" i="19"/>
  <c r="N48" i="19"/>
  <c r="O48" i="19"/>
  <c r="P48" i="19"/>
  <c r="Q48" i="19"/>
  <c r="R48" i="19"/>
  <c r="S48" i="19"/>
  <c r="T48" i="19"/>
  <c r="H12" i="19"/>
  <c r="G35" i="19"/>
  <c r="I35" i="19"/>
  <c r="F30" i="19"/>
  <c r="F31" i="19"/>
  <c r="F33" i="19"/>
  <c r="H36" i="19"/>
  <c r="G34" i="19"/>
  <c r="I34" i="19"/>
  <c r="F6" i="19"/>
  <c r="AR43" i="19" a="1"/>
  <c r="AR42" i="19" a="1"/>
  <c r="AU39" i="19"/>
  <c r="AT40" i="19"/>
  <c r="AT39" i="19"/>
  <c r="I11" i="19"/>
  <c r="G11" i="19"/>
  <c r="H29" i="14"/>
  <c r="F20" i="19" s="1" a="1"/>
  <c r="F20" i="19" s="1"/>
  <c r="I10" i="19"/>
  <c r="G10" i="19"/>
  <c r="F9" i="19"/>
  <c r="F7" i="19"/>
  <c r="D55" i="14"/>
  <c r="T4" i="20"/>
  <c r="Y11" i="20" a="1"/>
  <c r="A8" i="17"/>
  <c r="W4" i="20"/>
  <c r="A7" i="17"/>
  <c r="A5" i="17"/>
  <c r="A6" i="17"/>
  <c r="A4" i="17"/>
  <c r="A3" i="17"/>
  <c r="D47" i="14"/>
  <c r="K2" i="17"/>
  <c r="K8" i="17"/>
  <c r="L2" i="17"/>
  <c r="L8" i="17"/>
  <c r="K3" i="17"/>
  <c r="L3" i="17"/>
  <c r="K4" i="17"/>
  <c r="K7" i="17"/>
  <c r="L4" i="17"/>
  <c r="L7" i="17"/>
  <c r="K5" i="17"/>
  <c r="L5" i="17"/>
  <c r="K6" i="17"/>
  <c r="L6" i="17"/>
  <c r="F2" i="17"/>
  <c r="E2" i="17"/>
  <c r="J6" i="17"/>
  <c r="H2" i="17"/>
  <c r="G2" i="17"/>
  <c r="J8" i="17"/>
  <c r="J4" i="17"/>
  <c r="D2" i="17"/>
  <c r="C2" i="17"/>
  <c r="J2" i="17"/>
  <c r="B2" i="17"/>
  <c r="I2" i="17"/>
  <c r="J5" i="17"/>
  <c r="J7" i="17"/>
  <c r="J3" i="17"/>
  <c r="I8" i="17"/>
  <c r="B4" i="17"/>
  <c r="B5" i="17"/>
  <c r="C4" i="17"/>
  <c r="B6" i="17"/>
  <c r="C5" i="17"/>
  <c r="C6" i="17"/>
  <c r="B3" i="17"/>
  <c r="B7" i="17"/>
  <c r="C3" i="17"/>
  <c r="B8" i="17"/>
  <c r="C7" i="17"/>
  <c r="C8" i="17"/>
  <c r="D3" i="17"/>
  <c r="D4" i="17"/>
  <c r="D5" i="17"/>
  <c r="D6" i="17"/>
  <c r="D7" i="17"/>
  <c r="D8" i="17"/>
  <c r="E3" i="17"/>
  <c r="E4" i="17"/>
  <c r="E5" i="17"/>
  <c r="E6" i="17"/>
  <c r="E7" i="17"/>
  <c r="E8" i="17"/>
  <c r="F3" i="17"/>
  <c r="F4" i="17"/>
  <c r="F5" i="17"/>
  <c r="F6" i="17"/>
  <c r="F7" i="17"/>
  <c r="F8" i="17"/>
  <c r="G8" i="17"/>
  <c r="H3" i="17"/>
  <c r="H4" i="17"/>
  <c r="H5" i="17"/>
  <c r="H6" i="17"/>
  <c r="H7" i="17"/>
  <c r="H8" i="17"/>
  <c r="G3" i="17"/>
  <c r="G4" i="17"/>
  <c r="G5" i="17"/>
  <c r="G6" i="17"/>
  <c r="G7" i="17"/>
  <c r="I3" i="17"/>
  <c r="I4" i="17"/>
  <c r="I5" i="17"/>
  <c r="I6" i="17"/>
  <c r="I7" i="17"/>
  <c r="T10" i="17"/>
  <c r="T9" i="17"/>
  <c r="T8" i="17"/>
  <c r="T7" i="17"/>
  <c r="T6" i="17"/>
  <c r="T5" i="17"/>
  <c r="T4" i="17"/>
  <c r="D32" i="14"/>
  <c r="Y11" i="20"/>
  <c r="U11" i="20"/>
  <c r="W11" i="20"/>
  <c r="V11" i="20"/>
  <c r="O4" i="20"/>
  <c r="M4" i="20"/>
  <c r="X4" i="20"/>
  <c r="V4" i="20"/>
  <c r="D38" i="14"/>
  <c r="D41" i="14"/>
  <c r="D14" i="14"/>
  <c r="C17" i="14"/>
  <c r="D57" i="14"/>
  <c r="D56" i="14"/>
  <c r="AP5" i="19"/>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L63"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AP47" i="19"/>
  <c r="AO47" i="19"/>
  <c r="AN47" i="19"/>
  <c r="AM47" i="19"/>
  <c r="AL47" i="19"/>
  <c r="AK47" i="19"/>
  <c r="AJ47" i="19"/>
  <c r="AI47" i="19"/>
  <c r="AH47" i="19"/>
  <c r="AG47" i="19"/>
  <c r="AF47" i="19"/>
  <c r="AE47" i="19"/>
  <c r="AD47" i="19"/>
  <c r="AC47" i="19"/>
  <c r="AB47" i="19"/>
  <c r="AA47" i="19"/>
  <c r="Z47" i="19"/>
  <c r="Y47" i="19"/>
  <c r="X47" i="19"/>
  <c r="W47" i="19"/>
  <c r="V47" i="19"/>
  <c r="U47" i="19"/>
  <c r="AP46" i="19"/>
  <c r="AO46" i="19"/>
  <c r="AN46" i="19"/>
  <c r="AM46" i="19"/>
  <c r="AL46" i="19"/>
  <c r="AK46" i="19"/>
  <c r="AJ46" i="19"/>
  <c r="AI46" i="19"/>
  <c r="AH46" i="19"/>
  <c r="AG46" i="19"/>
  <c r="AF46" i="19"/>
  <c r="AE46" i="19"/>
  <c r="AD46" i="19"/>
  <c r="AC46" i="19"/>
  <c r="AB46" i="19"/>
  <c r="AA46" i="19"/>
  <c r="Z46" i="19"/>
  <c r="Y46" i="19"/>
  <c r="X46" i="19"/>
  <c r="W46" i="19"/>
  <c r="V46" i="19"/>
  <c r="U46" i="19"/>
  <c r="AP45" i="19"/>
  <c r="AO45" i="19"/>
  <c r="AN45" i="19"/>
  <c r="AM45" i="19"/>
  <c r="AL45" i="19"/>
  <c r="AK45" i="19"/>
  <c r="AJ45" i="19"/>
  <c r="AI45" i="19"/>
  <c r="AH45" i="19"/>
  <c r="AG45" i="19"/>
  <c r="AF45" i="19"/>
  <c r="AE45" i="19"/>
  <c r="AD45" i="19"/>
  <c r="AC45" i="19"/>
  <c r="AB45" i="19"/>
  <c r="AA45" i="19"/>
  <c r="Z45" i="19"/>
  <c r="Y45" i="19"/>
  <c r="X45" i="19"/>
  <c r="W45" i="19"/>
  <c r="V45" i="19"/>
  <c r="U45" i="19"/>
  <c r="AP44" i="19"/>
  <c r="AO44" i="19"/>
  <c r="AN44" i="19"/>
  <c r="AM44" i="19"/>
  <c r="AL44" i="19"/>
  <c r="AK44" i="19"/>
  <c r="AJ44" i="19"/>
  <c r="AI44" i="19"/>
  <c r="AH44" i="19"/>
  <c r="AG44" i="19"/>
  <c r="AF44" i="19"/>
  <c r="AE44" i="19"/>
  <c r="AD44" i="19"/>
  <c r="AC44" i="19"/>
  <c r="AB44" i="19"/>
  <c r="AA44" i="19"/>
  <c r="Z44" i="19"/>
  <c r="Y44" i="19"/>
  <c r="X44" i="19"/>
  <c r="W44" i="19"/>
  <c r="V44" i="19"/>
  <c r="U44" i="19"/>
  <c r="AP43" i="19"/>
  <c r="AO43" i="19"/>
  <c r="AN43" i="19"/>
  <c r="AM43" i="19"/>
  <c r="AL43" i="19"/>
  <c r="AK43" i="19"/>
  <c r="AJ43" i="19"/>
  <c r="AI43" i="19"/>
  <c r="AH43" i="19"/>
  <c r="AG43" i="19"/>
  <c r="AF43" i="19"/>
  <c r="AE43" i="19"/>
  <c r="AD43" i="19"/>
  <c r="AC43" i="19"/>
  <c r="AB43" i="19"/>
  <c r="AA43" i="19"/>
  <c r="Z43" i="19"/>
  <c r="Y43" i="19"/>
  <c r="X43" i="19"/>
  <c r="W43" i="19"/>
  <c r="V43" i="19"/>
  <c r="U43" i="19"/>
  <c r="AP42" i="19"/>
  <c r="AO42" i="19"/>
  <c r="AN42" i="19"/>
  <c r="AM42" i="19"/>
  <c r="AL42" i="19"/>
  <c r="AK42" i="19"/>
  <c r="AJ42" i="19"/>
  <c r="AI42" i="19"/>
  <c r="AH42" i="19"/>
  <c r="AG42" i="19"/>
  <c r="AF42" i="19"/>
  <c r="AE42" i="19"/>
  <c r="AD42" i="19"/>
  <c r="AC42" i="19"/>
  <c r="AB42" i="19"/>
  <c r="AA42" i="19"/>
  <c r="Z42" i="19"/>
  <c r="Y42" i="19"/>
  <c r="X42" i="19"/>
  <c r="W42" i="19"/>
  <c r="V42" i="19"/>
  <c r="U42" i="19"/>
  <c r="AP41" i="19"/>
  <c r="AO41" i="19"/>
  <c r="AN41" i="19"/>
  <c r="AM41" i="19"/>
  <c r="AL41" i="19"/>
  <c r="AK41" i="19"/>
  <c r="AJ41" i="19"/>
  <c r="AI41" i="19"/>
  <c r="AH41" i="19"/>
  <c r="AG41" i="19"/>
  <c r="AF41" i="19"/>
  <c r="AE41" i="19"/>
  <c r="AD41" i="19"/>
  <c r="AC41" i="19"/>
  <c r="AB41" i="19"/>
  <c r="AA41" i="19"/>
  <c r="Z41" i="19"/>
  <c r="Y41" i="19"/>
  <c r="X41" i="19"/>
  <c r="W41" i="19"/>
  <c r="V41" i="19"/>
  <c r="U41" i="19"/>
  <c r="AP40" i="19"/>
  <c r="AO40" i="19"/>
  <c r="AN40" i="19"/>
  <c r="AM40" i="19"/>
  <c r="AL40" i="19"/>
  <c r="AK40" i="19"/>
  <c r="AJ40" i="19"/>
  <c r="AI40" i="19"/>
  <c r="AH40" i="19"/>
  <c r="AG40" i="19"/>
  <c r="AF40" i="19"/>
  <c r="AE40" i="19"/>
  <c r="AD40" i="19"/>
  <c r="AC40" i="19"/>
  <c r="AB40" i="19"/>
  <c r="AA40" i="19"/>
  <c r="Z40" i="19"/>
  <c r="Y40" i="19"/>
  <c r="X40" i="19"/>
  <c r="W40" i="19"/>
  <c r="V40" i="19"/>
  <c r="U40" i="19"/>
  <c r="AP39" i="19"/>
  <c r="AO39" i="19"/>
  <c r="AN39" i="19"/>
  <c r="AM39" i="19"/>
  <c r="AL39" i="19"/>
  <c r="AK39" i="19"/>
  <c r="AJ39" i="19"/>
  <c r="AI39" i="19"/>
  <c r="AH39" i="19"/>
  <c r="AG39" i="19"/>
  <c r="AF39" i="19"/>
  <c r="AE39" i="19"/>
  <c r="AD39" i="19"/>
  <c r="AC39" i="19"/>
  <c r="AB39" i="19"/>
  <c r="AA39" i="19"/>
  <c r="Z39" i="19"/>
  <c r="Y39" i="19"/>
  <c r="X39" i="19"/>
  <c r="W39" i="19"/>
  <c r="V39" i="19"/>
  <c r="U39" i="19"/>
  <c r="AP38" i="19"/>
  <c r="AO38" i="19"/>
  <c r="AN38" i="19"/>
  <c r="AM38" i="19"/>
  <c r="AL38" i="19"/>
  <c r="AK38" i="19"/>
  <c r="AJ38" i="19"/>
  <c r="AI38" i="19"/>
  <c r="AH38" i="19"/>
  <c r="AG38" i="19"/>
  <c r="AF38" i="19"/>
  <c r="AE38" i="19"/>
  <c r="AD38" i="19"/>
  <c r="AC38" i="19"/>
  <c r="AB38" i="19"/>
  <c r="AA38" i="19"/>
  <c r="Z38" i="19"/>
  <c r="Y38" i="19"/>
  <c r="X38" i="19"/>
  <c r="W38" i="19"/>
  <c r="V38" i="19"/>
  <c r="U38" i="19"/>
  <c r="AP37" i="19"/>
  <c r="AO37" i="19"/>
  <c r="AN37" i="19"/>
  <c r="AM37" i="19"/>
  <c r="AL37" i="19"/>
  <c r="AK37" i="19"/>
  <c r="AJ37" i="19"/>
  <c r="AI37" i="19"/>
  <c r="AH37" i="19"/>
  <c r="AG37" i="19"/>
  <c r="AF37" i="19"/>
  <c r="AE37" i="19"/>
  <c r="AD37" i="19"/>
  <c r="AC37" i="19"/>
  <c r="AB37" i="19"/>
  <c r="AA37" i="19"/>
  <c r="Z37" i="19"/>
  <c r="Y37" i="19"/>
  <c r="X37" i="19"/>
  <c r="W37" i="19"/>
  <c r="V37" i="19"/>
  <c r="U37" i="19"/>
  <c r="AP36" i="19"/>
  <c r="AO36" i="19"/>
  <c r="AN36" i="19"/>
  <c r="AM36" i="19"/>
  <c r="AL36" i="19"/>
  <c r="AK36" i="19"/>
  <c r="AJ36" i="19"/>
  <c r="AI36" i="19"/>
  <c r="AH36" i="19"/>
  <c r="AG36" i="19"/>
  <c r="AF36" i="19"/>
  <c r="AE36" i="19"/>
  <c r="AD36" i="19"/>
  <c r="AC36" i="19"/>
  <c r="AB36" i="19"/>
  <c r="AA36" i="19"/>
  <c r="Z36" i="19"/>
  <c r="Y36" i="19"/>
  <c r="X36" i="19"/>
  <c r="W36" i="19"/>
  <c r="V36" i="19"/>
  <c r="U36" i="19"/>
  <c r="AP35" i="19"/>
  <c r="AO35" i="19"/>
  <c r="AN35" i="19"/>
  <c r="AM35" i="19"/>
  <c r="AL35" i="19"/>
  <c r="AK35" i="19"/>
  <c r="AJ35" i="19"/>
  <c r="AI35" i="19"/>
  <c r="AH35" i="19"/>
  <c r="AG35" i="19"/>
  <c r="AF35" i="19"/>
  <c r="AE35" i="19"/>
  <c r="AD35" i="19"/>
  <c r="AC35" i="19"/>
  <c r="AB35" i="19"/>
  <c r="AA35" i="19"/>
  <c r="Z35" i="19"/>
  <c r="Y35" i="19"/>
  <c r="X35" i="19"/>
  <c r="W35" i="19"/>
  <c r="V35" i="19"/>
  <c r="U35" i="19"/>
  <c r="AP34" i="19"/>
  <c r="AO34" i="19"/>
  <c r="AN34" i="19"/>
  <c r="AM34" i="19"/>
  <c r="AL34" i="19"/>
  <c r="AK34" i="19"/>
  <c r="AJ34" i="19"/>
  <c r="AI34" i="19"/>
  <c r="AH34" i="19"/>
  <c r="AG34" i="19"/>
  <c r="AF34" i="19"/>
  <c r="AE34" i="19"/>
  <c r="AD34" i="19"/>
  <c r="AC34" i="19"/>
  <c r="AB34" i="19"/>
  <c r="AA34" i="19"/>
  <c r="Z34" i="19"/>
  <c r="Y34" i="19"/>
  <c r="X34" i="19"/>
  <c r="W34" i="19"/>
  <c r="V34" i="19"/>
  <c r="U34" i="19"/>
  <c r="AP33" i="19"/>
  <c r="AO33" i="19"/>
  <c r="AN33" i="19"/>
  <c r="AM33" i="19"/>
  <c r="AL33" i="19"/>
  <c r="AK33" i="19"/>
  <c r="AJ33" i="19"/>
  <c r="AI33" i="19"/>
  <c r="AH33" i="19"/>
  <c r="AG33" i="19"/>
  <c r="AF33" i="19"/>
  <c r="AE33" i="19"/>
  <c r="AD33" i="19"/>
  <c r="AC33" i="19"/>
  <c r="AB33" i="19"/>
  <c r="AA33" i="19"/>
  <c r="Z33" i="19"/>
  <c r="Y33" i="19"/>
  <c r="X33" i="19"/>
  <c r="W33" i="19"/>
  <c r="V33" i="19"/>
  <c r="U33" i="19"/>
  <c r="AP32" i="19"/>
  <c r="AO32" i="19"/>
  <c r="AN32" i="19"/>
  <c r="AM32" i="19"/>
  <c r="AL32" i="19"/>
  <c r="AK32" i="19"/>
  <c r="AJ32" i="19"/>
  <c r="AI32" i="19"/>
  <c r="AH32" i="19"/>
  <c r="AG32" i="19"/>
  <c r="AF32" i="19"/>
  <c r="AE32" i="19"/>
  <c r="AD32" i="19"/>
  <c r="AC32" i="19"/>
  <c r="AB32" i="19"/>
  <c r="AA32" i="19"/>
  <c r="Z32" i="19"/>
  <c r="Y32" i="19"/>
  <c r="X32" i="19"/>
  <c r="W32" i="19"/>
  <c r="V32" i="19"/>
  <c r="U32" i="19"/>
  <c r="AP31" i="19"/>
  <c r="AO31" i="19"/>
  <c r="AN31" i="19"/>
  <c r="AM31" i="19"/>
  <c r="AL31" i="19"/>
  <c r="AK31" i="19"/>
  <c r="AJ31" i="19"/>
  <c r="AI31" i="19"/>
  <c r="AH31" i="19"/>
  <c r="AG31" i="19"/>
  <c r="AF31" i="19"/>
  <c r="AE31" i="19"/>
  <c r="AD31" i="19"/>
  <c r="AC31" i="19"/>
  <c r="AB31" i="19"/>
  <c r="AA31" i="19"/>
  <c r="Z31" i="19"/>
  <c r="Y31" i="19"/>
  <c r="X31" i="19"/>
  <c r="W31" i="19"/>
  <c r="V31" i="19"/>
  <c r="U31" i="19"/>
  <c r="AP30" i="19"/>
  <c r="AO30" i="19"/>
  <c r="AN30" i="19"/>
  <c r="AM30" i="19"/>
  <c r="AL30" i="19"/>
  <c r="AK30" i="19"/>
  <c r="AJ30" i="19"/>
  <c r="AI30" i="19"/>
  <c r="AH30" i="19"/>
  <c r="AG30" i="19"/>
  <c r="AF30" i="19"/>
  <c r="AE30" i="19"/>
  <c r="AD30" i="19"/>
  <c r="AC30" i="19"/>
  <c r="AB30" i="19"/>
  <c r="AA30" i="19"/>
  <c r="Z30" i="19"/>
  <c r="Y30" i="19"/>
  <c r="X30" i="19"/>
  <c r="W30" i="19"/>
  <c r="V30" i="19"/>
  <c r="U30" i="19"/>
  <c r="AP29" i="19"/>
  <c r="AO29" i="19"/>
  <c r="AN29" i="19"/>
  <c r="AM29" i="19"/>
  <c r="AL29" i="19"/>
  <c r="AK29" i="19"/>
  <c r="AJ29" i="19"/>
  <c r="AI29" i="19"/>
  <c r="AH29" i="19"/>
  <c r="AG29" i="19"/>
  <c r="AF29" i="19"/>
  <c r="AE29" i="19"/>
  <c r="AD29" i="19"/>
  <c r="AC29" i="19"/>
  <c r="AB29" i="19"/>
  <c r="AA29" i="19"/>
  <c r="Z29" i="19"/>
  <c r="Y29" i="19"/>
  <c r="X29" i="19"/>
  <c r="W29" i="19"/>
  <c r="V29" i="19"/>
  <c r="U29" i="19"/>
  <c r="AP28" i="19"/>
  <c r="AO28" i="19"/>
  <c r="AN28" i="19"/>
  <c r="AM28" i="19"/>
  <c r="AL28" i="19"/>
  <c r="AK28" i="19"/>
  <c r="AJ28" i="19"/>
  <c r="AI28" i="19"/>
  <c r="AH28" i="19"/>
  <c r="AG28" i="19"/>
  <c r="AF28" i="19"/>
  <c r="AE28" i="19"/>
  <c r="AD28" i="19"/>
  <c r="AC28" i="19"/>
  <c r="AB28" i="19"/>
  <c r="AA28" i="19"/>
  <c r="Z28" i="19"/>
  <c r="Y28" i="19"/>
  <c r="X28" i="19"/>
  <c r="W28" i="19"/>
  <c r="V28" i="19"/>
  <c r="U28" i="19"/>
  <c r="AP27" i="19"/>
  <c r="AO27" i="19"/>
  <c r="AN27" i="19"/>
  <c r="AM27" i="19"/>
  <c r="AL27" i="19"/>
  <c r="AK27" i="19"/>
  <c r="AJ27" i="19"/>
  <c r="AI27" i="19"/>
  <c r="AH27" i="19"/>
  <c r="AG27" i="19"/>
  <c r="AF27" i="19"/>
  <c r="AE27" i="19"/>
  <c r="AD27" i="19"/>
  <c r="AC27" i="19"/>
  <c r="AB27" i="19"/>
  <c r="AA27" i="19"/>
  <c r="Z27" i="19"/>
  <c r="Y27" i="19"/>
  <c r="X27" i="19"/>
  <c r="W27" i="19"/>
  <c r="V27" i="19"/>
  <c r="U27" i="19"/>
  <c r="AP26" i="19"/>
  <c r="AO26" i="19"/>
  <c r="AN26" i="19"/>
  <c r="AM26" i="19"/>
  <c r="AL26" i="19"/>
  <c r="AK26" i="19"/>
  <c r="AJ26" i="19"/>
  <c r="AI26" i="19"/>
  <c r="AH26" i="19"/>
  <c r="AG26" i="19"/>
  <c r="AF26" i="19"/>
  <c r="AE26" i="19"/>
  <c r="AD26" i="19"/>
  <c r="AC26" i="19"/>
  <c r="AB26" i="19"/>
  <c r="AA26" i="19"/>
  <c r="Z26" i="19"/>
  <c r="Y26" i="19"/>
  <c r="X26" i="19"/>
  <c r="W26" i="19"/>
  <c r="V26" i="19"/>
  <c r="U26" i="19"/>
  <c r="AP25" i="19"/>
  <c r="AO25" i="19"/>
  <c r="AN25" i="19"/>
  <c r="AM25" i="19"/>
  <c r="AL25" i="19"/>
  <c r="AK25" i="19"/>
  <c r="AJ25" i="19"/>
  <c r="AI25" i="19"/>
  <c r="AH25" i="19"/>
  <c r="AG25" i="19"/>
  <c r="AF25" i="19"/>
  <c r="AE25" i="19"/>
  <c r="AD25" i="19"/>
  <c r="AC25" i="19"/>
  <c r="AB25" i="19"/>
  <c r="AA25" i="19"/>
  <c r="Z25" i="19"/>
  <c r="Y25" i="19"/>
  <c r="X25" i="19"/>
  <c r="W25" i="19"/>
  <c r="V25" i="19"/>
  <c r="U25" i="19"/>
  <c r="AP24" i="19"/>
  <c r="AO24" i="19"/>
  <c r="AN24" i="19"/>
  <c r="AM24" i="19"/>
  <c r="AL24" i="19"/>
  <c r="AK24" i="19"/>
  <c r="AJ24" i="19"/>
  <c r="AI24" i="19"/>
  <c r="AH24" i="19"/>
  <c r="AG24" i="19"/>
  <c r="AF24" i="19"/>
  <c r="AE24" i="19"/>
  <c r="AD24" i="19"/>
  <c r="AC24" i="19"/>
  <c r="AB24" i="19"/>
  <c r="AA24" i="19"/>
  <c r="Z24" i="19"/>
  <c r="Y24" i="19"/>
  <c r="X24" i="19"/>
  <c r="W24" i="19"/>
  <c r="V24" i="19"/>
  <c r="U24" i="19"/>
  <c r="AP23" i="19"/>
  <c r="AO23" i="19"/>
  <c r="AN23" i="19"/>
  <c r="AM23" i="19"/>
  <c r="AL23" i="19"/>
  <c r="AK23" i="19"/>
  <c r="AJ23" i="19"/>
  <c r="AI23" i="19"/>
  <c r="AH23" i="19"/>
  <c r="AG23" i="19"/>
  <c r="AF23" i="19"/>
  <c r="AE23" i="19"/>
  <c r="AD23" i="19"/>
  <c r="AC23" i="19"/>
  <c r="AB23" i="19"/>
  <c r="AA23" i="19"/>
  <c r="Z23" i="19"/>
  <c r="Y23" i="19"/>
  <c r="X23" i="19"/>
  <c r="W23" i="19"/>
  <c r="V23" i="19"/>
  <c r="U23" i="19"/>
  <c r="AP22" i="19"/>
  <c r="AO22" i="19"/>
  <c r="AN22" i="19"/>
  <c r="AM22" i="19"/>
  <c r="AL22" i="19"/>
  <c r="AK22" i="19"/>
  <c r="AJ22" i="19"/>
  <c r="AI22" i="19"/>
  <c r="AH22" i="19"/>
  <c r="AG22" i="19"/>
  <c r="AF22" i="19"/>
  <c r="AE22" i="19"/>
  <c r="AD22" i="19"/>
  <c r="AC22" i="19"/>
  <c r="AB22" i="19"/>
  <c r="AA22" i="19"/>
  <c r="Z22" i="19"/>
  <c r="Y22" i="19"/>
  <c r="X22" i="19"/>
  <c r="W22" i="19"/>
  <c r="V22" i="19"/>
  <c r="U22" i="19"/>
  <c r="AP21" i="19"/>
  <c r="AO21" i="19"/>
  <c r="AN21" i="19"/>
  <c r="AM21" i="19"/>
  <c r="AL21" i="19"/>
  <c r="AK21" i="19"/>
  <c r="AJ21" i="19"/>
  <c r="AI21" i="19"/>
  <c r="AH21" i="19"/>
  <c r="AG21" i="19"/>
  <c r="AF21" i="19"/>
  <c r="AE21" i="19"/>
  <c r="AD21" i="19"/>
  <c r="AC21" i="19"/>
  <c r="AB21" i="19"/>
  <c r="AA21" i="19"/>
  <c r="Z21" i="19"/>
  <c r="Y21" i="19"/>
  <c r="X21" i="19"/>
  <c r="W21" i="19"/>
  <c r="V21" i="19"/>
  <c r="U21" i="19"/>
  <c r="AP20" i="19"/>
  <c r="AO20" i="19"/>
  <c r="AN20" i="19"/>
  <c r="AM20" i="19"/>
  <c r="AL20" i="19"/>
  <c r="AK20" i="19"/>
  <c r="AJ20" i="19"/>
  <c r="AI20" i="19"/>
  <c r="AH20" i="19"/>
  <c r="AG20" i="19"/>
  <c r="AF20" i="19"/>
  <c r="AE20" i="19"/>
  <c r="AD20" i="19"/>
  <c r="AC20" i="19"/>
  <c r="AB20" i="19"/>
  <c r="AA20" i="19"/>
  <c r="Z20" i="19"/>
  <c r="Y20" i="19"/>
  <c r="X20" i="19"/>
  <c r="W20" i="19"/>
  <c r="V20" i="19"/>
  <c r="U20" i="19"/>
  <c r="AP19" i="19"/>
  <c r="AO19" i="19"/>
  <c r="AN19" i="19"/>
  <c r="AM19" i="19"/>
  <c r="AL19" i="19"/>
  <c r="AK19" i="19"/>
  <c r="AJ19" i="19"/>
  <c r="AI19" i="19"/>
  <c r="AH19" i="19"/>
  <c r="AG19" i="19"/>
  <c r="AF19" i="19"/>
  <c r="AE19" i="19"/>
  <c r="AD19" i="19"/>
  <c r="AC19" i="19"/>
  <c r="AB19" i="19"/>
  <c r="AA19" i="19"/>
  <c r="Z19" i="19"/>
  <c r="Y19" i="19"/>
  <c r="X19" i="19"/>
  <c r="W19" i="19"/>
  <c r="V19" i="19"/>
  <c r="U19" i="19"/>
  <c r="AP18" i="19"/>
  <c r="AO18" i="19"/>
  <c r="AN18" i="19"/>
  <c r="AM18" i="19"/>
  <c r="AL18" i="19"/>
  <c r="AK18" i="19"/>
  <c r="AJ18" i="19"/>
  <c r="AI18" i="19"/>
  <c r="AH18" i="19"/>
  <c r="AG18" i="19"/>
  <c r="AF18" i="19"/>
  <c r="AE18" i="19"/>
  <c r="AD18" i="19"/>
  <c r="AC18" i="19"/>
  <c r="AB18" i="19"/>
  <c r="AA18" i="19"/>
  <c r="Z18" i="19"/>
  <c r="Y18" i="19"/>
  <c r="X18" i="19"/>
  <c r="W18" i="19"/>
  <c r="V18" i="19"/>
  <c r="U18" i="19"/>
  <c r="AP17" i="19"/>
  <c r="AO17" i="19"/>
  <c r="AN17" i="19"/>
  <c r="AM17" i="19"/>
  <c r="AL17" i="19"/>
  <c r="AK17" i="19"/>
  <c r="AJ17" i="19"/>
  <c r="AI17" i="19"/>
  <c r="AH17" i="19"/>
  <c r="AG17" i="19"/>
  <c r="AF17" i="19"/>
  <c r="AE17" i="19"/>
  <c r="AD17" i="19"/>
  <c r="AC17" i="19"/>
  <c r="AB17" i="19"/>
  <c r="AA17" i="19"/>
  <c r="Z17" i="19"/>
  <c r="Y17" i="19"/>
  <c r="X17" i="19"/>
  <c r="W17" i="19"/>
  <c r="V17" i="19"/>
  <c r="U17" i="19"/>
  <c r="AP16" i="19"/>
  <c r="AO16" i="19"/>
  <c r="AN16" i="19"/>
  <c r="AM16" i="19"/>
  <c r="AL16" i="19"/>
  <c r="AK16" i="19"/>
  <c r="AJ16" i="19"/>
  <c r="AI16" i="19"/>
  <c r="AH16" i="19"/>
  <c r="AG16" i="19"/>
  <c r="AF16" i="19"/>
  <c r="AE16" i="19"/>
  <c r="AD16" i="19"/>
  <c r="AC16" i="19"/>
  <c r="AB16" i="19"/>
  <c r="AA16" i="19"/>
  <c r="Z16" i="19"/>
  <c r="Y16" i="19"/>
  <c r="X16" i="19"/>
  <c r="W16" i="19"/>
  <c r="V16" i="19"/>
  <c r="U16" i="19"/>
  <c r="AP15" i="19"/>
  <c r="AO15" i="19"/>
  <c r="AN15" i="19"/>
  <c r="AM15" i="19"/>
  <c r="AL15" i="19"/>
  <c r="AK15" i="19"/>
  <c r="AJ15" i="19"/>
  <c r="AI15" i="19"/>
  <c r="AH15" i="19"/>
  <c r="AG15" i="19"/>
  <c r="AF15" i="19"/>
  <c r="AE15" i="19"/>
  <c r="AD15" i="19"/>
  <c r="AC15" i="19"/>
  <c r="AB15" i="19"/>
  <c r="AA15" i="19"/>
  <c r="Z15" i="19"/>
  <c r="Y15" i="19"/>
  <c r="X15" i="19"/>
  <c r="W15" i="19"/>
  <c r="V15" i="19"/>
  <c r="U15" i="19"/>
  <c r="AP14" i="19"/>
  <c r="AO14" i="19"/>
  <c r="AN14" i="19"/>
  <c r="AM14" i="19"/>
  <c r="AL14" i="19"/>
  <c r="AK14" i="19"/>
  <c r="AJ14" i="19"/>
  <c r="AI14" i="19"/>
  <c r="AH14" i="19"/>
  <c r="AG14" i="19"/>
  <c r="AF14" i="19"/>
  <c r="AE14" i="19"/>
  <c r="AD14" i="19"/>
  <c r="AC14" i="19"/>
  <c r="AB14" i="19"/>
  <c r="AA14" i="19"/>
  <c r="Z14" i="19"/>
  <c r="Y14" i="19"/>
  <c r="X14" i="19"/>
  <c r="W14" i="19"/>
  <c r="V14" i="19"/>
  <c r="U14" i="19"/>
  <c r="AP13" i="19"/>
  <c r="AO13" i="19"/>
  <c r="AN13" i="19"/>
  <c r="AM13" i="19"/>
  <c r="AL13" i="19"/>
  <c r="AK13" i="19"/>
  <c r="AJ13" i="19"/>
  <c r="AI13" i="19"/>
  <c r="AH13" i="19"/>
  <c r="AG13" i="19"/>
  <c r="AF13" i="19"/>
  <c r="AE13" i="19"/>
  <c r="AD13" i="19"/>
  <c r="AC13" i="19"/>
  <c r="AB13" i="19"/>
  <c r="AA13" i="19"/>
  <c r="Z13" i="19"/>
  <c r="Y13" i="19"/>
  <c r="X13" i="19"/>
  <c r="W13" i="19"/>
  <c r="V13" i="19"/>
  <c r="U13" i="19"/>
  <c r="AP12" i="19"/>
  <c r="AO12" i="19"/>
  <c r="AN12" i="19"/>
  <c r="AM12" i="19"/>
  <c r="AL12" i="19"/>
  <c r="AK12" i="19"/>
  <c r="AJ12" i="19"/>
  <c r="AI12" i="19"/>
  <c r="AH12" i="19"/>
  <c r="AG12" i="19"/>
  <c r="AF12" i="19"/>
  <c r="AE12" i="19"/>
  <c r="AD12" i="19"/>
  <c r="AC12" i="19"/>
  <c r="AB12" i="19"/>
  <c r="AA12" i="19"/>
  <c r="Z12" i="19"/>
  <c r="Y12" i="19"/>
  <c r="X12" i="19"/>
  <c r="W12" i="19"/>
  <c r="V12" i="19"/>
  <c r="U12" i="19"/>
  <c r="AP11" i="19"/>
  <c r="AO11" i="19"/>
  <c r="AN11" i="19"/>
  <c r="AM11" i="19"/>
  <c r="AL11" i="19"/>
  <c r="AK11" i="19"/>
  <c r="AJ11" i="19"/>
  <c r="AI11" i="19"/>
  <c r="AH11" i="19"/>
  <c r="AG11" i="19"/>
  <c r="AF11" i="19"/>
  <c r="AE11" i="19"/>
  <c r="AD11" i="19"/>
  <c r="AC11" i="19"/>
  <c r="AB11" i="19"/>
  <c r="AA11" i="19"/>
  <c r="Z11" i="19"/>
  <c r="Y11" i="19"/>
  <c r="X11" i="19"/>
  <c r="W11" i="19"/>
  <c r="V11" i="19"/>
  <c r="U11" i="19"/>
  <c r="AP10" i="19"/>
  <c r="AO10" i="19"/>
  <c r="AN10" i="19"/>
  <c r="AM10" i="19"/>
  <c r="AL10" i="19"/>
  <c r="AK10" i="19"/>
  <c r="AJ10" i="19"/>
  <c r="AI10" i="19"/>
  <c r="AH10" i="19"/>
  <c r="AG10" i="19"/>
  <c r="AF10" i="19"/>
  <c r="AE10" i="19"/>
  <c r="AD10" i="19"/>
  <c r="AC10" i="19"/>
  <c r="AB10" i="19"/>
  <c r="AA10" i="19"/>
  <c r="Z10" i="19"/>
  <c r="Y10" i="19"/>
  <c r="X10" i="19"/>
  <c r="W10" i="19"/>
  <c r="V10" i="19"/>
  <c r="U10" i="19"/>
  <c r="AP9" i="19"/>
  <c r="AO9" i="19"/>
  <c r="AN9" i="19"/>
  <c r="AM9" i="19"/>
  <c r="AL9" i="19"/>
  <c r="AK9" i="19"/>
  <c r="AJ9" i="19"/>
  <c r="AI9" i="19"/>
  <c r="AH9" i="19"/>
  <c r="AG9" i="19"/>
  <c r="AF9" i="19"/>
  <c r="AE9" i="19"/>
  <c r="AD9" i="19"/>
  <c r="AC9" i="19"/>
  <c r="AB9" i="19"/>
  <c r="AA9" i="19"/>
  <c r="Z9" i="19"/>
  <c r="Y9" i="19"/>
  <c r="X9" i="19"/>
  <c r="W9" i="19"/>
  <c r="V9" i="19"/>
  <c r="U9" i="19"/>
  <c r="AP8" i="19"/>
  <c r="AO8" i="19"/>
  <c r="AN8" i="19"/>
  <c r="AM8" i="19"/>
  <c r="AL8" i="19"/>
  <c r="AK8" i="19"/>
  <c r="AJ8" i="19"/>
  <c r="AI8" i="19"/>
  <c r="AH8" i="19"/>
  <c r="AG8" i="19"/>
  <c r="AF8" i="19"/>
  <c r="AE8" i="19"/>
  <c r="AD8" i="19"/>
  <c r="AC8" i="19"/>
  <c r="AB8" i="19"/>
  <c r="AA8" i="19"/>
  <c r="Z8" i="19"/>
  <c r="Y8" i="19"/>
  <c r="X8" i="19"/>
  <c r="W8" i="19"/>
  <c r="V8" i="19"/>
  <c r="U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16" i="19"/>
  <c r="L115" i="19"/>
  <c r="L114" i="19"/>
  <c r="L113" i="19"/>
  <c r="L112"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G29" i="14"/>
  <c r="E47" i="14"/>
  <c r="A1" i="20"/>
  <c r="S7" i="20"/>
  <c r="S9" i="20"/>
  <c r="S8" i="20"/>
  <c r="S6" i="20"/>
  <c r="S10" i="20"/>
  <c r="Y55" i="20" a="1"/>
  <c r="Y55" i="20"/>
  <c r="W55" i="20"/>
  <c r="Y54" i="20" a="1"/>
  <c r="Y54" i="20"/>
  <c r="W54" i="20"/>
  <c r="Y53" i="20" a="1"/>
  <c r="Y53" i="20"/>
  <c r="W53" i="20"/>
  <c r="Y52" i="20" a="1"/>
  <c r="Y52" i="20"/>
  <c r="W52" i="20"/>
  <c r="Y51" i="20" a="1"/>
  <c r="Y51" i="20"/>
  <c r="W51" i="20"/>
  <c r="Y50" i="20" a="1"/>
  <c r="Y50" i="20"/>
  <c r="W50" i="20"/>
  <c r="Y49" i="20" a="1"/>
  <c r="Y49" i="20"/>
  <c r="W49" i="20"/>
  <c r="Y48" i="20" a="1"/>
  <c r="Y48" i="20"/>
  <c r="W48" i="20"/>
  <c r="Y47" i="20" a="1"/>
  <c r="Y47" i="20"/>
  <c r="W47" i="20"/>
  <c r="Y46" i="20" a="1"/>
  <c r="Y46" i="20"/>
  <c r="W46" i="20"/>
  <c r="Y45" i="20" a="1"/>
  <c r="Y45" i="20"/>
  <c r="W45" i="20"/>
  <c r="Y44" i="20" a="1"/>
  <c r="Y44" i="20"/>
  <c r="W44" i="20"/>
  <c r="Y43" i="20" a="1"/>
  <c r="Y43" i="20"/>
  <c r="W43" i="20"/>
  <c r="Y42" i="20" a="1"/>
  <c r="Y42" i="20"/>
  <c r="W42" i="20"/>
  <c r="Y41" i="20" a="1"/>
  <c r="Y41" i="20"/>
  <c r="W41" i="20"/>
  <c r="Y40" i="20" a="1"/>
  <c r="Y40" i="20"/>
  <c r="W40" i="20"/>
  <c r="Y39" i="20" a="1"/>
  <c r="Y39" i="20"/>
  <c r="W39" i="20"/>
  <c r="Y38" i="20" a="1"/>
  <c r="Y38" i="20"/>
  <c r="W38" i="20"/>
  <c r="Y37" i="20" a="1"/>
  <c r="Y37" i="20"/>
  <c r="W37" i="20"/>
  <c r="Y36" i="20" a="1"/>
  <c r="Y36" i="20"/>
  <c r="W36" i="20"/>
  <c r="Y35" i="20" a="1"/>
  <c r="Y35" i="20"/>
  <c r="W35" i="20"/>
  <c r="Y34" i="20" a="1"/>
  <c r="Y34" i="20"/>
  <c r="W34" i="20"/>
  <c r="Y33" i="20" a="1"/>
  <c r="Y33" i="20"/>
  <c r="W33" i="20"/>
  <c r="Y32" i="20" a="1"/>
  <c r="Y32" i="20"/>
  <c r="W32" i="20"/>
  <c r="Y31" i="20" a="1"/>
  <c r="Y31" i="20"/>
  <c r="W31" i="20"/>
  <c r="Y30" i="20" a="1"/>
  <c r="Y30" i="20"/>
  <c r="W30" i="20"/>
  <c r="Y29" i="20" a="1"/>
  <c r="Y29" i="20"/>
  <c r="W29" i="20"/>
  <c r="Y28" i="20" a="1"/>
  <c r="Y28" i="20"/>
  <c r="W28" i="20"/>
  <c r="Y27" i="20" a="1"/>
  <c r="Y27" i="20"/>
  <c r="W27" i="20"/>
  <c r="Y26" i="20" a="1"/>
  <c r="Y26" i="20"/>
  <c r="W26" i="20"/>
  <c r="Y25" i="20" a="1"/>
  <c r="Y25" i="20"/>
  <c r="W25" i="20"/>
  <c r="Y24" i="20" a="1"/>
  <c r="Y24" i="20"/>
  <c r="W24" i="20"/>
  <c r="Y23" i="20" a="1"/>
  <c r="Y23" i="20"/>
  <c r="W23" i="20"/>
  <c r="Y22" i="20" a="1"/>
  <c r="Y22" i="20"/>
  <c r="W22" i="20"/>
  <c r="Y21" i="20" a="1"/>
  <c r="Y21" i="20"/>
  <c r="W21" i="20"/>
  <c r="Y20" i="20" a="1"/>
  <c r="Y20" i="20"/>
  <c r="W20" i="20"/>
  <c r="Y19" i="20" a="1"/>
  <c r="Y19" i="20"/>
  <c r="W19" i="20"/>
  <c r="Y18" i="20" a="1"/>
  <c r="Y18" i="20"/>
  <c r="W18" i="20"/>
  <c r="Y17" i="20" a="1"/>
  <c r="Y17" i="20"/>
  <c r="W17" i="20"/>
  <c r="Y16" i="20" a="1"/>
  <c r="Y16" i="20"/>
  <c r="W16" i="20"/>
  <c r="Y15" i="20" a="1"/>
  <c r="Y15" i="20"/>
  <c r="W15" i="20"/>
  <c r="Y14" i="20" a="1"/>
  <c r="Y14" i="20"/>
  <c r="W14" i="20"/>
  <c r="Y13" i="20" a="1"/>
  <c r="Y13" i="20"/>
  <c r="W13" i="20"/>
  <c r="Y12" i="20" a="1"/>
  <c r="Y12" i="20"/>
  <c r="W12" i="20"/>
  <c r="Y7" i="20" a="1"/>
  <c r="O5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V22" i="20"/>
  <c r="V20" i="20"/>
  <c r="V29" i="20"/>
  <c r="V37" i="20"/>
  <c r="V40" i="20"/>
  <c r="V21" i="20"/>
  <c r="V24" i="20"/>
  <c r="V45" i="20"/>
  <c r="V46" i="20"/>
  <c r="V27" i="20"/>
  <c r="V28" i="20"/>
  <c r="V50" i="20"/>
  <c r="V52" i="20"/>
  <c r="V19" i="20"/>
  <c r="V23" i="20"/>
  <c r="V25" i="20"/>
  <c r="V48" i="20"/>
  <c r="V49" i="20"/>
  <c r="V31" i="20"/>
  <c r="V32" i="20"/>
  <c r="V33" i="20"/>
  <c r="V53" i="20"/>
  <c r="V38" i="20"/>
  <c r="V51" i="20"/>
  <c r="V54" i="20"/>
  <c r="V17" i="20"/>
  <c r="V39" i="20"/>
  <c r="V41" i="20"/>
  <c r="V43" i="20"/>
  <c r="V44" i="20"/>
  <c r="V26" i="20"/>
  <c r="V12" i="20"/>
  <c r="V13" i="20"/>
  <c r="V14" i="20"/>
  <c r="V34" i="20"/>
  <c r="V15" i="20"/>
  <c r="V35" i="20"/>
  <c r="V55" i="20"/>
  <c r="V18" i="20"/>
  <c r="V42" i="20"/>
  <c r="V47" i="20"/>
  <c r="V30" i="20"/>
  <c r="V16" i="20"/>
  <c r="V36" i="20"/>
  <c r="Y7" i="20"/>
  <c r="V7" i="20"/>
  <c r="W7" i="20"/>
  <c r="Y9" i="20" a="1"/>
  <c r="C11" i="14"/>
  <c r="C68" i="14"/>
  <c r="H35" i="14"/>
  <c r="Y9" i="20"/>
  <c r="V9" i="20"/>
  <c r="W9" i="20"/>
  <c r="AR5" i="19"/>
  <c r="AR6" i="19"/>
  <c r="AR7" i="19"/>
  <c r="AR8" i="19"/>
  <c r="AR9" i="19"/>
  <c r="AR10" i="19"/>
  <c r="AR11" i="19"/>
  <c r="AR12" i="19"/>
  <c r="AR13" i="19"/>
  <c r="AR14" i="19"/>
  <c r="AR15" i="19"/>
  <c r="D71" i="14"/>
  <c r="U7" i="20"/>
  <c r="U9" i="20"/>
  <c r="X7" i="20"/>
  <c r="X9" i="20"/>
  <c r="U24" i="20"/>
  <c r="X24" i="20"/>
  <c r="U48" i="20"/>
  <c r="X48" i="20"/>
  <c r="U29" i="20"/>
  <c r="X29" i="20"/>
  <c r="U45" i="20"/>
  <c r="X45" i="20"/>
  <c r="U49" i="20"/>
  <c r="X49" i="20"/>
  <c r="U52" i="20"/>
  <c r="X52" i="20"/>
  <c r="U34" i="20"/>
  <c r="X34" i="20"/>
  <c r="U32" i="20"/>
  <c r="X32" i="20"/>
  <c r="U23" i="20"/>
  <c r="X23" i="20"/>
  <c r="U14" i="20"/>
  <c r="X14" i="20"/>
  <c r="U50" i="20"/>
  <c r="X50" i="20"/>
  <c r="U47" i="20"/>
  <c r="X47" i="20"/>
  <c r="U12" i="20"/>
  <c r="X12" i="20"/>
  <c r="U28" i="20"/>
  <c r="X28" i="20"/>
  <c r="U42" i="20"/>
  <c r="X42" i="20"/>
  <c r="U17" i="20"/>
  <c r="X17" i="20"/>
  <c r="U19" i="20"/>
  <c r="X19" i="20"/>
  <c r="U51" i="20"/>
  <c r="X51" i="20"/>
  <c r="U21" i="20"/>
  <c r="X21" i="20"/>
  <c r="U41" i="20"/>
  <c r="X41" i="20"/>
  <c r="U16" i="20"/>
  <c r="X16" i="20"/>
  <c r="U37" i="20"/>
  <c r="X37" i="20"/>
  <c r="U46" i="20"/>
  <c r="X46" i="20"/>
  <c r="X11" i="20"/>
  <c r="U22" i="20"/>
  <c r="X22" i="20"/>
  <c r="U44" i="20"/>
  <c r="X44" i="20"/>
  <c r="U36" i="20"/>
  <c r="X36" i="20"/>
  <c r="U20" i="20"/>
  <c r="X20" i="20"/>
  <c r="U55" i="20"/>
  <c r="X55" i="20"/>
  <c r="U53" i="20"/>
  <c r="X53" i="20"/>
  <c r="U15" i="20"/>
  <c r="X15" i="20"/>
  <c r="U31" i="20"/>
  <c r="X31" i="20"/>
  <c r="U43" i="20"/>
  <c r="X43" i="20"/>
  <c r="U25" i="20"/>
  <c r="X25" i="20"/>
  <c r="U30" i="20"/>
  <c r="X30" i="20"/>
  <c r="U40" i="20"/>
  <c r="X40" i="20"/>
  <c r="U39" i="20"/>
  <c r="X39" i="20"/>
  <c r="U38" i="20"/>
  <c r="X38" i="20"/>
  <c r="U18" i="20"/>
  <c r="X18" i="20"/>
  <c r="U35" i="20"/>
  <c r="X35" i="20"/>
  <c r="U27" i="20"/>
  <c r="X27" i="20"/>
  <c r="U33" i="20"/>
  <c r="X33" i="20"/>
  <c r="U54" i="20"/>
  <c r="X54" i="20"/>
  <c r="U13" i="20"/>
  <c r="X13" i="20"/>
  <c r="U26" i="20"/>
  <c r="X26" i="20"/>
  <c r="AR43" i="19"/>
  <c r="AR42" i="19"/>
  <c r="BL43" i="19"/>
  <c r="BK43" i="19"/>
  <c r="BJ43" i="19"/>
  <c r="BI43" i="19"/>
  <c r="BH43" i="19"/>
  <c r="BG43" i="19"/>
  <c r="BF43" i="19"/>
  <c r="BE43" i="19"/>
  <c r="BD43" i="19"/>
  <c r="BC43" i="19"/>
  <c r="BB43" i="19"/>
  <c r="BA43" i="19"/>
  <c r="AZ43" i="19"/>
  <c r="AY43" i="19"/>
  <c r="AX43" i="19"/>
  <c r="AW43" i="19"/>
  <c r="AV43" i="19"/>
  <c r="AU43" i="19"/>
  <c r="AT43" i="19"/>
  <c r="AS43" i="19"/>
  <c r="BL42" i="19"/>
  <c r="BK42" i="19"/>
  <c r="BJ42" i="19"/>
  <c r="BI42" i="19"/>
  <c r="BH42" i="19"/>
  <c r="BG42" i="19"/>
  <c r="BF42" i="19"/>
  <c r="BE42" i="19"/>
  <c r="BD42" i="19"/>
  <c r="BC42" i="19"/>
  <c r="BB42" i="19"/>
  <c r="BA42" i="19"/>
  <c r="AZ42" i="19"/>
  <c r="AY42" i="19"/>
  <c r="AX42" i="19"/>
  <c r="AW42" i="19"/>
  <c r="AV42" i="19"/>
  <c r="AU42" i="19"/>
  <c r="AT42" i="19"/>
  <c r="AS42" i="19"/>
  <c r="F32" i="19" l="1"/>
  <c r="F8" i="19"/>
  <c r="T6" i="20" l="1"/>
  <c r="Y6" i="20" s="1" a="1"/>
  <c r="Y6" i="20" s="1"/>
  <c r="E55" i="14"/>
  <c r="D61" i="14" s="1"/>
  <c r="T8" i="20"/>
  <c r="Y8" i="20" s="1" a="1"/>
  <c r="Y8" i="20" s="1"/>
  <c r="H41" i="14"/>
  <c r="T10" i="20"/>
  <c r="Y10" i="20" s="1" a="1"/>
  <c r="Y10" i="20" s="1"/>
  <c r="V10" i="20" l="1"/>
  <c r="W10" i="20" s="1"/>
  <c r="U10" i="20"/>
  <c r="V8" i="20"/>
  <c r="U8" i="20"/>
  <c r="E56" i="14"/>
  <c r="E57" i="14" s="1"/>
  <c r="C62" i="14"/>
  <c r="V6" i="20"/>
  <c r="W6" i="20" s="1"/>
  <c r="Q2" i="20"/>
  <c r="U6" i="20"/>
  <c r="X6" i="20" l="1"/>
  <c r="W8" i="20"/>
  <c r="X8" i="20" s="1"/>
  <c r="W56" i="20"/>
  <c r="E58" i="14"/>
  <c r="X10" i="20"/>
  <c r="V56" i="20"/>
  <c r="X56" i="20"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<sst xmlns="http://schemas.openxmlformats.org/spreadsheetml/2006/main" count="341" uniqueCount="123">
  <si>
    <t>Bulan</t>
  </si>
  <si>
    <t>Tahun</t>
  </si>
  <si>
    <t>Rate EM</t>
  </si>
  <si>
    <t>‰</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</si>
  <si>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</si>
  <si>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</si>
  <si>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</si>
  <si>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</si>
  <si>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</si>
  <si>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</si>
  <si>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</si>
  <si>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</si>
  <si>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</si>
  <si>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</si>
  <si>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</si>
  <si>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E+FR</t>
  </si>
  <si>
    <t>E</t>
  </si>
  <si>
    <t>D</t>
  </si>
  <si>
    <t>C</t>
  </si>
  <si>
    <t>B</t>
  </si>
  <si>
    <t>NM</t>
  </si>
  <si>
    <t>A</t>
  </si>
  <si>
    <t>AA</t>
  </si>
  <si>
    <t>:</t>
  </si>
  <si>
    <t>Penjelasan</t>
  </si>
  <si>
    <t>PT ASURANSI SIMAS JIWA</t>
  </si>
  <si>
    <t>Tanggal Lahir*</t>
  </si>
  <si>
    <t>Masa Asuransi*</t>
  </si>
  <si>
    <t>Budi Sasongko</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</si>
  <si>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</si>
  <si>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</si>
  <si>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</si>
  <si>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</si>
  <si>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</si>
  <si>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</si>
  <si>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</si>
  <si>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</si>
  <si>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</si>
  <si>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</si>
  <si>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</si>
  <si>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</si>
  <si>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</si>
  <si>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</si>
  <si>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</si>
  <si>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</si>
  <si>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</si>
  <si>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</si>
  <si>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</si>
  <si>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</si>
  <si>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</si>
  <si>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</si>
  <si>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</si>
  <si>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</si>
  <si>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</si>
  <si>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</si>
  <si>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</si>
  <si>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</si>
  <si>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</si>
  <si>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</si>
  <si>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</si>
  <si>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</si>
  <si>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</si>
  <si>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</si>
  <si>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</si>
  <si>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</si>
  <si>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</si>
  <si>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Usia
(nearest birthday)</t>
  </si>
  <si>
    <t>Keterangan Medis</t>
  </si>
  <si>
    <t xml:space="preserve">Karyawan Swasta </t>
  </si>
  <si>
    <t>Jakarta</t>
  </si>
  <si>
    <t>Tertanggung</t>
  </si>
  <si>
    <t>Perempuan</t>
  </si>
  <si>
    <t>Bandung</t>
  </si>
  <si>
    <t>Semarang</t>
  </si>
  <si>
    <t>Samarinda</t>
  </si>
  <si>
    <t>Yogyakarta</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</si>
  <si>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</si>
  <si>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</si>
  <si>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</si>
  <si>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</si>
  <si>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</si>
  <si>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</si>
  <si>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</si>
  <si>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</si>
  <si>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</si>
  <si>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</si>
  <si>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</si>
  <si>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</si>
  <si>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</si>
  <si>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</si>
  <si>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</si>
  <si>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Menurun</t>
  </si>
  <si>
    <t>Dec</t>
  </si>
  <si>
    <t>Flat</t>
  </si>
  <si>
    <t>UP Indicator</t>
  </si>
  <si>
    <t>Konvensional</t>
  </si>
  <si>
    <r>
      <rPr>
        <b/>
        <sz val="11"/>
        <color indexed="8"/>
        <rFont val="Calibri"/>
        <family val="2"/>
        <scheme val="minor"/>
      </rPr>
      <t>Nama Peserta /  Debitur (sesuai KTP)</t>
    </r>
  </si>
  <si>
    <t>Use</t>
  </si>
  <si>
    <t>AAA</t>
  </si>
  <si>
    <t>BBB</t>
  </si>
  <si>
    <t>CCC</t>
  </si>
  <si>
    <t>DDD</t>
  </si>
  <si>
    <t>EEE</t>
  </si>
  <si>
    <t>1234567891011121</t>
  </si>
  <si>
    <t>1234567891011122</t>
  </si>
  <si>
    <t>1234567891011123</t>
  </si>
  <si>
    <t>1234567891011124</t>
  </si>
  <si>
    <t>1234567891011125</t>
  </si>
  <si>
    <t>Bank Syariah Indonesia</t>
  </si>
  <si>
    <t>Sistem Atribusi</t>
  </si>
  <si>
    <t>Yes</t>
  </si>
  <si>
    <t>No</t>
  </si>
  <si>
    <t>x+n</t>
  </si>
  <si>
    <t>UP max</t>
  </si>
  <si>
    <t>Non Medical Check Up</t>
  </si>
  <si>
    <t>Medical Check Up</t>
  </si>
  <si>
    <t>%</t>
  </si>
  <si>
    <t>Rate EM (%)</t>
  </si>
  <si>
    <t>Rate Premi (‰)</t>
  </si>
  <si>
    <t>*Mandatory</t>
  </si>
  <si>
    <t>Total Kontribusi</t>
  </si>
  <si>
    <t>X</t>
  </si>
  <si>
    <t>Discount Kontribusi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</si>
</sst>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0.00_);_(* \(#,##0.00\);_(* &quot;-&quot;??_);_(@_)"/>
    <numFmt numFmtId="165" formatCode="[$-409]dd\-mmm\-yyyy;@"/>
    <numFmt numFmtId="166" formatCode="_([$IDR]\ * #,##0_);_([$IDR]\ * \(#,##0\);_([$IDR]\ * &quot;-&quot;_);_(@_)"/>
    <numFmt numFmtId="167" formatCode="_(* #,##0_);_(* \(#,##0\);_(* &quot;-&quot;??_);_(@_)"/>
    <numFmt numFmtId="168" formatCode="[$-409]d\-mmm\-yyyy;@"/>
    <numFmt numFmtId="169" formatCode="_([$IDR]\ * #,##0_);_([$IDR]\ * \(#,##0\);_([$IDR]\ * 0_);_(@_)"/>
    <numFmt numFmtId="170" formatCode="_([$IDR]\ * #,##0.00_);_([$IDR]\ * \(#,##0.00\);_([$IDR]\ * &quot;-&quot;??_);_(@_)"/>
    <numFmt numFmtId="171" formatCode="_-[$IDR]\ * #,##0.00_-;\-[$IDR]\ * #,##0.00_-;_-[$IDR]\ * &quot;-&quot;??_-;_-@_-"/>
    <numFmt numFmtId="172" formatCode="&quot;£&quot;#,##0;\-&quot;£&quot;#,##0"/>
    <numFmt numFmtId="173" formatCode="_([$IDR]\ * #,##0_);_([$IDR]\ * \(#,##0\);_([$IDR]\ * &quot;-&quot;??_);_(@_)"/>
    <numFmt numFmtId="174" formatCode="[$IDR]\ #,##0_);\([$IDR]\ #,##0\)"/>
    <numFmt numFmtId="175" formatCode="_(* #,##0.000_);_(* \(#,##0.000\);_(* &quot;-&quot;??_);_(@_)"/>
    <numFmt numFmtId="176" formatCode="mm\-dd\-yyyy"/>
    <numFmt numFmtId="177" formatCode="[$IDR]\ #,##0"/>
  </numFmts>
  <fonts count="23" x14ac:knownFonts="1">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i/>
      <sz val="11"/>
      <name val="Calibri"/>
      <family val="2"/>
      <scheme val="minor"/>
    </font>
    <font>
      <sz val="8"/>
      <color rgb="FF000000"/>
      <name val="Segoe UI"/>
      <family val="2"/>
    </font>
  </fonts>
  <fills count="14">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164" fontId="1" fillId="0" borderId="0" applyFont="0" applyFill="0" applyBorder="0" applyAlignment="0" applyProtection="0"/>
    <xf numFmtId="164" fontId="7" fillId="0" borderId="0" applyFont="0" applyFill="0" applyBorder="0" applyAlignment="0" applyProtection="0"/>
    <xf numFmtId="0" fontId="7" fillId="0" borderId="0"/>
    <xf numFmtId="164" fontId="7" fillId="0" borderId="0" applyFont="0" applyFill="0" applyBorder="0" applyAlignment="0" applyProtection="0"/>
    <xf numFmtId="9" fontId="7" fillId="0" borderId="0" applyFont="0" applyFill="0" applyBorder="0" applyAlignment="0" applyProtection="0"/>
    <xf numFmtId="0" fontId="3" fillId="0" borderId="0"/>
    <xf numFmtId="164" fontId="3" fillId="0" borderId="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0" fontId="9" fillId="0" borderId="0"/>
    <xf numFmtId="164" fontId="9" fillId="0" borderId="0" applyFont="0" applyFill="0" applyBorder="0" applyAlignment="0" applyProtection="0"/>
    <xf numFmtId="172" fontId="11" fillId="0" borderId="0" applyFont="0" applyFill="0" applyBorder="0" applyAlignment="0" applyProtection="0"/>
    <xf numFmtId="0" fontId="7" fillId="0" borderId="0"/>
    <xf numFmtId="9" fontId="13" fillId="0" borderId="0" applyFont="0" applyFill="0" applyBorder="0" applyAlignment="0" applyProtection="0"/>
    <xf numFmtId="0" fontId="18" fillId="0" borderId="0" applyNumberFormat="0" applyFill="0" applyBorder="0" applyAlignment="0" applyProtection="0"/>
    <xf numFmtId="164" fontId="13" fillId="0" borderId="0" applyFont="0" applyFill="0" applyBorder="0" applyAlignment="0" applyProtection="0"/>
  </cellStyleXfs>
  <cellXfs count="171">
    <xf numFmtId="0" fontId="0" fillId="0" borderId="0" xfId="0"/>
    <xf numFmtId="0" fontId="10" fillId="0" borderId="0" xfId="10" applyFont="1" applyProtection="1">
      <protection hidden="1"/>
    </xf>
    <xf numFmtId="0" fontId="10" fillId="0" borderId="0" xfId="10" applyFont="1" applyAlignment="1" applyProtection="1">
      <alignment horizontal="center"/>
      <protection hidden="1"/>
    </xf>
    <xf numFmtId="173" fontId="10" fillId="0" borderId="0" xfId="1" applyNumberFormat="1" applyFont="1" applyAlignment="1" applyProtection="1">
      <alignment horizontal="center"/>
      <protection hidden="1"/>
    </xf>
    <xf numFmtId="0" fontId="16" fillId="5" borderId="12" xfId="0" applyFont="1" applyFill="1" applyBorder="1" applyAlignment="1">
      <alignment vertical="center"/>
    </xf>
    <xf numFmtId="0" fontId="16" fillId="5" borderId="11" xfId="0" applyFont="1" applyFill="1" applyBorder="1" applyAlignment="1">
      <alignment vertical="center"/>
    </xf>
    <xf numFmtId="0" fontId="16" fillId="5" borderId="13" xfId="0" applyFont="1" applyFill="1" applyBorder="1" applyAlignment="1">
      <alignment vertical="center"/>
    </xf>
    <xf numFmtId="0" fontId="16" fillId="5" borderId="14" xfId="0" applyFont="1" applyFill="1" applyBorder="1" applyAlignment="1">
      <alignment vertical="center"/>
    </xf>
    <xf numFmtId="0" fontId="17" fillId="5" borderId="0" xfId="0" applyFont="1" applyFill="1" applyAlignment="1">
      <alignment vertical="center"/>
    </xf>
    <xf numFmtId="0" fontId="16" fillId="5" borderId="0" xfId="0" applyFont="1" applyFill="1" applyAlignment="1">
      <alignment vertical="center"/>
    </xf>
    <xf numFmtId="0" fontId="16" fillId="5" borderId="15" xfId="0" applyFont="1" applyFill="1" applyBorder="1" applyAlignment="1">
      <alignment vertical="center"/>
    </xf>
    <xf numFmtId="0" fontId="16" fillId="5" borderId="0" xfId="0" applyFont="1" applyFill="1" applyAlignment="1">
      <alignment horizontal="center" vertical="center"/>
    </xf>
    <xf numFmtId="0" fontId="16" fillId="5" borderId="0" xfId="0" applyFont="1" applyFill="1" applyAlignment="1">
      <alignment horizontal="left" vertical="center"/>
    </xf>
    <xf numFmtId="0" fontId="16" fillId="5" borderId="2" xfId="0" applyFont="1" applyFill="1" applyBorder="1" applyAlignment="1">
      <alignment horizontal="center" vertical="center"/>
    </xf>
    <xf numFmtId="0" fontId="16" fillId="6" borderId="2" xfId="0" applyFont="1" applyFill="1" applyBorder="1" applyAlignment="1" applyProtection="1">
      <alignment horizontal="center" vertical="center"/>
      <protection locked="0"/>
    </xf>
    <xf numFmtId="0" fontId="16" fillId="6" borderId="2" xfId="0" applyFont="1" applyFill="1" applyBorder="1" applyAlignment="1">
      <alignment horizontal="center" vertical="center"/>
    </xf>
    <xf numFmtId="0" fontId="16" fillId="5" borderId="0" xfId="0" applyFont="1" applyFill="1" applyAlignment="1" applyProtection="1">
      <alignment horizontal="center" vertical="center"/>
      <protection locked="0"/>
    </xf>
    <xf numFmtId="0" fontId="16" fillId="5" borderId="15" xfId="0" applyFont="1" applyFill="1" applyBorder="1" applyAlignment="1">
      <alignment horizontal="left" vertical="center"/>
    </xf>
    <xf numFmtId="0" fontId="16" fillId="5" borderId="19" xfId="0" applyFont="1" applyFill="1" applyBorder="1" applyAlignment="1">
      <alignment vertical="center"/>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16" fillId="5" borderId="1" xfId="0" applyFont="1" applyFill="1" applyBorder="1" applyAlignment="1" applyProtection="1">
      <alignment horizontal="center" vertical="center"/>
      <protection locked="0"/>
    </xf>
    <xf numFmtId="0" fontId="16" fillId="5" borderId="20" xfId="0" applyFont="1" applyFill="1" applyBorder="1" applyAlignment="1">
      <alignment vertical="center"/>
    </xf>
    <xf numFmtId="0" fontId="15" fillId="7" borderId="2" xfId="6" applyFont="1" applyFill="1" applyBorder="1" applyAlignment="1">
      <alignment horizontal="center" vertical="top"/>
    </xf>
    <xf numFmtId="3" fontId="10" fillId="0" borderId="2" xfId="6" applyNumberFormat="1" applyFont="1" applyBorder="1" applyAlignment="1">
      <alignment horizontal="center"/>
    </xf>
    <xf numFmtId="175" fontId="10" fillId="0" borderId="2" xfId="7" applyNumberFormat="1" applyFont="1" applyFill="1" applyBorder="1" applyAlignment="1">
      <alignment horizontal="right"/>
    </xf>
    <xf numFmtId="164" fontId="10" fillId="0" borderId="2" xfId="1" applyFont="1" applyBorder="1" applyAlignment="1">
      <alignment horizontal="center" vertical="center"/>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18"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18" fillId="0" borderId="2" xfId="15" applyFill="1" applyBorder="1" applyAlignment="1" applyProtection="1">
      <alignment horizontal="center"/>
      <protection locked="0"/>
    </xf>
    <xf numFmtId="167" fontId="0" fillId="0" borderId="2" xfId="16" applyNumberFormat="1" applyFont="1" applyFill="1" applyBorder="1" applyAlignment="1" applyProtection="1">
      <alignment vertical="center"/>
      <protection locked="0"/>
    </xf>
    <xf numFmtId="1" fontId="0" fillId="10" borderId="2" xfId="0" applyNumberFormat="1" applyFill="1" applyBorder="1" applyAlignment="1" applyProtection="1">
      <alignment horizontal="center" vertical="center"/>
      <protection hidden="1"/>
    </xf>
    <xf numFmtId="167" fontId="0" fillId="10" borderId="2" xfId="0" applyNumberFormat="1" applyFill="1" applyBorder="1" applyAlignment="1" applyProtection="1">
      <alignment horizontal="center" vertical="center"/>
      <protection hidden="1"/>
    </xf>
    <xf numFmtId="167" fontId="0" fillId="10" borderId="2" xfId="0" applyNumberFormat="1" applyFill="1" applyBorder="1" applyAlignment="1" applyProtection="1">
      <alignment vertical="center"/>
      <protection hidden="1"/>
    </xf>
    <xf numFmtId="168"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7" fontId="15" fillId="0" borderId="2" xfId="16" applyNumberFormat="1" applyFont="1" applyBorder="1" applyAlignment="1" applyProtection="1">
      <alignment vertical="center"/>
      <protection hidden="1"/>
    </xf>
    <xf numFmtId="167" fontId="15" fillId="9" borderId="2" xfId="0" applyNumberFormat="1" applyFont="1" applyFill="1" applyBorder="1" applyAlignment="1" applyProtection="1">
      <alignment vertical="center"/>
      <protection hidden="1"/>
    </xf>
    <xf numFmtId="167" fontId="15" fillId="9"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14"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5" fontId="5" fillId="3" borderId="0" xfId="0" applyNumberFormat="1" applyFont="1" applyFill="1" applyAlignment="1" applyProtection="1">
      <alignment horizontal="center" vertical="center"/>
      <protection hidden="1"/>
    </xf>
    <xf numFmtId="0" fontId="20" fillId="2" borderId="0" xfId="0" applyFont="1" applyFill="1" applyAlignment="1" applyProtection="1">
      <alignment vertical="center" wrapText="1"/>
      <protection hidden="1"/>
    </xf>
    <xf numFmtId="0" fontId="12"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2" fillId="2" borderId="7" xfId="0" applyFont="1" applyFill="1" applyBorder="1" applyAlignment="1" applyProtection="1">
      <alignment vertical="center"/>
      <protection hidden="1"/>
    </xf>
    <xf numFmtId="0" fontId="12"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1"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6" fontId="5" fillId="2" borderId="0" xfId="0" applyNumberFormat="1" applyFont="1" applyFill="1" applyAlignment="1" applyProtection="1">
      <alignment horizontal="center" vertical="center"/>
      <protection hidden="1"/>
    </xf>
    <xf numFmtId="168" fontId="4" fillId="5" borderId="0" xfId="0" applyNumberFormat="1" applyFont="1" applyFill="1" applyAlignment="1" applyProtection="1">
      <alignment horizontal="left" vertical="center"/>
      <protection hidden="1"/>
    </xf>
    <xf numFmtId="176" fontId="0" fillId="0" borderId="0" xfId="0" applyNumberFormat="1" applyAlignment="1" applyProtection="1">
      <alignment horizontal="center" vertical="center"/>
      <protection hidden="1"/>
    </xf>
    <xf numFmtId="167" fontId="0" fillId="0" borderId="0" xfId="16" applyNumberFormat="1" applyFont="1" applyAlignment="1" applyProtection="1">
      <alignment horizontal="left" vertical="center"/>
      <protection hidden="1"/>
    </xf>
    <xf numFmtId="0" fontId="0" fillId="0" borderId="0" xfId="0" applyProtection="1">
      <protection hidden="1"/>
    </xf>
    <xf numFmtId="0" fontId="14" fillId="0" borderId="0" xfId="0" applyFont="1" applyProtection="1">
      <protection hidden="1"/>
    </xf>
    <xf numFmtId="176" fontId="15" fillId="0" borderId="0" xfId="0" applyNumberFormat="1" applyFont="1" applyAlignment="1" applyProtection="1">
      <alignment horizontal="center" vertical="center"/>
      <protection hidden="1"/>
    </xf>
    <xf numFmtId="167" fontId="0" fillId="0" borderId="0" xfId="0" applyNumberFormat="1" applyAlignment="1" applyProtection="1">
      <alignment horizontal="left" vertical="center"/>
      <protection hidden="1"/>
    </xf>
    <xf numFmtId="0" fontId="15" fillId="8"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0" fontId="0" fillId="0" borderId="2" xfId="0" quotePrefix="1" applyBorder="1" applyAlignment="1" applyProtection="1">
      <alignment horizontal="center" vertical="center"/>
      <protection hidden="1"/>
    </xf>
    <xf numFmtId="0" fontId="18" fillId="0" borderId="2" xfId="15" applyBorder="1" applyAlignment="1" applyProtection="1">
      <alignment horizontal="center"/>
      <protection hidden="1"/>
    </xf>
    <xf numFmtId="0" fontId="15" fillId="0" borderId="2" xfId="0" applyFont="1" applyBorder="1" applyAlignment="1" applyProtection="1">
      <alignment horizontal="center" vertical="center"/>
      <protection hidden="1"/>
    </xf>
    <xf numFmtId="0" fontId="15" fillId="0" borderId="0" xfId="0" applyFont="1" applyAlignment="1" applyProtection="1">
      <alignment horizontal="left" vertical="center"/>
      <protection hidden="1"/>
    </xf>
    <xf numFmtId="167" fontId="0" fillId="0" borderId="0" xfId="16" applyNumberFormat="1" applyFont="1" applyAlignment="1" applyProtection="1">
      <alignment vertical="center"/>
      <protection hidden="1"/>
    </xf>
    <xf numFmtId="168" fontId="0" fillId="0" borderId="2" xfId="0" applyNumberFormat="1" applyBorder="1" applyAlignment="1" applyProtection="1">
      <alignment horizontal="center" vertical="center"/>
      <protection locked="0"/>
    </xf>
    <xf numFmtId="0" fontId="0" fillId="0" borderId="0" xfId="0" quotePrefix="1"/>
    <xf numFmtId="0" fontId="15" fillId="0" borderId="0" xfId="0" applyFont="1"/>
    <xf numFmtId="167" fontId="0" fillId="10"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2" fontId="10" fillId="0" borderId="2" xfId="1" applyNumberFormat="1" applyFont="1" applyBorder="1" applyAlignment="1">
      <alignment horizontal="center" vertical="center"/>
    </xf>
    <xf numFmtId="177" fontId="13" fillId="0" borderId="0" xfId="0" applyNumberFormat="1" applyFont="1" applyAlignment="1">
      <alignment horizontal="center"/>
    </xf>
    <xf numFmtId="0" fontId="13" fillId="0" borderId="0" xfId="0" applyFont="1" applyAlignment="1">
      <alignment horizontal="center"/>
    </xf>
    <xf numFmtId="0" fontId="10" fillId="0" borderId="0" xfId="10" applyFont="1" applyAlignment="1" applyProtection="1">
      <alignment horizontal="right"/>
      <protection hidden="1"/>
    </xf>
    <xf numFmtId="0" fontId="13" fillId="0" borderId="0" xfId="0" applyFont="1"/>
    <xf numFmtId="1" fontId="10" fillId="0" borderId="0" xfId="10" applyNumberFormat="1" applyFont="1" applyAlignment="1" applyProtection="1">
      <alignment horizontal="center"/>
      <protection hidden="1"/>
    </xf>
    <xf numFmtId="1" fontId="10" fillId="0" borderId="0" xfId="10" applyNumberFormat="1" applyFont="1" applyAlignment="1" applyProtection="1">
      <alignment horizontal="right"/>
      <protection hidden="1"/>
    </xf>
    <xf numFmtId="0" fontId="17" fillId="0" borderId="0" xfId="0" applyFont="1" applyAlignment="1" applyProtection="1">
      <alignment vertical="top" wrapText="1"/>
      <protection hidden="1"/>
    </xf>
    <xf numFmtId="0" fontId="10" fillId="0" borderId="0" xfId="0" applyFont="1" applyAlignment="1" applyProtection="1">
      <alignment horizontal="center" vertical="top" wrapText="1"/>
      <protection hidden="1"/>
    </xf>
    <xf numFmtId="2" fontId="10" fillId="0" borderId="2" xfId="7" applyNumberFormat="1" applyFont="1" applyFill="1" applyBorder="1" applyAlignment="1">
      <alignment horizontal="center" vertical="center"/>
    </xf>
    <xf numFmtId="164" fontId="10" fillId="0" borderId="2" xfId="1" applyFont="1" applyFill="1" applyBorder="1" applyAlignment="1">
      <alignment horizontal="center" vertical="center"/>
    </xf>
    <xf numFmtId="175" fontId="10" fillId="0" borderId="2" xfId="7" applyNumberFormat="1" applyFont="1" applyFill="1" applyBorder="1" applyAlignment="1">
      <alignment horizontal="center" vertical="center"/>
    </xf>
    <xf numFmtId="167" fontId="0" fillId="10" borderId="2" xfId="1" applyNumberFormat="1" applyFont="1" applyFill="1" applyBorder="1" applyAlignment="1" applyProtection="1">
      <alignment horizontal="center" vertical="center"/>
      <protection hidden="1"/>
    </xf>
    <xf numFmtId="167" fontId="0" fillId="0" borderId="0" xfId="1" applyNumberFormat="1" applyFont="1"/>
    <xf numFmtId="164" fontId="14" fillId="0" borderId="0" xfId="1" applyFont="1" applyProtection="1">
      <protection hidden="1"/>
    </xf>
    <xf numFmtId="164" fontId="0" fillId="0" borderId="2" xfId="16" applyFont="1" applyFill="1" applyBorder="1" applyAlignment="1" applyProtection="1">
      <alignment horizontal="center" vertical="center"/>
      <protection locked="0"/>
    </xf>
    <xf numFmtId="169" fontId="4" fillId="0" borderId="0" xfId="0" applyNumberFormat="1" applyFont="1" applyAlignment="1" applyProtection="1">
      <alignment vertical="center"/>
      <protection hidden="1"/>
    </xf>
    <xf numFmtId="170" fontId="4" fillId="0" borderId="0" xfId="0" applyNumberFormat="1" applyFont="1" applyAlignment="1" applyProtection="1">
      <alignment vertical="center"/>
      <protection hidden="1"/>
    </xf>
    <xf numFmtId="39" fontId="0" fillId="10" borderId="2" xfId="1" applyNumberFormat="1" applyFont="1" applyFill="1" applyBorder="1" applyAlignment="1" applyProtection="1">
      <alignment horizontal="center" vertical="center"/>
      <protection hidden="1"/>
    </xf>
    <xf numFmtId="9" fontId="4" fillId="2" borderId="0" xfId="14" applyFont="1" applyFill="1" applyAlignment="1" applyProtection="1">
      <alignment vertical="center"/>
      <protection hidden="1"/>
    </xf>
    <xf numFmtId="2" fontId="10" fillId="0" borderId="2" xfId="1" applyNumberFormat="1" applyFont="1" applyFill="1" applyBorder="1" applyAlignment="1">
      <alignment horizontal="center" vertical="center"/>
    </xf>
    <xf numFmtId="0" fontId="16" fillId="6" borderId="16" xfId="0" quotePrefix="1" applyFont="1" applyFill="1" applyBorder="1" applyAlignment="1" applyProtection="1">
      <alignment horizontal="left" vertical="center"/>
      <protection locked="0"/>
    </xf>
    <xf numFmtId="0" fontId="16" fillId="6" borderId="17" xfId="0" quotePrefix="1" applyFont="1" applyFill="1" applyBorder="1" applyAlignment="1" applyProtection="1">
      <alignment horizontal="left" vertical="center"/>
      <protection locked="0"/>
    </xf>
    <xf numFmtId="0" fontId="16" fillId="6" borderId="18" xfId="0" quotePrefix="1" applyFont="1" applyFill="1" applyBorder="1" applyAlignment="1" applyProtection="1">
      <alignment horizontal="left" vertical="center"/>
      <protection locked="0"/>
    </xf>
    <xf numFmtId="0" fontId="15" fillId="7" borderId="2" xfId="6" applyFont="1" applyFill="1" applyBorder="1" applyAlignment="1">
      <alignment horizontal="center" vertical="center"/>
    </xf>
    <xf numFmtId="0" fontId="15" fillId="7" borderId="2" xfId="6" applyFont="1" applyFill="1" applyBorder="1" applyAlignment="1">
      <alignment horizontal="center" vertical="top"/>
    </xf>
    <xf numFmtId="174" fontId="16" fillId="6" borderId="16" xfId="5" quotePrefix="1" applyNumberFormat="1" applyFont="1" applyFill="1" applyBorder="1" applyAlignment="1" applyProtection="1">
      <alignment horizontal="left" vertical="center"/>
      <protection locked="0"/>
    </xf>
    <xf numFmtId="174" fontId="16" fillId="6" borderId="17" xfId="5" quotePrefix="1" applyNumberFormat="1" applyFont="1" applyFill="1" applyBorder="1" applyAlignment="1" applyProtection="1">
      <alignment horizontal="left" vertical="center"/>
      <protection locked="0"/>
    </xf>
    <xf numFmtId="174" fontId="16" fillId="6" borderId="18" xfId="5" quotePrefix="1" applyNumberFormat="1" applyFont="1" applyFill="1" applyBorder="1" applyAlignment="1" applyProtection="1">
      <alignment horizontal="left" vertical="center"/>
      <protection locked="0"/>
    </xf>
    <xf numFmtId="0" fontId="16" fillId="5" borderId="16" xfId="0" applyFont="1" applyFill="1" applyBorder="1" applyAlignment="1">
      <alignment horizontal="center" vertical="center"/>
    </xf>
    <xf numFmtId="0" fontId="16" fillId="5" borderId="18" xfId="0" applyFont="1" applyFill="1" applyBorder="1" applyAlignment="1">
      <alignment horizontal="center" vertical="center"/>
    </xf>
    <xf numFmtId="0" fontId="10" fillId="0" borderId="0" xfId="10" applyFont="1" applyAlignment="1" applyProtection="1">
      <alignment horizontal="center"/>
      <protection hidden="1"/>
    </xf>
    <xf numFmtId="0" fontId="10" fillId="0" borderId="0" xfId="0" applyFont="1" applyAlignment="1" applyProtection="1">
      <alignment horizontal="left" vertical="top" wrapText="1"/>
      <protection hidden="1"/>
    </xf>
    <xf numFmtId="0" fontId="21" fillId="0" borderId="0" xfId="0" applyFont="1" applyAlignment="1" applyProtection="1">
      <alignment horizontal="left" vertical="top" wrapText="1"/>
      <protection hidden="1"/>
    </xf>
    <xf numFmtId="0" fontId="4" fillId="13" borderId="3" xfId="0" applyFont="1" applyFill="1" applyBorder="1" applyAlignment="1" applyProtection="1">
      <alignment horizontal="center" vertical="center"/>
      <protection hidden="1"/>
    </xf>
    <xf numFmtId="0" fontId="4" fillId="13" borderId="4" xfId="0" applyFont="1" applyFill="1" applyBorder="1" applyAlignment="1" applyProtection="1">
      <alignment horizontal="center" vertical="center"/>
      <protection hidden="1"/>
    </xf>
    <xf numFmtId="0" fontId="4" fillId="13" borderId="5"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4" fillId="13" borderId="0" xfId="0" applyFont="1" applyFill="1" applyAlignment="1" applyProtection="1">
      <alignment horizontal="center" vertical="center"/>
      <protection hidden="1"/>
    </xf>
    <xf numFmtId="0" fontId="4" fillId="13" borderId="7" xfId="0" applyFont="1" applyFill="1" applyBorder="1" applyAlignment="1" applyProtection="1">
      <alignment horizontal="center" vertical="center"/>
      <protection hidden="1"/>
    </xf>
    <xf numFmtId="0" fontId="4" fillId="13" borderId="8" xfId="0" applyFont="1" applyFill="1" applyBorder="1" applyAlignment="1" applyProtection="1">
      <alignment horizontal="center" vertical="center"/>
      <protection hidden="1"/>
    </xf>
    <xf numFmtId="0" fontId="4" fillId="13" borderId="9" xfId="0" applyFont="1" applyFill="1" applyBorder="1" applyAlignment="1" applyProtection="1">
      <alignment horizontal="center" vertical="center"/>
      <protection hidden="1"/>
    </xf>
    <xf numFmtId="0" fontId="4" fillId="13"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5" fillId="11" borderId="0" xfId="1" applyNumberFormat="1" applyFont="1" applyFill="1" applyBorder="1" applyAlignment="1" applyProtection="1">
      <alignment horizontal="center" vertical="center"/>
      <protection locked="0"/>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5" fontId="5" fillId="11" borderId="0" xfId="0" applyNumberFormat="1" applyFont="1" applyFill="1" applyAlignment="1" applyProtection="1">
      <alignment horizontal="center" vertical="center"/>
      <protection locked="0"/>
    </xf>
    <xf numFmtId="165" fontId="5" fillId="12" borderId="0" xfId="0" applyNumberFormat="1" applyFont="1" applyFill="1" applyAlignment="1" applyProtection="1">
      <alignment horizontal="left" vertical="center"/>
      <protection locked="0"/>
    </xf>
    <xf numFmtId="165" fontId="5" fillId="11" borderId="0" xfId="0" applyNumberFormat="1" applyFont="1" applyFill="1" applyAlignment="1" applyProtection="1">
      <alignment horizontal="left" vertical="center"/>
      <protection locked="0"/>
    </xf>
    <xf numFmtId="165" fontId="5" fillId="12" borderId="0" xfId="0" applyNumberFormat="1" applyFont="1" applyFill="1" applyAlignment="1" applyProtection="1">
      <alignment horizontal="left" vertical="center" wrapText="1"/>
      <protection locked="0"/>
    </xf>
    <xf numFmtId="0" fontId="4" fillId="2" borderId="0" xfId="0" applyFont="1" applyFill="1" applyAlignment="1" applyProtection="1">
      <alignment horizontal="center" vertical="center" wrapText="1"/>
      <protection hidden="1"/>
    </xf>
    <xf numFmtId="170" fontId="5" fillId="11" borderId="0" xfId="0" applyNumberFormat="1" applyFont="1" applyFill="1" applyAlignment="1" applyProtection="1">
      <alignment horizontal="center" vertical="center"/>
      <protection locked="0"/>
    </xf>
    <xf numFmtId="0" fontId="4" fillId="2" borderId="0" xfId="0" applyFont="1" applyFill="1" applyAlignment="1" applyProtection="1">
      <alignment horizontal="left" vertical="center"/>
      <protection hidden="1"/>
    </xf>
    <xf numFmtId="170" fontId="5" fillId="11" borderId="0" xfId="0" applyNumberFormat="1" applyFont="1" applyFill="1" applyAlignment="1" applyProtection="1">
      <alignment vertical="center"/>
      <protection locked="0"/>
    </xf>
    <xf numFmtId="0" fontId="12"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2" fontId="5" fillId="11" borderId="0" xfId="14" applyNumberFormat="1" applyFont="1" applyFill="1" applyBorder="1" applyAlignment="1" applyProtection="1">
      <alignment horizontal="center" vertical="center"/>
      <protection locked="0"/>
    </xf>
    <xf numFmtId="0" fontId="4" fillId="2" borderId="0" xfId="0" applyFont="1" applyFill="1" applyAlignment="1" applyProtection="1">
      <alignment horizontal="left" vertical="top" wrapText="1"/>
      <protection hidden="1"/>
    </xf>
    <xf numFmtId="173" fontId="5" fillId="11" borderId="0" xfId="0" applyNumberFormat="1" applyFont="1" applyFill="1" applyAlignment="1" applyProtection="1">
      <alignment vertical="center"/>
      <protection locked="0"/>
    </xf>
    <xf numFmtId="169" fontId="5" fillId="2" borderId="0" xfId="0" applyNumberFormat="1" applyFont="1" applyFill="1" applyAlignment="1" applyProtection="1">
      <alignment vertical="center"/>
      <protection hidden="1"/>
    </xf>
    <xf numFmtId="169" fontId="5" fillId="2" borderId="1" xfId="0" applyNumberFormat="1" applyFont="1" applyFill="1" applyBorder="1" applyAlignment="1" applyProtection="1">
      <alignment vertical="center"/>
      <protection hidden="1"/>
    </xf>
    <xf numFmtId="0" fontId="12" fillId="2" borderId="0" xfId="0" applyFont="1" applyFill="1" applyAlignment="1" applyProtection="1">
      <alignment horizontal="center" vertical="center"/>
      <protection hidden="1"/>
    </xf>
    <xf numFmtId="169" fontId="5" fillId="2" borderId="0" xfId="0" applyNumberFormat="1" applyFont="1" applyFill="1" applyAlignment="1" applyProtection="1">
      <alignment horizontal="center" vertical="center"/>
      <protection hidden="1"/>
    </xf>
    <xf numFmtId="4" fontId="5" fillId="0" borderId="0" xfId="0" applyNumberFormat="1" applyFont="1" applyAlignment="1" applyProtection="1">
      <alignment horizontal="center" vertical="center"/>
      <protection hidden="1"/>
    </xf>
    <xf numFmtId="0" fontId="15" fillId="8" borderId="21" xfId="0" applyFont="1" applyFill="1" applyBorder="1" applyAlignment="1" applyProtection="1">
      <alignment horizontal="center" vertical="center" wrapText="1"/>
      <protection hidden="1"/>
    </xf>
    <xf numFmtId="0" fontId="15" fillId="8" borderId="22" xfId="0" applyFont="1" applyFill="1" applyBorder="1" applyAlignment="1" applyProtection="1">
      <alignment horizontal="center" vertical="center" wrapText="1"/>
      <protection hidden="1"/>
    </xf>
    <xf numFmtId="0" fontId="15" fillId="9" borderId="21" xfId="0" applyFont="1" applyFill="1" applyBorder="1" applyAlignment="1" applyProtection="1">
      <alignment horizontal="center" vertical="center" wrapText="1"/>
      <protection hidden="1"/>
    </xf>
    <xf numFmtId="0" fontId="15" fillId="9" borderId="22" xfId="0" applyFont="1" applyFill="1" applyBorder="1" applyAlignment="1" applyProtection="1">
      <alignment horizontal="center" vertical="center" wrapText="1"/>
      <protection hidden="1"/>
    </xf>
    <xf numFmtId="167" fontId="15" fillId="8" borderId="2" xfId="16" applyNumberFormat="1" applyFont="1" applyFill="1" applyBorder="1" applyAlignment="1" applyProtection="1">
      <alignment horizontal="center" vertical="center"/>
      <protection hidden="1"/>
    </xf>
    <xf numFmtId="0" fontId="15" fillId="9" borderId="2" xfId="0" applyFont="1" applyFill="1" applyBorder="1" applyAlignment="1" applyProtection="1">
      <alignment horizontal="center" vertical="center" wrapText="1"/>
      <protection hidden="1"/>
    </xf>
    <xf numFmtId="0" fontId="15" fillId="9" borderId="2" xfId="0" applyFont="1" applyFill="1" applyBorder="1" applyAlignment="1" applyProtection="1">
      <alignment horizontal="center" vertical="center"/>
      <protection hidden="1"/>
    </xf>
    <xf numFmtId="0" fontId="15" fillId="8" borderId="2" xfId="0" applyFont="1" applyFill="1" applyBorder="1" applyAlignment="1" applyProtection="1">
      <alignment horizontal="center" vertical="center" wrapText="1"/>
      <protection hidden="1"/>
    </xf>
    <xf numFmtId="0" fontId="15" fillId="8" borderId="2" xfId="0" applyFont="1" applyFill="1" applyBorder="1" applyAlignment="1" applyProtection="1">
      <alignment horizontal="center" vertical="center"/>
      <protection hidden="1"/>
    </xf>
    <xf numFmtId="0" fontId="15" fillId="8" borderId="21" xfId="0" applyFont="1" applyFill="1" applyBorder="1" applyAlignment="1" applyProtection="1">
      <alignment horizontal="center" vertical="center"/>
      <protection hidden="1"/>
    </xf>
    <xf numFmtId="0" fontId="15" fillId="8" borderId="22" xfId="0" applyFont="1" applyFill="1" applyBorder="1" applyAlignment="1" applyProtection="1">
      <alignment horizontal="center" vertical="center"/>
      <protection hidden="1"/>
    </xf>
    <xf numFmtId="176" fontId="15" fillId="8" borderId="2" xfId="0" applyNumberFormat="1" applyFont="1" applyFill="1" applyBorder="1" applyAlignment="1" applyProtection="1">
      <alignment horizontal="center" vertical="center" wrapText="1"/>
      <protection hidden="1"/>
    </xf>
    <xf numFmtId="176" fontId="15" fillId="8" borderId="2" xfId="0" applyNumberFormat="1" applyFont="1" applyFill="1" applyBorder="1" applyAlignment="1" applyProtection="1">
      <alignment horizontal="center" vertical="center"/>
      <protection hidden="1"/>
    </xf>
  </cellXfs>
  <cellStyles count="17">
    <cellStyle name="Comma" xfId="1" builtinId="3"/>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yperlink" xfId="15" builtinId="8"/>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xfId="14" builtinId="5"/>
    <cellStyle name="Percent 2" xfId="5" xr:uid="{00000000-0005-0000-0000-00000B000000}"/>
  </cellStyles>
  <dxfs count="10">
    <dxf>
      <font>
        <color rgb="FFFF0000"/>
      </font>
    </dxf>
    <dxf>
      <numFmt numFmtId="33" formatCode="_-* #,##0_-;\-* #,##0_-;_-* &quot;-&quot;_-;_-@_-"/>
    </dxf>
    <dxf>
      <numFmt numFmtId="33" formatCode="_-* #,##0_-;\-* #,##0_-;_-* &quot;-&quot;_-;_-@_-"/>
    </dxf>
    <dxf>
      <font>
        <b/>
        <i val="0"/>
        <condense val="0"/>
        <extend val="0"/>
      </font>
      <fill>
        <patternFill>
          <bgColor indexed="40"/>
        </patternFill>
      </fill>
      <border>
        <left/>
        <right/>
        <top/>
        <bottom/>
      </border>
    </dxf>
    <dxf>
      <numFmt numFmtId="33" formatCode="_-* #,##0_-;\-* #,##0_-;_-* &quot;-&quot;_-;_-@_-"/>
    </dxf>
    <dxf>
      <numFmt numFmtId="33" formatCode="_-* #,##0_-;\-* #,##0_-;_-* &quot;-&quot;_-;_-@_-"/>
    </dxf>
    <dxf>
      <font>
        <b/>
        <i val="0"/>
        <condense val="0"/>
        <extend val="0"/>
      </font>
      <fill>
        <patternFill>
          <bgColor indexed="40"/>
        </patternFill>
      </fill>
      <border>
        <left/>
        <right/>
        <top/>
        <bottom/>
      </border>
    </dxf>
    <dxf>
      <numFmt numFmtId="33" formatCode="_-* #,##0_-;\-* #,##0_-;_-* &quot;-&quot;_-;_-@_-"/>
    </dxf>
    <dxf>
      <numFmt numFmtId="33" formatCode="_-* #,##0_-;\-* #,##0_-;_-* &quot;-&quot;_-;_-@_-"/>
    </dxf>
    <dxf>
      <font>
        <b/>
        <i val="0"/>
        <condense val="0"/>
        <extend val="0"/>
      </font>
      <fill>
        <patternFill>
          <bgColor indexed="40"/>
        </patternFill>
      </fill>
      <border>
        <left/>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fmlaLink="$AS$40"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95250</xdr:colOff>
          <xdr:row>2</xdr:row>
          <xdr:rowOff>152400</xdr:rowOff>
        </xdr:from>
        <xdr:to>
          <xdr:col>6</xdr:col>
          <xdr:colOff>209550</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D"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2</xdr:row>
          <xdr:rowOff>152400</xdr:rowOff>
        </xdr:from>
        <xdr:to>
          <xdr:col>7</xdr:col>
          <xdr:colOff>590550</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D"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poajk@simasjiwa.co.id" TargetMode="External"/><Relationship Id="rId7" Type="http://schemas.openxmlformats.org/officeDocument/2006/relationships/printerSettings" Target="../printerSettings/printerSettings1.bin"/><Relationship Id="rId2" Type="http://schemas.openxmlformats.org/officeDocument/2006/relationships/hyperlink" Target="mailto:digital@simasjiwa.co.id" TargetMode="External"/><Relationship Id="rId1" Type="http://schemas.openxmlformats.org/officeDocument/2006/relationships/hyperlink" Target="mailto:direct.sales@simasjiwa.co.id" TargetMode="External"/><Relationship Id="rId6" Type="http://schemas.openxmlformats.org/officeDocument/2006/relationships/hyperlink" Target="mailto:poajk@simasjiwa.co.id" TargetMode="External"/><Relationship Id="rId11" Type="http://schemas.openxmlformats.org/officeDocument/2006/relationships/ctrlProp" Target="../ctrlProps/ctrlProp2.xml"/><Relationship Id="rId5" Type="http://schemas.openxmlformats.org/officeDocument/2006/relationships/hyperlink" Target="mailto:bancassurance@simasjiwa.co.id" TargetMode="External"/><Relationship Id="rId10" Type="http://schemas.openxmlformats.org/officeDocument/2006/relationships/ctrlProp" Target="../ctrlProps/ctrlProp1.xml"/><Relationship Id="rId4" Type="http://schemas.openxmlformats.org/officeDocument/2006/relationships/hyperlink" Target="mailto:syariah.div@simasjiwa.co.id"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Relationship Id="rId2" Type="http://schemas.openxmlformats.org/officeDocument/2006/relationships/hyperlink" Target="mailto:bbb@gmail.com" TargetMode="External"/><Relationship Id="rId1" Type="http://schemas.openxmlformats.org/officeDocument/2006/relationships/hyperlink" Target="mailto:aaa@gmail.com" TargetMode="External"/><Relationship Id="rId6" Type="http://schemas.openxmlformats.org/officeDocument/2006/relationships/printerSettings" Target="../printerSettings/printerSettings4.bin"/><Relationship Id="rId5" Type="http://schemas.openxmlformats.org/officeDocument/2006/relationships/hyperlink" Target="mailto:eee@gmail.com" TargetMode="External"/><Relationship Id="rId4" Type="http://schemas.openxmlformats.org/officeDocument/2006/relationships/hyperlink" Target="mailto:ddd@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BL174"/>
  <sheetViews>
    <sheetView topLeftCell="C2" zoomScale="65" zoomScaleNormal="100" workbookViewId="0">
      <selection activeCell="K34" sqref="K34"/>
    </sheetView>
  </sheetViews>
  <sheetFormatPr defaultRowHeight="15" x14ac:dyDescent="0.25"/>
  <cols>
    <col min="2" max="2" width="9.7109375" customWidth="1"/>
    <col min="3" max="4" width="15.28515625" customWidth="1"/>
    <col min="5" max="5" width="3.28515625" customWidth="1"/>
    <col min="10" max="10" width="3.28515625" customWidth="1"/>
  </cols>
  <sheetData>
    <row r="2" spans="2:45" x14ac:dyDescent="0.25">
      <c r="L2" s="90" t="s">
        <v>86</v>
      </c>
    </row>
    <row r="3" spans="2:45" x14ac:dyDescent="0.25">
      <c r="B3" s="4"/>
      <c r="C3" s="5"/>
      <c r="D3" s="5"/>
      <c r="E3" s="5"/>
      <c r="F3" s="5"/>
      <c r="G3" s="5"/>
      <c r="H3" s="5"/>
      <c r="I3" s="5"/>
      <c r="J3" s="6"/>
      <c r="L3" s="117" t="s">
        <v>42</v>
      </c>
      <c r="M3" s="118" t="s">
        <v>43</v>
      </c>
      <c r="N3" s="118"/>
      <c r="O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P3" s="118"/>
      <c r="AR3" s="28" t="s">
        <v>0</v>
      </c>
      <c r="AS3" s="28" t="s">
        <v>44</v>
      </c>
    </row>
    <row r="4" spans="2:45" x14ac:dyDescent="0.25">
      <c r="B4" s="7"/>
      <c r="C4" s="8" t="s">
        <v>88</v>
      </c>
      <c r="D4" s="9"/>
      <c r="E4" s="9"/>
      <c r="F4" s="9"/>
      <c r="G4" s="9"/>
      <c r="H4" s="9"/>
      <c r="I4" s="9"/>
      <c r="J4" s="10"/>
      <c r="L4" s="117"/>
      <c r="M4" s="23">
        <v>1</v>
      </c>
      <c r="N4" s="23">
        <v>2</v>
      </c>
      <c r="O4" s="23">
        <v>3</v>
      </c>
      <c r="P4" s="23">
        <v>4</v>
      </c>
      <c r="Q4" s="23">
        <v>5</v>
      </c>
      <c r="R4" s="23">
        <v>6</v>
      </c>
      <c r="S4" s="23">
        <v>7</v>
      </c>
      <c r="T4" s="23">
        <v>8</v>
      </c>
      <c r="U4" s="23">
        <v>9</v>
      </c>
      <c r="V4" s="23">
        <v>10</v>
      </c>
      <c r="W4" s="23">
        <v>11</v>
      </c>
      <c r="X4" s="23">
        <v>12</v>
      </c>
      <c r="Y4" s="23">
        <v>13</v>
      </c>
      <c r="Z4" s="23">
        <v>14</v>
      </c>
      <c r="AA4" s="23">
        <v>15</v>
      </c>
      <c r="AB4" s="23">
        <v>16</v>
      </c>
      <c r="AC4" s="23">
        <v>17</v>
      </c>
      <c r="AD4" s="23">
        <v>18</v>
      </c>
      <c r="AE4" s="23">
        <v>19</v>
      </c>
      <c r="AF4" s="23">
        <v>20</v>
      </c>
      <c r="AG4" s="23">
        <v>21</v>
      </c>
      <c r="AH4" s="23">
        <v>22</v>
      </c>
      <c r="AI4" s="23">
        <v>23</v>
      </c>
      <c r="AJ4" s="23">
        <v>24</v>
      </c>
      <c r="AK4" s="23">
        <v>25</v>
      </c>
      <c r="AL4" s="23">
        <v>26</v>
      </c>
      <c r="AM4" s="23">
        <v>27</v>
      </c>
      <c r="AN4" s="23">
        <v>28</v>
      </c>
      <c r="AO4" s="23">
        <v>29</v>
      </c>
      <c r="AP4" s="23">
        <v>30</v>
      </c>
      <c r="AR4" s="28">
        <v>1</v>
      </c>
      <c r="AS4" s="27">
        <v>0.2</v>
      </c>
    </row>
    <row r="5" spans="2:45" x14ac:dyDescent="0.25">
      <c r="B5" s="7"/>
      <c r="C5" s="8"/>
      <c r="D5" s="9"/>
      <c r="E5" s="9"/>
      <c r="F5" s="9"/>
      <c r="G5" s="9"/>
      <c r="H5" s="9"/>
      <c r="I5" s="9"/>
      <c r="J5" s="10"/>
      <c r="L5" s="24" t="str">
        <f>IF(AND(ROW(K5)+12&gt;=$G$11,ROW(K5)+12&lt;=$I$11),ROW(K5)+12,"")</f>
        <v/>
      </c>
      <c r="M5" s="26">
        <f>IF('Simulasi Premi 1 (Personal)'!$E$38="Menurun",'Spek Produk'!M63,'Spek Produk'!M121)</f>
        <v>0</v>
      </c>
      <c r="N5" s="26">
        <f>IF('Simulasi Premi 1 (Personal)'!$E$38="Menurun",'Spek Produk'!N63,'Spek Produk'!N121)</f>
        <v>0</v>
      </c>
      <c r="O5" s="26">
        <f>IF('Simulasi Premi 1 (Personal)'!$E$38="Menurun",'Spek Produk'!O63,'Spek Produk'!O121)</f>
        <v>0</v>
      </c>
      <c r="P5" s="26">
        <f>IF('Simulasi Premi 1 (Personal)'!$E$38="Menurun",'Spek Produk'!P63,'Spek Produk'!P121)</f>
        <v>0</v>
      </c>
      <c r="Q5" s="26">
        <f>IF('Simulasi Premi 1 (Personal)'!$E$38="Menurun",'Spek Produk'!Q63,'Spek Produk'!Q121)</f>
        <v>0</v>
      </c>
      <c r="R5" s="26">
        <f>IF('Simulasi Premi 1 (Personal)'!$E$38="Menurun",'Spek Produk'!R63,'Spek Produk'!R121)</f>
        <v>0</v>
      </c>
      <c r="S5" s="26">
        <f>IF('Simulasi Premi 1 (Personal)'!$E$38="Menurun",'Spek Produk'!S63,'Spek Produk'!S121)</f>
        <v>0</v>
      </c>
      <c r="T5" s="26">
        <f>IF('Simulasi Premi 1 (Personal)'!$E$38="Menurun",'Spek Produk'!T63,'Spek Produk'!T121)</f>
        <v>0</v>
      </c>
      <c r="U5" s="26">
        <f>IF('Simulasi Premi 1 (Personal)'!$E$38="Menurun",'Spek Produk'!U63,'Spek Produk'!U121)</f>
        <v>0</v>
      </c>
      <c r="V5" s="26">
        <f>IF('Simulasi Premi 1 (Personal)'!$E$38="Menurun",'Spek Produk'!V63,'Spek Produk'!V121)</f>
        <v>0</v>
      </c>
      <c r="W5" s="26">
        <f>IF('Simulasi Premi 1 (Personal)'!$E$38="Menurun",'Spek Produk'!W63,'Spek Produk'!W121)</f>
        <v>0</v>
      </c>
      <c r="X5" s="26">
        <f>IF('Simulasi Premi 1 (Personal)'!$E$38="Menurun",'Spek Produk'!X63,'Spek Produk'!X121)</f>
        <v>0</v>
      </c>
      <c r="Y5" s="26">
        <f>IF('Simulasi Premi 1 (Personal)'!$E$38="Menurun",'Spek Produk'!Y63,'Spek Produk'!Y121)</f>
        <v>0</v>
      </c>
      <c r="Z5" s="26">
        <f>IF('Simulasi Premi 1 (Personal)'!$E$38="Menurun",'Spek Produk'!Z63,'Spek Produk'!Z121)</f>
        <v>0</v>
      </c>
      <c r="AA5" s="26">
        <f>IF('Simulasi Premi 1 (Personal)'!$E$38="Menurun",'Spek Produk'!AA63,'Spek Produk'!AA121)</f>
        <v>0</v>
      </c>
      <c r="AB5" s="26">
        <f>IF('Simulasi Premi 1 (Personal)'!$E$38="Menurun",'Spek Produk'!AB63,'Spek Produk'!AB121)</f>
        <v>0</v>
      </c>
      <c r="AC5" s="26">
        <f>IF('Simulasi Premi 1 (Personal)'!$E$38="Menurun",'Spek Produk'!AC63,'Spek Produk'!AC121)</f>
        <v>0</v>
      </c>
      <c r="AD5" s="26">
        <f>IF('Simulasi Premi 1 (Personal)'!$E$38="Menurun",'Spek Produk'!AD63,'Spek Produk'!AD121)</f>
        <v>0</v>
      </c>
      <c r="AE5" s="26">
        <f>IF('Simulasi Premi 1 (Personal)'!$E$38="Menurun",'Spek Produk'!AE63,'Spek Produk'!AE121)</f>
        <v>0</v>
      </c>
      <c r="AF5" s="26">
        <f>IF('Simulasi Premi 1 (Personal)'!$E$38="Menurun",'Spek Produk'!AF63,'Spek Produk'!AF121)</f>
        <v>0</v>
      </c>
      <c r="AG5" s="26">
        <f>IF('Simulasi Premi 1 (Personal)'!$E$38="Menurun",'Spek Produk'!AG63,'Spek Produk'!AG121)</f>
        <v>0</v>
      </c>
      <c r="AH5" s="26">
        <f>IF('Simulasi Premi 1 (Personal)'!$E$38="Menurun",'Spek Produk'!AH63,'Spek Produk'!AH121)</f>
        <v>0</v>
      </c>
      <c r="AI5" s="26">
        <f>IF('Simulasi Premi 1 (Personal)'!$E$38="Menurun",'Spek Produk'!AI63,'Spek Produk'!AI121)</f>
        <v>0</v>
      </c>
      <c r="AJ5" s="26">
        <f>IF('Simulasi Premi 1 (Personal)'!$E$38="Menurun",'Spek Produk'!AJ63,'Spek Produk'!AJ121)</f>
        <v>0</v>
      </c>
      <c r="AK5" s="26">
        <f>IF('Simulasi Premi 1 (Personal)'!$E$38="Menurun",'Spek Produk'!AK63,'Spek Produk'!AK121)</f>
        <v>0</v>
      </c>
      <c r="AL5" s="26">
        <f>IF('Simulasi Premi 1 (Personal)'!$E$38="Menurun",'Spek Produk'!AL63,'Spek Produk'!AL121)</f>
        <v>0</v>
      </c>
      <c r="AM5" s="26">
        <f>IF('Simulasi Premi 1 (Personal)'!$E$38="Menurun",'Spek Produk'!AM63,'Spek Produk'!AM121)</f>
        <v>0</v>
      </c>
      <c r="AN5" s="26">
        <f>IF('Simulasi Premi 1 (Personal)'!$E$38="Menurun",'Spek Produk'!AN63,'Spek Produk'!AN121)</f>
        <v>0</v>
      </c>
      <c r="AO5" s="26">
        <f>IF('Simulasi Premi 1 (Personal)'!$E$38="Menurun",'Spek Produk'!AO63,'Spek Produk'!AO121)</f>
        <v>0</v>
      </c>
      <c r="AP5" s="26">
        <f>IF('Simulasi Premi 1 (Personal)'!$E$38="Menurun",'Spek Produk'!AP63,'Spek Produk'!AP121)</f>
        <v>0</v>
      </c>
      <c r="AR5" s="28">
        <f>AR4+1</f>
        <v>2</v>
      </c>
      <c r="AS5" s="27">
        <v>0.3</v>
      </c>
    </row>
    <row r="6" spans="2:45" x14ac:dyDescent="0.25">
      <c r="B6" s="7"/>
      <c r="C6" s="9" t="s">
        <v>33</v>
      </c>
      <c r="D6" s="9"/>
      <c r="E6" s="11" t="s">
        <v>23</v>
      </c>
      <c r="F6" s="114" t="str">
        <f>IF('Simulasi Premi 1 (Personal)'!$E$38="Menurun",'Spek Produk'!F18,'Spek Produk'!F30)</f>
        <v>Syariah</v>
      </c>
      <c r="G6" s="115"/>
      <c r="H6" s="115"/>
      <c r="I6" s="116"/>
      <c r="J6" s="10"/>
      <c r="L6" s="24" t="str">
        <f t="shared" ref="L6:L58" si="0">IF(AND(ROW(K6)+12&gt;=$G$11,ROW(K6)+12&lt;=$I$11),ROW(K6)+12,"")</f>
        <v/>
      </c>
      <c r="M6" s="26">
        <f>IF('Simulasi Premi 1 (Personal)'!$E$38="Menurun",'Spek Produk'!M64,'Spek Produk'!M122)</f>
        <v>0</v>
      </c>
      <c r="N6" s="26">
        <f>IF('Simulasi Premi 1 (Personal)'!$E$38="Menurun",'Spek Produk'!N64,'Spek Produk'!N122)</f>
        <v>0</v>
      </c>
      <c r="O6" s="26">
        <f>IF('Simulasi Premi 1 (Personal)'!$E$38="Menurun",'Spek Produk'!O64,'Spek Produk'!O122)</f>
        <v>0</v>
      </c>
      <c r="P6" s="26">
        <f>IF('Simulasi Premi 1 (Personal)'!$E$38="Menurun",'Spek Produk'!P64,'Spek Produk'!P122)</f>
        <v>0</v>
      </c>
      <c r="Q6" s="26">
        <f>IF('Simulasi Premi 1 (Personal)'!$E$38="Menurun",'Spek Produk'!Q64,'Spek Produk'!Q122)</f>
        <v>0</v>
      </c>
      <c r="R6" s="26">
        <f>IF('Simulasi Premi 1 (Personal)'!$E$38="Menurun",'Spek Produk'!R64,'Spek Produk'!R122)</f>
        <v>0</v>
      </c>
      <c r="S6" s="26">
        <f>IF('Simulasi Premi 1 (Personal)'!$E$38="Menurun",'Spek Produk'!S64,'Spek Produk'!S122)</f>
        <v>0</v>
      </c>
      <c r="T6" s="26">
        <f>IF('Simulasi Premi 1 (Personal)'!$E$38="Menurun",'Spek Produk'!T64,'Spek Produk'!T122)</f>
        <v>0</v>
      </c>
      <c r="U6" s="26">
        <f>IF('Simulasi Premi 1 (Personal)'!$E$38="Menurun",'Spek Produk'!U64,'Spek Produk'!U122)</f>
        <v>0</v>
      </c>
      <c r="V6" s="26">
        <f>IF('Simulasi Premi 1 (Personal)'!$E$38="Menurun",'Spek Produk'!V64,'Spek Produk'!V122)</f>
        <v>0</v>
      </c>
      <c r="W6" s="26">
        <f>IF('Simulasi Premi 1 (Personal)'!$E$38="Menurun",'Spek Produk'!W64,'Spek Produk'!W122)</f>
        <v>0</v>
      </c>
      <c r="X6" s="26">
        <f>IF('Simulasi Premi 1 (Personal)'!$E$38="Menurun",'Spek Produk'!X64,'Spek Produk'!X122)</f>
        <v>0</v>
      </c>
      <c r="Y6" s="26">
        <f>IF('Simulasi Premi 1 (Personal)'!$E$38="Menurun",'Spek Produk'!Y64,'Spek Produk'!Y122)</f>
        <v>0</v>
      </c>
      <c r="Z6" s="26">
        <f>IF('Simulasi Premi 1 (Personal)'!$E$38="Menurun",'Spek Produk'!Z64,'Spek Produk'!Z122)</f>
        <v>0</v>
      </c>
      <c r="AA6" s="26">
        <f>IF('Simulasi Premi 1 (Personal)'!$E$38="Menurun",'Spek Produk'!AA64,'Spek Produk'!AA122)</f>
        <v>0</v>
      </c>
      <c r="AB6" s="26">
        <f>IF('Simulasi Premi 1 (Personal)'!$E$38="Menurun",'Spek Produk'!AB64,'Spek Produk'!AB122)</f>
        <v>0</v>
      </c>
      <c r="AC6" s="26">
        <f>IF('Simulasi Premi 1 (Personal)'!$E$38="Menurun",'Spek Produk'!AC64,'Spek Produk'!AC122)</f>
        <v>0</v>
      </c>
      <c r="AD6" s="26">
        <f>IF('Simulasi Premi 1 (Personal)'!$E$38="Menurun",'Spek Produk'!AD64,'Spek Produk'!AD122)</f>
        <v>0</v>
      </c>
      <c r="AE6" s="26">
        <f>IF('Simulasi Premi 1 (Personal)'!$E$38="Menurun",'Spek Produk'!AE64,'Spek Produk'!AE122)</f>
        <v>0</v>
      </c>
      <c r="AF6" s="26">
        <f>IF('Simulasi Premi 1 (Personal)'!$E$38="Menurun",'Spek Produk'!AF64,'Spek Produk'!AF122)</f>
        <v>0</v>
      </c>
      <c r="AG6" s="26">
        <f>IF('Simulasi Premi 1 (Personal)'!$E$38="Menurun",'Spek Produk'!AG64,'Spek Produk'!AG122)</f>
        <v>0</v>
      </c>
      <c r="AH6" s="26">
        <f>IF('Simulasi Premi 1 (Personal)'!$E$38="Menurun",'Spek Produk'!AH64,'Spek Produk'!AH122)</f>
        <v>0</v>
      </c>
      <c r="AI6" s="26">
        <f>IF('Simulasi Premi 1 (Personal)'!$E$38="Menurun",'Spek Produk'!AI64,'Spek Produk'!AI122)</f>
        <v>0</v>
      </c>
      <c r="AJ6" s="26">
        <f>IF('Simulasi Premi 1 (Personal)'!$E$38="Menurun",'Spek Produk'!AJ64,'Spek Produk'!AJ122)</f>
        <v>0</v>
      </c>
      <c r="AK6" s="26">
        <f>IF('Simulasi Premi 1 (Personal)'!$E$38="Menurun",'Spek Produk'!AK64,'Spek Produk'!AK122)</f>
        <v>0</v>
      </c>
      <c r="AL6" s="26">
        <f>IF('Simulasi Premi 1 (Personal)'!$E$38="Menurun",'Spek Produk'!AL64,'Spek Produk'!AL122)</f>
        <v>0</v>
      </c>
      <c r="AM6" s="26">
        <f>IF('Simulasi Premi 1 (Personal)'!$E$38="Menurun",'Spek Produk'!AM64,'Spek Produk'!AM122)</f>
        <v>0</v>
      </c>
      <c r="AN6" s="26">
        <f>IF('Simulasi Premi 1 (Personal)'!$E$38="Menurun",'Spek Produk'!AN64,'Spek Produk'!AN122)</f>
        <v>0</v>
      </c>
      <c r="AO6" s="26">
        <f>IF('Simulasi Premi 1 (Personal)'!$E$38="Menurun",'Spek Produk'!AO64,'Spek Produk'!AO122)</f>
        <v>0</v>
      </c>
      <c r="AP6" s="26">
        <f>IF('Simulasi Premi 1 (Personal)'!$E$38="Menurun",'Spek Produk'!AP64,'Spek Produk'!AP122)</f>
        <v>0</v>
      </c>
      <c r="AR6" s="28">
        <f t="shared" ref="AR6:AR15" si="1">AR5+1</f>
        <v>3</v>
      </c>
      <c r="AS6" s="27">
        <v>0.4</v>
      </c>
    </row>
    <row r="7" spans="2:45" x14ac:dyDescent="0.25">
      <c r="B7" s="7"/>
      <c r="C7" s="9" t="s">
        <v>34</v>
      </c>
      <c r="D7" s="9"/>
      <c r="E7" s="11" t="s">
        <v>23</v>
      </c>
      <c r="F7" s="114" t="str">
        <f>IF('Simulasi Premi 1 (Personal)'!$E$38="Menurun",'Spek Produk'!F19,'Spek Produk'!F31)</f>
        <v>Bank Syariah Indonesia</v>
      </c>
      <c r="G7" s="115"/>
      <c r="H7" s="115"/>
      <c r="I7" s="116"/>
      <c r="J7" s="10"/>
      <c r="L7" s="24" t="str">
        <f t="shared" si="0"/>
        <v/>
      </c>
      <c r="M7" s="26">
        <f>IF('Simulasi Premi 1 (Personal)'!$E$38="Menurun",'Spek Produk'!M65,'Spek Produk'!M123)</f>
        <v>0</v>
      </c>
      <c r="N7" s="26">
        <f>IF('Simulasi Premi 1 (Personal)'!$E$38="Menurun",'Spek Produk'!N65,'Spek Produk'!N123)</f>
        <v>0</v>
      </c>
      <c r="O7" s="26">
        <f>IF('Simulasi Premi 1 (Personal)'!$E$38="Menurun",'Spek Produk'!O65,'Spek Produk'!O123)</f>
        <v>0</v>
      </c>
      <c r="P7" s="26">
        <f>IF('Simulasi Premi 1 (Personal)'!$E$38="Menurun",'Spek Produk'!P65,'Spek Produk'!P123)</f>
        <v>0</v>
      </c>
      <c r="Q7" s="26">
        <f>IF('Simulasi Premi 1 (Personal)'!$E$38="Menurun",'Spek Produk'!Q65,'Spek Produk'!Q123)</f>
        <v>0</v>
      </c>
      <c r="R7" s="26">
        <f>IF('Simulasi Premi 1 (Personal)'!$E$38="Menurun",'Spek Produk'!R65,'Spek Produk'!R123)</f>
        <v>0</v>
      </c>
      <c r="S7" s="26">
        <f>IF('Simulasi Premi 1 (Personal)'!$E$38="Menurun",'Spek Produk'!S65,'Spek Produk'!S123)</f>
        <v>0</v>
      </c>
      <c r="T7" s="26">
        <f>IF('Simulasi Premi 1 (Personal)'!$E$38="Menurun",'Spek Produk'!T65,'Spek Produk'!T123)</f>
        <v>0</v>
      </c>
      <c r="U7" s="26">
        <f>IF('Simulasi Premi 1 (Personal)'!$E$38="Menurun",'Spek Produk'!U65,'Spek Produk'!U123)</f>
        <v>0</v>
      </c>
      <c r="V7" s="26">
        <f>IF('Simulasi Premi 1 (Personal)'!$E$38="Menurun",'Spek Produk'!V65,'Spek Produk'!V123)</f>
        <v>0</v>
      </c>
      <c r="W7" s="26">
        <f>IF('Simulasi Premi 1 (Personal)'!$E$38="Menurun",'Spek Produk'!W65,'Spek Produk'!W123)</f>
        <v>0</v>
      </c>
      <c r="X7" s="26">
        <f>IF('Simulasi Premi 1 (Personal)'!$E$38="Menurun",'Spek Produk'!X65,'Spek Produk'!X123)</f>
        <v>0</v>
      </c>
      <c r="Y7" s="26">
        <f>IF('Simulasi Premi 1 (Personal)'!$E$38="Menurun",'Spek Produk'!Y65,'Spek Produk'!Y123)</f>
        <v>0</v>
      </c>
      <c r="Z7" s="26">
        <f>IF('Simulasi Premi 1 (Personal)'!$E$38="Menurun",'Spek Produk'!Z65,'Spek Produk'!Z123)</f>
        <v>0</v>
      </c>
      <c r="AA7" s="26">
        <f>IF('Simulasi Premi 1 (Personal)'!$E$38="Menurun",'Spek Produk'!AA65,'Spek Produk'!AA123)</f>
        <v>0</v>
      </c>
      <c r="AB7" s="26">
        <f>IF('Simulasi Premi 1 (Personal)'!$E$38="Menurun",'Spek Produk'!AB65,'Spek Produk'!AB123)</f>
        <v>0</v>
      </c>
      <c r="AC7" s="26">
        <f>IF('Simulasi Premi 1 (Personal)'!$E$38="Menurun",'Spek Produk'!AC65,'Spek Produk'!AC123)</f>
        <v>0</v>
      </c>
      <c r="AD7" s="26">
        <f>IF('Simulasi Premi 1 (Personal)'!$E$38="Menurun",'Spek Produk'!AD65,'Spek Produk'!AD123)</f>
        <v>0</v>
      </c>
      <c r="AE7" s="26">
        <f>IF('Simulasi Premi 1 (Personal)'!$E$38="Menurun",'Spek Produk'!AE65,'Spek Produk'!AE123)</f>
        <v>0</v>
      </c>
      <c r="AF7" s="26">
        <f>IF('Simulasi Premi 1 (Personal)'!$E$38="Menurun",'Spek Produk'!AF65,'Spek Produk'!AF123)</f>
        <v>0</v>
      </c>
      <c r="AG7" s="26">
        <f>IF('Simulasi Premi 1 (Personal)'!$E$38="Menurun",'Spek Produk'!AG65,'Spek Produk'!AG123)</f>
        <v>0</v>
      </c>
      <c r="AH7" s="26">
        <f>IF('Simulasi Premi 1 (Personal)'!$E$38="Menurun",'Spek Produk'!AH65,'Spek Produk'!AH123)</f>
        <v>0</v>
      </c>
      <c r="AI7" s="26">
        <f>IF('Simulasi Premi 1 (Personal)'!$E$38="Menurun",'Spek Produk'!AI65,'Spek Produk'!AI123)</f>
        <v>0</v>
      </c>
      <c r="AJ7" s="26">
        <f>IF('Simulasi Premi 1 (Personal)'!$E$38="Menurun",'Spek Produk'!AJ65,'Spek Produk'!AJ123)</f>
        <v>0</v>
      </c>
      <c r="AK7" s="26">
        <f>IF('Simulasi Premi 1 (Personal)'!$E$38="Menurun",'Spek Produk'!AK65,'Spek Produk'!AK123)</f>
        <v>0</v>
      </c>
      <c r="AL7" s="26">
        <f>IF('Simulasi Premi 1 (Personal)'!$E$38="Menurun",'Spek Produk'!AL65,'Spek Produk'!AL123)</f>
        <v>0</v>
      </c>
      <c r="AM7" s="26">
        <f>IF('Simulasi Premi 1 (Personal)'!$E$38="Menurun",'Spek Produk'!AM65,'Spek Produk'!AM123)</f>
        <v>0</v>
      </c>
      <c r="AN7" s="26">
        <f>IF('Simulasi Premi 1 (Personal)'!$E$38="Menurun",'Spek Produk'!AN65,'Spek Produk'!AN123)</f>
        <v>0</v>
      </c>
      <c r="AO7" s="26">
        <f>IF('Simulasi Premi 1 (Personal)'!$E$38="Menurun",'Spek Produk'!AO65,'Spek Produk'!AO123)</f>
        <v>0</v>
      </c>
      <c r="AP7" s="26">
        <f>IF('Simulasi Premi 1 (Personal)'!$E$38="Menurun",'Spek Produk'!AP65,'Spek Produk'!AP123)</f>
        <v>0</v>
      </c>
      <c r="AR7" s="28">
        <f t="shared" si="1"/>
        <v>4</v>
      </c>
      <c r="AS7" s="27">
        <v>0.5</v>
      </c>
    </row>
    <row r="8" spans="2:45" x14ac:dyDescent="0.25">
      <c r="B8" s="7"/>
      <c r="C8" s="9" t="s">
        <v>35</v>
      </c>
      <c r="D8" s="9"/>
      <c r="E8" s="11" t="s">
        <v>23</v>
      </c>
      <c r="F8" s="119">
        <f ca="1">IF('Simulasi Premi 1 (Personal)'!$E$38="Menurun",'Spek Produk'!F20,'Spek Produk'!F32)</f>
        <v>1000000000</v>
      </c>
      <c r="G8" s="120"/>
      <c r="H8" s="120"/>
      <c r="I8" s="121"/>
      <c r="J8" s="10"/>
      <c r="L8" s="24" t="str">
        <f t="shared" si="0"/>
        <v/>
      </c>
      <c r="M8" s="26">
        <f>IF('Simulasi Premi 1 (Personal)'!$E$38="Menurun",'Spek Produk'!M66,'Spek Produk'!M124)</f>
        <v>0</v>
      </c>
      <c r="N8" s="26">
        <f>IF('Simulasi Premi 1 (Personal)'!$E$38="Menurun",'Spek Produk'!N66,'Spek Produk'!N124)</f>
        <v>0</v>
      </c>
      <c r="O8" s="26">
        <f>IF('Simulasi Premi 1 (Personal)'!$E$38="Menurun",'Spek Produk'!O66,'Spek Produk'!O124)</f>
        <v>0</v>
      </c>
      <c r="P8" s="26">
        <f>IF('Simulasi Premi 1 (Personal)'!$E$38="Menurun",'Spek Produk'!P66,'Spek Produk'!P124)</f>
        <v>0</v>
      </c>
      <c r="Q8" s="26">
        <f>IF('Simulasi Premi 1 (Personal)'!$E$38="Menurun",'Spek Produk'!Q66,'Spek Produk'!Q124)</f>
        <v>0</v>
      </c>
      <c r="R8" s="26">
        <f>IF('Simulasi Premi 1 (Personal)'!$E$38="Menurun",'Spek Produk'!R66,'Spek Produk'!R124)</f>
        <v>0</v>
      </c>
      <c r="S8" s="26">
        <f>IF('Simulasi Premi 1 (Personal)'!$E$38="Menurun",'Spek Produk'!S66,'Spek Produk'!S124)</f>
        <v>0</v>
      </c>
      <c r="T8" s="26">
        <f>IF('Simulasi Premi 1 (Personal)'!$E$38="Menurun",'Spek Produk'!T66,'Spek Produk'!T124)</f>
        <v>0</v>
      </c>
      <c r="U8" s="26">
        <f>IF('Simulasi Premi 1 (Personal)'!$E$38="Menurun",'Spek Produk'!U66,'Spek Produk'!U124)</f>
        <v>0</v>
      </c>
      <c r="V8" s="26">
        <f>IF('Simulasi Premi 1 (Personal)'!$E$38="Menurun",'Spek Produk'!V66,'Spek Produk'!V124)</f>
        <v>0</v>
      </c>
      <c r="W8" s="26">
        <f>IF('Simulasi Premi 1 (Personal)'!$E$38="Menurun",'Spek Produk'!W66,'Spek Produk'!W124)</f>
        <v>0</v>
      </c>
      <c r="X8" s="26">
        <f>IF('Simulasi Premi 1 (Personal)'!$E$38="Menurun",'Spek Produk'!X66,'Spek Produk'!X124)</f>
        <v>0</v>
      </c>
      <c r="Y8" s="26">
        <f>IF('Simulasi Premi 1 (Personal)'!$E$38="Menurun",'Spek Produk'!Y66,'Spek Produk'!Y124)</f>
        <v>0</v>
      </c>
      <c r="Z8" s="26">
        <f>IF('Simulasi Premi 1 (Personal)'!$E$38="Menurun",'Spek Produk'!Z66,'Spek Produk'!Z124)</f>
        <v>0</v>
      </c>
      <c r="AA8" s="26">
        <f>IF('Simulasi Premi 1 (Personal)'!$E$38="Menurun",'Spek Produk'!AA66,'Spek Produk'!AA124)</f>
        <v>0</v>
      </c>
      <c r="AB8" s="26">
        <f>IF('Simulasi Premi 1 (Personal)'!$E$38="Menurun",'Spek Produk'!AB66,'Spek Produk'!AB124)</f>
        <v>0</v>
      </c>
      <c r="AC8" s="26">
        <f>IF('Simulasi Premi 1 (Personal)'!$E$38="Menurun",'Spek Produk'!AC66,'Spek Produk'!AC124)</f>
        <v>0</v>
      </c>
      <c r="AD8" s="26">
        <f>IF('Simulasi Premi 1 (Personal)'!$E$38="Menurun",'Spek Produk'!AD66,'Spek Produk'!AD124)</f>
        <v>0</v>
      </c>
      <c r="AE8" s="26">
        <f>IF('Simulasi Premi 1 (Personal)'!$E$38="Menurun",'Spek Produk'!AE66,'Spek Produk'!AE124)</f>
        <v>0</v>
      </c>
      <c r="AF8" s="26">
        <f>IF('Simulasi Premi 1 (Personal)'!$E$38="Menurun",'Spek Produk'!AF66,'Spek Produk'!AF124)</f>
        <v>0</v>
      </c>
      <c r="AG8" s="26">
        <f>IF('Simulasi Premi 1 (Personal)'!$E$38="Menurun",'Spek Produk'!AG66,'Spek Produk'!AG124)</f>
        <v>0</v>
      </c>
      <c r="AH8" s="26">
        <f>IF('Simulasi Premi 1 (Personal)'!$E$38="Menurun",'Spek Produk'!AH66,'Spek Produk'!AH124)</f>
        <v>0</v>
      </c>
      <c r="AI8" s="26">
        <f>IF('Simulasi Premi 1 (Personal)'!$E$38="Menurun",'Spek Produk'!AI66,'Spek Produk'!AI124)</f>
        <v>0</v>
      </c>
      <c r="AJ8" s="26">
        <f>IF('Simulasi Premi 1 (Personal)'!$E$38="Menurun",'Spek Produk'!AJ66,'Spek Produk'!AJ124)</f>
        <v>0</v>
      </c>
      <c r="AK8" s="26">
        <f>IF('Simulasi Premi 1 (Personal)'!$E$38="Menurun",'Spek Produk'!AK66,'Spek Produk'!AK124)</f>
        <v>0</v>
      </c>
      <c r="AL8" s="26">
        <f>IF('Simulasi Premi 1 (Personal)'!$E$38="Menurun",'Spek Produk'!AL66,'Spek Produk'!AL124)</f>
        <v>0</v>
      </c>
      <c r="AM8" s="26">
        <f>IF('Simulasi Premi 1 (Personal)'!$E$38="Menurun",'Spek Produk'!AM66,'Spek Produk'!AM124)</f>
        <v>0</v>
      </c>
      <c r="AN8" s="26">
        <f>IF('Simulasi Premi 1 (Personal)'!$E$38="Menurun",'Spek Produk'!AN66,'Spek Produk'!AN124)</f>
        <v>0</v>
      </c>
      <c r="AO8" s="26">
        <f>IF('Simulasi Premi 1 (Personal)'!$E$38="Menurun",'Spek Produk'!AO66,'Spek Produk'!AO124)</f>
        <v>0</v>
      </c>
      <c r="AP8" s="26">
        <f>IF('Simulasi Premi 1 (Personal)'!$E$38="Menurun",'Spek Produk'!AP66,'Spek Produk'!AP124)</f>
        <v>0</v>
      </c>
      <c r="AR8" s="28">
        <f t="shared" si="1"/>
        <v>5</v>
      </c>
      <c r="AS8" s="27">
        <v>0.6</v>
      </c>
    </row>
    <row r="9" spans="2:45" x14ac:dyDescent="0.25">
      <c r="B9" s="7"/>
      <c r="C9" s="9" t="s">
        <v>87</v>
      </c>
      <c r="D9" s="9"/>
      <c r="E9" s="11" t="s">
        <v>23</v>
      </c>
      <c r="F9" s="114" t="str">
        <f>IF('Simulasi Premi 1 (Personal)'!$E$38="Menurun",'Spek Produk'!F21,'Spek Produk'!F33)</f>
        <v>Syariah</v>
      </c>
      <c r="G9" s="115"/>
      <c r="H9" s="115"/>
      <c r="I9" s="116"/>
      <c r="J9" s="10"/>
      <c r="L9" s="24" t="str">
        <f t="shared" si="0"/>
        <v/>
      </c>
      <c r="M9" s="26">
        <f>IF('Simulasi Premi 1 (Personal)'!$E$38="Menurun",'Spek Produk'!M67,'Spek Produk'!M125)</f>
        <v>0</v>
      </c>
      <c r="N9" s="26">
        <f>IF('Simulasi Premi 1 (Personal)'!$E$38="Menurun",'Spek Produk'!N67,'Spek Produk'!N125)</f>
        <v>0</v>
      </c>
      <c r="O9" s="26">
        <f>IF('Simulasi Premi 1 (Personal)'!$E$38="Menurun",'Spek Produk'!O67,'Spek Produk'!O125)</f>
        <v>0</v>
      </c>
      <c r="P9" s="26">
        <f>IF('Simulasi Premi 1 (Personal)'!$E$38="Menurun",'Spek Produk'!P67,'Spek Produk'!P125)</f>
        <v>0</v>
      </c>
      <c r="Q9" s="26">
        <f>IF('Simulasi Premi 1 (Personal)'!$E$38="Menurun",'Spek Produk'!Q67,'Spek Produk'!Q125)</f>
        <v>0</v>
      </c>
      <c r="R9" s="26">
        <f>IF('Simulasi Premi 1 (Personal)'!$E$38="Menurun",'Spek Produk'!R67,'Spek Produk'!R125)</f>
        <v>0</v>
      </c>
      <c r="S9" s="26">
        <f>IF('Simulasi Premi 1 (Personal)'!$E$38="Menurun",'Spek Produk'!S67,'Spek Produk'!S125)</f>
        <v>0</v>
      </c>
      <c r="T9" s="26">
        <f>IF('Simulasi Premi 1 (Personal)'!$E$38="Menurun",'Spek Produk'!T67,'Spek Produk'!T125)</f>
        <v>0</v>
      </c>
      <c r="U9" s="26">
        <f>IF('Simulasi Premi 1 (Personal)'!$E$38="Menurun",'Spek Produk'!U67,'Spek Produk'!U125)</f>
        <v>0</v>
      </c>
      <c r="V9" s="26">
        <f>IF('Simulasi Premi 1 (Personal)'!$E$38="Menurun",'Spek Produk'!V67,'Spek Produk'!V125)</f>
        <v>0</v>
      </c>
      <c r="W9" s="26">
        <f>IF('Simulasi Premi 1 (Personal)'!$E$38="Menurun",'Spek Produk'!W67,'Spek Produk'!W125)</f>
        <v>0</v>
      </c>
      <c r="X9" s="26">
        <f>IF('Simulasi Premi 1 (Personal)'!$E$38="Menurun",'Spek Produk'!X67,'Spek Produk'!X125)</f>
        <v>0</v>
      </c>
      <c r="Y9" s="26">
        <f>IF('Simulasi Premi 1 (Personal)'!$E$38="Menurun",'Spek Produk'!Y67,'Spek Produk'!Y125)</f>
        <v>0</v>
      </c>
      <c r="Z9" s="26">
        <f>IF('Simulasi Premi 1 (Personal)'!$E$38="Menurun",'Spek Produk'!Z67,'Spek Produk'!Z125)</f>
        <v>0</v>
      </c>
      <c r="AA9" s="26">
        <f>IF('Simulasi Premi 1 (Personal)'!$E$38="Menurun",'Spek Produk'!AA67,'Spek Produk'!AA125)</f>
        <v>0</v>
      </c>
      <c r="AB9" s="26">
        <f>IF('Simulasi Premi 1 (Personal)'!$E$38="Menurun",'Spek Produk'!AB67,'Spek Produk'!AB125)</f>
        <v>0</v>
      </c>
      <c r="AC9" s="26">
        <f>IF('Simulasi Premi 1 (Personal)'!$E$38="Menurun",'Spek Produk'!AC67,'Spek Produk'!AC125)</f>
        <v>0</v>
      </c>
      <c r="AD9" s="26">
        <f>IF('Simulasi Premi 1 (Personal)'!$E$38="Menurun",'Spek Produk'!AD67,'Spek Produk'!AD125)</f>
        <v>0</v>
      </c>
      <c r="AE9" s="26">
        <f>IF('Simulasi Premi 1 (Personal)'!$E$38="Menurun",'Spek Produk'!AE67,'Spek Produk'!AE125)</f>
        <v>0</v>
      </c>
      <c r="AF9" s="26">
        <f>IF('Simulasi Premi 1 (Personal)'!$E$38="Menurun",'Spek Produk'!AF67,'Spek Produk'!AF125)</f>
        <v>0</v>
      </c>
      <c r="AG9" s="26">
        <f>IF('Simulasi Premi 1 (Personal)'!$E$38="Menurun",'Spek Produk'!AG67,'Spek Produk'!AG125)</f>
        <v>0</v>
      </c>
      <c r="AH9" s="26">
        <f>IF('Simulasi Premi 1 (Personal)'!$E$38="Menurun",'Spek Produk'!AH67,'Spek Produk'!AH125)</f>
        <v>0</v>
      </c>
      <c r="AI9" s="26">
        <f>IF('Simulasi Premi 1 (Personal)'!$E$38="Menurun",'Spek Produk'!AI67,'Spek Produk'!AI125)</f>
        <v>0</v>
      </c>
      <c r="AJ9" s="26">
        <f>IF('Simulasi Premi 1 (Personal)'!$E$38="Menurun",'Spek Produk'!AJ67,'Spek Produk'!AJ125)</f>
        <v>0</v>
      </c>
      <c r="AK9" s="26">
        <f>IF('Simulasi Premi 1 (Personal)'!$E$38="Menurun",'Spek Produk'!AK67,'Spek Produk'!AK125)</f>
        <v>0</v>
      </c>
      <c r="AL9" s="26">
        <f>IF('Simulasi Premi 1 (Personal)'!$E$38="Menurun",'Spek Produk'!AL67,'Spek Produk'!AL125)</f>
        <v>0</v>
      </c>
      <c r="AM9" s="26">
        <f>IF('Simulasi Premi 1 (Personal)'!$E$38="Menurun",'Spek Produk'!AM67,'Spek Produk'!AM125)</f>
        <v>0</v>
      </c>
      <c r="AN9" s="26">
        <f>IF('Simulasi Premi 1 (Personal)'!$E$38="Menurun",'Spek Produk'!AN67,'Spek Produk'!AN125)</f>
        <v>0</v>
      </c>
      <c r="AO9" s="26">
        <f>IF('Simulasi Premi 1 (Personal)'!$E$38="Menurun",'Spek Produk'!AO67,'Spek Produk'!AO125)</f>
        <v>0</v>
      </c>
      <c r="AP9" s="26">
        <f>IF('Simulasi Premi 1 (Personal)'!$E$38="Menurun",'Spek Produk'!AP67,'Spek Produk'!AP125)</f>
        <v>0</v>
      </c>
      <c r="AR9" s="28">
        <f t="shared" si="1"/>
        <v>6</v>
      </c>
      <c r="AS9" s="27">
        <v>0.7</v>
      </c>
    </row>
    <row r="10" spans="2:45" x14ac:dyDescent="0.25">
      <c r="B10" s="7"/>
      <c r="C10" s="12" t="s">
        <v>36</v>
      </c>
      <c r="D10" s="12"/>
      <c r="E10" s="11" t="s">
        <v>23</v>
      </c>
      <c r="F10" s="13" t="s">
        <v>37</v>
      </c>
      <c r="G10" s="14">
        <f>IF('Simulasi Premi 1 (Personal)'!$E$38="Menurun",'Spek Produk'!G22,'Spek Produk'!G34)</f>
        <v>0</v>
      </c>
      <c r="H10" s="13" t="s">
        <v>38</v>
      </c>
      <c r="I10" s="14">
        <f>IF('Simulasi Premi 1 (Personal)'!$E$38="Menurun",'Spek Produk'!I22,'Spek Produk'!I34)</f>
        <v>20</v>
      </c>
      <c r="J10" s="10"/>
      <c r="L10" s="24" t="str">
        <f t="shared" si="0"/>
        <v/>
      </c>
      <c r="M10" s="26">
        <f>IF('Simulasi Premi 1 (Personal)'!$E$38="Menurun",'Spek Produk'!M68,'Spek Produk'!M126)</f>
        <v>0</v>
      </c>
      <c r="N10" s="26">
        <f>IF('Simulasi Premi 1 (Personal)'!$E$38="Menurun",'Spek Produk'!N68,'Spek Produk'!N126)</f>
        <v>0</v>
      </c>
      <c r="O10" s="26">
        <f>IF('Simulasi Premi 1 (Personal)'!$E$38="Menurun",'Spek Produk'!O68,'Spek Produk'!O126)</f>
        <v>0</v>
      </c>
      <c r="P10" s="26">
        <f>IF('Simulasi Premi 1 (Personal)'!$E$38="Menurun",'Spek Produk'!P68,'Spek Produk'!P126)</f>
        <v>0</v>
      </c>
      <c r="Q10" s="26">
        <f>IF('Simulasi Premi 1 (Personal)'!$E$38="Menurun",'Spek Produk'!Q68,'Spek Produk'!Q126)</f>
        <v>0</v>
      </c>
      <c r="R10" s="26">
        <f>IF('Simulasi Premi 1 (Personal)'!$E$38="Menurun",'Spek Produk'!R68,'Spek Produk'!R126)</f>
        <v>0</v>
      </c>
      <c r="S10" s="26">
        <f>IF('Simulasi Premi 1 (Personal)'!$E$38="Menurun",'Spek Produk'!S68,'Spek Produk'!S126)</f>
        <v>0</v>
      </c>
      <c r="T10" s="26">
        <f>IF('Simulasi Premi 1 (Personal)'!$E$38="Menurun",'Spek Produk'!T68,'Spek Produk'!T126)</f>
        <v>0</v>
      </c>
      <c r="U10" s="26">
        <f>IF('Simulasi Premi 1 (Personal)'!$E$38="Menurun",'Spek Produk'!U68,'Spek Produk'!U126)</f>
        <v>0</v>
      </c>
      <c r="V10" s="26">
        <f>IF('Simulasi Premi 1 (Personal)'!$E$38="Menurun",'Spek Produk'!V68,'Spek Produk'!V126)</f>
        <v>0</v>
      </c>
      <c r="W10" s="26">
        <f>IF('Simulasi Premi 1 (Personal)'!$E$38="Menurun",'Spek Produk'!W68,'Spek Produk'!W126)</f>
        <v>0</v>
      </c>
      <c r="X10" s="26">
        <f>IF('Simulasi Premi 1 (Personal)'!$E$38="Menurun",'Spek Produk'!X68,'Spek Produk'!X126)</f>
        <v>0</v>
      </c>
      <c r="Y10" s="26">
        <f>IF('Simulasi Premi 1 (Personal)'!$E$38="Menurun",'Spek Produk'!Y68,'Spek Produk'!Y126)</f>
        <v>0</v>
      </c>
      <c r="Z10" s="26">
        <f>IF('Simulasi Premi 1 (Personal)'!$E$38="Menurun",'Spek Produk'!Z68,'Spek Produk'!Z126)</f>
        <v>0</v>
      </c>
      <c r="AA10" s="26">
        <f>IF('Simulasi Premi 1 (Personal)'!$E$38="Menurun",'Spek Produk'!AA68,'Spek Produk'!AA126)</f>
        <v>0</v>
      </c>
      <c r="AB10" s="26">
        <f>IF('Simulasi Premi 1 (Personal)'!$E$38="Menurun",'Spek Produk'!AB68,'Spek Produk'!AB126)</f>
        <v>0</v>
      </c>
      <c r="AC10" s="26">
        <f>IF('Simulasi Premi 1 (Personal)'!$E$38="Menurun",'Spek Produk'!AC68,'Spek Produk'!AC126)</f>
        <v>0</v>
      </c>
      <c r="AD10" s="26">
        <f>IF('Simulasi Premi 1 (Personal)'!$E$38="Menurun",'Spek Produk'!AD68,'Spek Produk'!AD126)</f>
        <v>0</v>
      </c>
      <c r="AE10" s="26">
        <f>IF('Simulasi Premi 1 (Personal)'!$E$38="Menurun",'Spek Produk'!AE68,'Spek Produk'!AE126)</f>
        <v>0</v>
      </c>
      <c r="AF10" s="26">
        <f>IF('Simulasi Premi 1 (Personal)'!$E$38="Menurun",'Spek Produk'!AF68,'Spek Produk'!AF126)</f>
        <v>0</v>
      </c>
      <c r="AG10" s="26">
        <f>IF('Simulasi Premi 1 (Personal)'!$E$38="Menurun",'Spek Produk'!AG68,'Spek Produk'!AG126)</f>
        <v>0</v>
      </c>
      <c r="AH10" s="26">
        <f>IF('Simulasi Premi 1 (Personal)'!$E$38="Menurun",'Spek Produk'!AH68,'Spek Produk'!AH126)</f>
        <v>0</v>
      </c>
      <c r="AI10" s="26">
        <f>IF('Simulasi Premi 1 (Personal)'!$E$38="Menurun",'Spek Produk'!AI68,'Spek Produk'!AI126)</f>
        <v>0</v>
      </c>
      <c r="AJ10" s="26">
        <f>IF('Simulasi Premi 1 (Personal)'!$E$38="Menurun",'Spek Produk'!AJ68,'Spek Produk'!AJ126)</f>
        <v>0</v>
      </c>
      <c r="AK10" s="26">
        <f>IF('Simulasi Premi 1 (Personal)'!$E$38="Menurun",'Spek Produk'!AK68,'Spek Produk'!AK126)</f>
        <v>0</v>
      </c>
      <c r="AL10" s="26">
        <f>IF('Simulasi Premi 1 (Personal)'!$E$38="Menurun",'Spek Produk'!AL68,'Spek Produk'!AL126)</f>
        <v>0</v>
      </c>
      <c r="AM10" s="26">
        <f>IF('Simulasi Premi 1 (Personal)'!$E$38="Menurun",'Spek Produk'!AM68,'Spek Produk'!AM126)</f>
        <v>0</v>
      </c>
      <c r="AN10" s="26">
        <f>IF('Simulasi Premi 1 (Personal)'!$E$38="Menurun",'Spek Produk'!AN68,'Spek Produk'!AN126)</f>
        <v>0</v>
      </c>
      <c r="AO10" s="26">
        <f>IF('Simulasi Premi 1 (Personal)'!$E$38="Menurun",'Spek Produk'!AO68,'Spek Produk'!AO126)</f>
        <v>0</v>
      </c>
      <c r="AP10" s="26">
        <f>IF('Simulasi Premi 1 (Personal)'!$E$38="Menurun",'Spek Produk'!AP68,'Spek Produk'!AP126)</f>
        <v>0</v>
      </c>
      <c r="AR10" s="28">
        <f t="shared" si="1"/>
        <v>7</v>
      </c>
      <c r="AS10" s="27">
        <v>0.75</v>
      </c>
    </row>
    <row r="11" spans="2:45" x14ac:dyDescent="0.25">
      <c r="B11" s="7"/>
      <c r="C11" s="12" t="s">
        <v>39</v>
      </c>
      <c r="D11" s="12"/>
      <c r="E11" s="11" t="s">
        <v>23</v>
      </c>
      <c r="F11" s="13" t="s">
        <v>37</v>
      </c>
      <c r="G11" s="14">
        <f>IF('Simulasi Premi 1 (Personal)'!$E$38="Menurun",'Spek Produk'!G23,'Spek Produk'!G35)</f>
        <v>45</v>
      </c>
      <c r="H11" s="13" t="s">
        <v>38</v>
      </c>
      <c r="I11" s="14">
        <f>IF('Simulasi Premi 1 (Personal)'!$E$38="Menurun",'Spek Produk'!I23,'Spek Produk'!I35)</f>
        <v>65</v>
      </c>
      <c r="J11" s="10"/>
      <c r="L11" s="24" t="str">
        <f t="shared" si="0"/>
        <v/>
      </c>
      <c r="M11" s="26">
        <f>IF('Simulasi Premi 1 (Personal)'!$E$38="Menurun",'Spek Produk'!M69,'Spek Produk'!M127)</f>
        <v>0</v>
      </c>
      <c r="N11" s="26">
        <f>IF('Simulasi Premi 1 (Personal)'!$E$38="Menurun",'Spek Produk'!N69,'Spek Produk'!N127)</f>
        <v>0</v>
      </c>
      <c r="O11" s="26">
        <f>IF('Simulasi Premi 1 (Personal)'!$E$38="Menurun",'Spek Produk'!O69,'Spek Produk'!O127)</f>
        <v>0</v>
      </c>
      <c r="P11" s="26">
        <f>IF('Simulasi Premi 1 (Personal)'!$E$38="Menurun",'Spek Produk'!P69,'Spek Produk'!P127)</f>
        <v>0</v>
      </c>
      <c r="Q11" s="26">
        <f>IF('Simulasi Premi 1 (Personal)'!$E$38="Menurun",'Spek Produk'!Q69,'Spek Produk'!Q127)</f>
        <v>0</v>
      </c>
      <c r="R11" s="26">
        <f>IF('Simulasi Premi 1 (Personal)'!$E$38="Menurun",'Spek Produk'!R69,'Spek Produk'!R127)</f>
        <v>0</v>
      </c>
      <c r="S11" s="26">
        <f>IF('Simulasi Premi 1 (Personal)'!$E$38="Menurun",'Spek Produk'!S69,'Spek Produk'!S127)</f>
        <v>0</v>
      </c>
      <c r="T11" s="26">
        <f>IF('Simulasi Premi 1 (Personal)'!$E$38="Menurun",'Spek Produk'!T69,'Spek Produk'!T127)</f>
        <v>0</v>
      </c>
      <c r="U11" s="26">
        <f>IF('Simulasi Premi 1 (Personal)'!$E$38="Menurun",'Spek Produk'!U69,'Spek Produk'!U127)</f>
        <v>0</v>
      </c>
      <c r="V11" s="26">
        <f>IF('Simulasi Premi 1 (Personal)'!$E$38="Menurun",'Spek Produk'!V69,'Spek Produk'!V127)</f>
        <v>0</v>
      </c>
      <c r="W11" s="26">
        <f>IF('Simulasi Premi 1 (Personal)'!$E$38="Menurun",'Spek Produk'!W69,'Spek Produk'!W127)</f>
        <v>0</v>
      </c>
      <c r="X11" s="26">
        <f>IF('Simulasi Premi 1 (Personal)'!$E$38="Menurun",'Spek Produk'!X69,'Spek Produk'!X127)</f>
        <v>0</v>
      </c>
      <c r="Y11" s="26">
        <f>IF('Simulasi Premi 1 (Personal)'!$E$38="Menurun",'Spek Produk'!Y69,'Spek Produk'!Y127)</f>
        <v>0</v>
      </c>
      <c r="Z11" s="26">
        <f>IF('Simulasi Premi 1 (Personal)'!$E$38="Menurun",'Spek Produk'!Z69,'Spek Produk'!Z127)</f>
        <v>0</v>
      </c>
      <c r="AA11" s="26">
        <f>IF('Simulasi Premi 1 (Personal)'!$E$38="Menurun",'Spek Produk'!AA69,'Spek Produk'!AA127)</f>
        <v>0</v>
      </c>
      <c r="AB11" s="26">
        <f>IF('Simulasi Premi 1 (Personal)'!$E$38="Menurun",'Spek Produk'!AB69,'Spek Produk'!AB127)</f>
        <v>0</v>
      </c>
      <c r="AC11" s="26">
        <f>IF('Simulasi Premi 1 (Personal)'!$E$38="Menurun",'Spek Produk'!AC69,'Spek Produk'!AC127)</f>
        <v>0</v>
      </c>
      <c r="AD11" s="26">
        <f>IF('Simulasi Premi 1 (Personal)'!$E$38="Menurun",'Spek Produk'!AD69,'Spek Produk'!AD127)</f>
        <v>0</v>
      </c>
      <c r="AE11" s="26">
        <f>IF('Simulasi Premi 1 (Personal)'!$E$38="Menurun",'Spek Produk'!AE69,'Spek Produk'!AE127)</f>
        <v>0</v>
      </c>
      <c r="AF11" s="26">
        <f>IF('Simulasi Premi 1 (Personal)'!$E$38="Menurun",'Spek Produk'!AF69,'Spek Produk'!AF127)</f>
        <v>0</v>
      </c>
      <c r="AG11" s="26">
        <f>IF('Simulasi Premi 1 (Personal)'!$E$38="Menurun",'Spek Produk'!AG69,'Spek Produk'!AG127)</f>
        <v>0</v>
      </c>
      <c r="AH11" s="26">
        <f>IF('Simulasi Premi 1 (Personal)'!$E$38="Menurun",'Spek Produk'!AH69,'Spek Produk'!AH127)</f>
        <v>0</v>
      </c>
      <c r="AI11" s="26">
        <f>IF('Simulasi Premi 1 (Personal)'!$E$38="Menurun",'Spek Produk'!AI69,'Spek Produk'!AI127)</f>
        <v>0</v>
      </c>
      <c r="AJ11" s="26">
        <f>IF('Simulasi Premi 1 (Personal)'!$E$38="Menurun",'Spek Produk'!AJ69,'Spek Produk'!AJ127)</f>
        <v>0</v>
      </c>
      <c r="AK11" s="26">
        <f>IF('Simulasi Premi 1 (Personal)'!$E$38="Menurun",'Spek Produk'!AK69,'Spek Produk'!AK127)</f>
        <v>0</v>
      </c>
      <c r="AL11" s="26">
        <f>IF('Simulasi Premi 1 (Personal)'!$E$38="Menurun",'Spek Produk'!AL69,'Spek Produk'!AL127)</f>
        <v>0</v>
      </c>
      <c r="AM11" s="26">
        <f>IF('Simulasi Premi 1 (Personal)'!$E$38="Menurun",'Spek Produk'!AM69,'Spek Produk'!AM127)</f>
        <v>0</v>
      </c>
      <c r="AN11" s="26">
        <f>IF('Simulasi Premi 1 (Personal)'!$E$38="Menurun",'Spek Produk'!AN69,'Spek Produk'!AN127)</f>
        <v>0</v>
      </c>
      <c r="AO11" s="26">
        <f>IF('Simulasi Premi 1 (Personal)'!$E$38="Menurun",'Spek Produk'!AO69,'Spek Produk'!AO127)</f>
        <v>0</v>
      </c>
      <c r="AP11" s="26">
        <f>IF('Simulasi Premi 1 (Personal)'!$E$38="Menurun",'Spek Produk'!AP69,'Spek Produk'!AP127)</f>
        <v>0</v>
      </c>
      <c r="AR11" s="28">
        <f t="shared" si="1"/>
        <v>8</v>
      </c>
      <c r="AS11" s="27">
        <v>0.875</v>
      </c>
    </row>
    <row r="12" spans="2:45" x14ac:dyDescent="0.25">
      <c r="B12" s="7"/>
      <c r="C12" s="12" t="s">
        <v>40</v>
      </c>
      <c r="D12" s="12"/>
      <c r="E12" s="11" t="s">
        <v>23</v>
      </c>
      <c r="F12" s="122" t="s">
        <v>41</v>
      </c>
      <c r="G12" s="123"/>
      <c r="H12" s="14">
        <f>IF('Simulasi Premi 1 (Personal)'!$E$38="Menurun",'Spek Produk'!H24,'Spek Produk'!H36)</f>
        <v>75</v>
      </c>
      <c r="I12" s="16"/>
      <c r="J12" s="17"/>
      <c r="L12" s="24" t="str">
        <f t="shared" si="0"/>
        <v/>
      </c>
      <c r="M12" s="26">
        <f>IF('Simulasi Premi 1 (Personal)'!$E$38="Menurun",'Spek Produk'!M70,'Spek Produk'!M128)</f>
        <v>0</v>
      </c>
      <c r="N12" s="26">
        <f>IF('Simulasi Premi 1 (Personal)'!$E$38="Menurun",'Spek Produk'!N70,'Spek Produk'!N128)</f>
        <v>0</v>
      </c>
      <c r="O12" s="26">
        <f>IF('Simulasi Premi 1 (Personal)'!$E$38="Menurun",'Spek Produk'!O70,'Spek Produk'!O128)</f>
        <v>0</v>
      </c>
      <c r="P12" s="26">
        <f>IF('Simulasi Premi 1 (Personal)'!$E$38="Menurun",'Spek Produk'!P70,'Spek Produk'!P128)</f>
        <v>0</v>
      </c>
      <c r="Q12" s="26">
        <f>IF('Simulasi Premi 1 (Personal)'!$E$38="Menurun",'Spek Produk'!Q70,'Spek Produk'!Q128)</f>
        <v>0</v>
      </c>
      <c r="R12" s="26">
        <f>IF('Simulasi Premi 1 (Personal)'!$E$38="Menurun",'Spek Produk'!R70,'Spek Produk'!R128)</f>
        <v>0</v>
      </c>
      <c r="S12" s="26">
        <f>IF('Simulasi Premi 1 (Personal)'!$E$38="Menurun",'Spek Produk'!S70,'Spek Produk'!S128)</f>
        <v>0</v>
      </c>
      <c r="T12" s="26">
        <f>IF('Simulasi Premi 1 (Personal)'!$E$38="Menurun",'Spek Produk'!T70,'Spek Produk'!T128)</f>
        <v>0</v>
      </c>
      <c r="U12" s="26">
        <f>IF('Simulasi Premi 1 (Personal)'!$E$38="Menurun",'Spek Produk'!U70,'Spek Produk'!U128)</f>
        <v>0</v>
      </c>
      <c r="V12" s="26">
        <f>IF('Simulasi Premi 1 (Personal)'!$E$38="Menurun",'Spek Produk'!V70,'Spek Produk'!V128)</f>
        <v>0</v>
      </c>
      <c r="W12" s="26">
        <f>IF('Simulasi Premi 1 (Personal)'!$E$38="Menurun",'Spek Produk'!W70,'Spek Produk'!W128)</f>
        <v>0</v>
      </c>
      <c r="X12" s="26">
        <f>IF('Simulasi Premi 1 (Personal)'!$E$38="Menurun",'Spek Produk'!X70,'Spek Produk'!X128)</f>
        <v>0</v>
      </c>
      <c r="Y12" s="26">
        <f>IF('Simulasi Premi 1 (Personal)'!$E$38="Menurun",'Spek Produk'!Y70,'Spek Produk'!Y128)</f>
        <v>0</v>
      </c>
      <c r="Z12" s="26">
        <f>IF('Simulasi Premi 1 (Personal)'!$E$38="Menurun",'Spek Produk'!Z70,'Spek Produk'!Z128)</f>
        <v>0</v>
      </c>
      <c r="AA12" s="26">
        <f>IF('Simulasi Premi 1 (Personal)'!$E$38="Menurun",'Spek Produk'!AA70,'Spek Produk'!AA128)</f>
        <v>0</v>
      </c>
      <c r="AB12" s="26">
        <f>IF('Simulasi Premi 1 (Personal)'!$E$38="Menurun",'Spek Produk'!AB70,'Spek Produk'!AB128)</f>
        <v>0</v>
      </c>
      <c r="AC12" s="26">
        <f>IF('Simulasi Premi 1 (Personal)'!$E$38="Menurun",'Spek Produk'!AC70,'Spek Produk'!AC128)</f>
        <v>0</v>
      </c>
      <c r="AD12" s="26">
        <f>IF('Simulasi Premi 1 (Personal)'!$E$38="Menurun",'Spek Produk'!AD70,'Spek Produk'!AD128)</f>
        <v>0</v>
      </c>
      <c r="AE12" s="26">
        <f>IF('Simulasi Premi 1 (Personal)'!$E$38="Menurun",'Spek Produk'!AE70,'Spek Produk'!AE128)</f>
        <v>0</v>
      </c>
      <c r="AF12" s="26">
        <f>IF('Simulasi Premi 1 (Personal)'!$E$38="Menurun",'Spek Produk'!AF70,'Spek Produk'!AF128)</f>
        <v>0</v>
      </c>
      <c r="AG12" s="26">
        <f>IF('Simulasi Premi 1 (Personal)'!$E$38="Menurun",'Spek Produk'!AG70,'Spek Produk'!AG128)</f>
        <v>0</v>
      </c>
      <c r="AH12" s="26">
        <f>IF('Simulasi Premi 1 (Personal)'!$E$38="Menurun",'Spek Produk'!AH70,'Spek Produk'!AH128)</f>
        <v>0</v>
      </c>
      <c r="AI12" s="26">
        <f>IF('Simulasi Premi 1 (Personal)'!$E$38="Menurun",'Spek Produk'!AI70,'Spek Produk'!AI128)</f>
        <v>0</v>
      </c>
      <c r="AJ12" s="26">
        <f>IF('Simulasi Premi 1 (Personal)'!$E$38="Menurun",'Spek Produk'!AJ70,'Spek Produk'!AJ128)</f>
        <v>0</v>
      </c>
      <c r="AK12" s="26">
        <f>IF('Simulasi Premi 1 (Personal)'!$E$38="Menurun",'Spek Produk'!AK70,'Spek Produk'!AK128)</f>
        <v>0</v>
      </c>
      <c r="AL12" s="26">
        <f>IF('Simulasi Premi 1 (Personal)'!$E$38="Menurun",'Spek Produk'!AL70,'Spek Produk'!AL128)</f>
        <v>0</v>
      </c>
      <c r="AM12" s="26">
        <f>IF('Simulasi Premi 1 (Personal)'!$E$38="Menurun",'Spek Produk'!AM70,'Spek Produk'!AM128)</f>
        <v>0</v>
      </c>
      <c r="AN12" s="26">
        <f>IF('Simulasi Premi 1 (Personal)'!$E$38="Menurun",'Spek Produk'!AN70,'Spek Produk'!AN128)</f>
        <v>0</v>
      </c>
      <c r="AO12" s="26">
        <f>IF('Simulasi Premi 1 (Personal)'!$E$38="Menurun",'Spek Produk'!AO70,'Spek Produk'!AO128)</f>
        <v>0</v>
      </c>
      <c r="AP12" s="26">
        <f>IF('Simulasi Premi 1 (Personal)'!$E$38="Menurun",'Spek Produk'!AP70,'Spek Produk'!AP128)</f>
        <v>0</v>
      </c>
      <c r="AR12" s="28">
        <f t="shared" si="1"/>
        <v>9</v>
      </c>
      <c r="AS12" s="27">
        <v>1</v>
      </c>
    </row>
    <row r="13" spans="2:45" x14ac:dyDescent="0.25">
      <c r="B13" s="18"/>
      <c r="C13" s="19"/>
      <c r="D13" s="19"/>
      <c r="E13" s="20"/>
      <c r="F13" s="20"/>
      <c r="G13" s="20"/>
      <c r="H13" s="21"/>
      <c r="I13" s="21"/>
      <c r="J13" s="22"/>
      <c r="L13" s="24" t="str">
        <f t="shared" si="0"/>
        <v/>
      </c>
      <c r="M13" s="26">
        <f>IF('Simulasi Premi 1 (Personal)'!$E$38="Menurun",'Spek Produk'!M71,'Spek Produk'!M129)</f>
        <v>0</v>
      </c>
      <c r="N13" s="26">
        <f>IF('Simulasi Premi 1 (Personal)'!$E$38="Menurun",'Spek Produk'!N71,'Spek Produk'!N129)</f>
        <v>0</v>
      </c>
      <c r="O13" s="26">
        <f>IF('Simulasi Premi 1 (Personal)'!$E$38="Menurun",'Spek Produk'!O71,'Spek Produk'!O129)</f>
        <v>0</v>
      </c>
      <c r="P13" s="26">
        <f>IF('Simulasi Premi 1 (Personal)'!$E$38="Menurun",'Spek Produk'!P71,'Spek Produk'!P129)</f>
        <v>0</v>
      </c>
      <c r="Q13" s="26">
        <f>IF('Simulasi Premi 1 (Personal)'!$E$38="Menurun",'Spek Produk'!Q71,'Spek Produk'!Q129)</f>
        <v>0</v>
      </c>
      <c r="R13" s="26">
        <f>IF('Simulasi Premi 1 (Personal)'!$E$38="Menurun",'Spek Produk'!R71,'Spek Produk'!R129)</f>
        <v>0</v>
      </c>
      <c r="S13" s="26">
        <f>IF('Simulasi Premi 1 (Personal)'!$E$38="Menurun",'Spek Produk'!S71,'Spek Produk'!S129)</f>
        <v>0</v>
      </c>
      <c r="T13" s="26">
        <f>IF('Simulasi Premi 1 (Personal)'!$E$38="Menurun",'Spek Produk'!T71,'Spek Produk'!T129)</f>
        <v>0</v>
      </c>
      <c r="U13" s="26">
        <f>IF('Simulasi Premi 1 (Personal)'!$E$38="Menurun",'Spek Produk'!U71,'Spek Produk'!U129)</f>
        <v>0</v>
      </c>
      <c r="V13" s="26">
        <f>IF('Simulasi Premi 1 (Personal)'!$E$38="Menurun",'Spek Produk'!V71,'Spek Produk'!V129)</f>
        <v>0</v>
      </c>
      <c r="W13" s="26">
        <f>IF('Simulasi Premi 1 (Personal)'!$E$38="Menurun",'Spek Produk'!W71,'Spek Produk'!W129)</f>
        <v>0</v>
      </c>
      <c r="X13" s="26">
        <f>IF('Simulasi Premi 1 (Personal)'!$E$38="Menurun",'Spek Produk'!X71,'Spek Produk'!X129)</f>
        <v>0</v>
      </c>
      <c r="Y13" s="26">
        <f>IF('Simulasi Premi 1 (Personal)'!$E$38="Menurun",'Spek Produk'!Y71,'Spek Produk'!Y129)</f>
        <v>0</v>
      </c>
      <c r="Z13" s="26">
        <f>IF('Simulasi Premi 1 (Personal)'!$E$38="Menurun",'Spek Produk'!Z71,'Spek Produk'!Z129)</f>
        <v>0</v>
      </c>
      <c r="AA13" s="26">
        <f>IF('Simulasi Premi 1 (Personal)'!$E$38="Menurun",'Spek Produk'!AA71,'Spek Produk'!AA129)</f>
        <v>0</v>
      </c>
      <c r="AB13" s="26">
        <f>IF('Simulasi Premi 1 (Personal)'!$E$38="Menurun",'Spek Produk'!AB71,'Spek Produk'!AB129)</f>
        <v>0</v>
      </c>
      <c r="AC13" s="26">
        <f>IF('Simulasi Premi 1 (Personal)'!$E$38="Menurun",'Spek Produk'!AC71,'Spek Produk'!AC129)</f>
        <v>0</v>
      </c>
      <c r="AD13" s="26">
        <f>IF('Simulasi Premi 1 (Personal)'!$E$38="Menurun",'Spek Produk'!AD71,'Spek Produk'!AD129)</f>
        <v>0</v>
      </c>
      <c r="AE13" s="26">
        <f>IF('Simulasi Premi 1 (Personal)'!$E$38="Menurun",'Spek Produk'!AE71,'Spek Produk'!AE129)</f>
        <v>0</v>
      </c>
      <c r="AF13" s="26">
        <f>IF('Simulasi Premi 1 (Personal)'!$E$38="Menurun",'Spek Produk'!AF71,'Spek Produk'!AF129)</f>
        <v>0</v>
      </c>
      <c r="AG13" s="26">
        <f>IF('Simulasi Premi 1 (Personal)'!$E$38="Menurun",'Spek Produk'!AG71,'Spek Produk'!AG129)</f>
        <v>0</v>
      </c>
      <c r="AH13" s="26">
        <f>IF('Simulasi Premi 1 (Personal)'!$E$38="Menurun",'Spek Produk'!AH71,'Spek Produk'!AH129)</f>
        <v>0</v>
      </c>
      <c r="AI13" s="26">
        <f>IF('Simulasi Premi 1 (Personal)'!$E$38="Menurun",'Spek Produk'!AI71,'Spek Produk'!AI129)</f>
        <v>0</v>
      </c>
      <c r="AJ13" s="26">
        <f>IF('Simulasi Premi 1 (Personal)'!$E$38="Menurun",'Spek Produk'!AJ71,'Spek Produk'!AJ129)</f>
        <v>0</v>
      </c>
      <c r="AK13" s="26">
        <f>IF('Simulasi Premi 1 (Personal)'!$E$38="Menurun",'Spek Produk'!AK71,'Spek Produk'!AK129)</f>
        <v>0</v>
      </c>
      <c r="AL13" s="26">
        <f>IF('Simulasi Premi 1 (Personal)'!$E$38="Menurun",'Spek Produk'!AL71,'Spek Produk'!AL129)</f>
        <v>0</v>
      </c>
      <c r="AM13" s="26">
        <f>IF('Simulasi Premi 1 (Personal)'!$E$38="Menurun",'Spek Produk'!AM71,'Spek Produk'!AM129)</f>
        <v>0</v>
      </c>
      <c r="AN13" s="26">
        <f>IF('Simulasi Premi 1 (Personal)'!$E$38="Menurun",'Spek Produk'!AN71,'Spek Produk'!AN129)</f>
        <v>0</v>
      </c>
      <c r="AO13" s="26">
        <f>IF('Simulasi Premi 1 (Personal)'!$E$38="Menurun",'Spek Produk'!AO71,'Spek Produk'!AO129)</f>
        <v>0</v>
      </c>
      <c r="AP13" s="26">
        <f>IF('Simulasi Premi 1 (Personal)'!$E$38="Menurun",'Spek Produk'!AP71,'Spek Produk'!AP129)</f>
        <v>0</v>
      </c>
      <c r="AR13" s="28">
        <f t="shared" si="1"/>
        <v>10</v>
      </c>
      <c r="AS13" s="27">
        <v>1</v>
      </c>
    </row>
    <row r="14" spans="2:45" x14ac:dyDescent="0.25">
      <c r="L14" s="24" t="str">
        <f t="shared" si="0"/>
        <v/>
      </c>
      <c r="M14" s="26">
        <f>IF('Simulasi Premi 1 (Personal)'!$E$38="Menurun",'Spek Produk'!M72,'Spek Produk'!M130)</f>
        <v>0</v>
      </c>
      <c r="N14" s="26">
        <f>IF('Simulasi Premi 1 (Personal)'!$E$38="Menurun",'Spek Produk'!N72,'Spek Produk'!N130)</f>
        <v>0</v>
      </c>
      <c r="O14" s="26">
        <f>IF('Simulasi Premi 1 (Personal)'!$E$38="Menurun",'Spek Produk'!O72,'Spek Produk'!O130)</f>
        <v>0</v>
      </c>
      <c r="P14" s="26">
        <f>IF('Simulasi Premi 1 (Personal)'!$E$38="Menurun",'Spek Produk'!P72,'Spek Produk'!P130)</f>
        <v>0</v>
      </c>
      <c r="Q14" s="26">
        <f>IF('Simulasi Premi 1 (Personal)'!$E$38="Menurun",'Spek Produk'!Q72,'Spek Produk'!Q130)</f>
        <v>0</v>
      </c>
      <c r="R14" s="26">
        <f>IF('Simulasi Premi 1 (Personal)'!$E$38="Menurun",'Spek Produk'!R72,'Spek Produk'!R130)</f>
        <v>0</v>
      </c>
      <c r="S14" s="26">
        <f>IF('Simulasi Premi 1 (Personal)'!$E$38="Menurun",'Spek Produk'!S72,'Spek Produk'!S130)</f>
        <v>0</v>
      </c>
      <c r="T14" s="26">
        <f>IF('Simulasi Premi 1 (Personal)'!$E$38="Menurun",'Spek Produk'!T72,'Spek Produk'!T130)</f>
        <v>0</v>
      </c>
      <c r="U14" s="26">
        <f>IF('Simulasi Premi 1 (Personal)'!$E$38="Menurun",'Spek Produk'!U72,'Spek Produk'!U130)</f>
        <v>0</v>
      </c>
      <c r="V14" s="26">
        <f>IF('Simulasi Premi 1 (Personal)'!$E$38="Menurun",'Spek Produk'!V72,'Spek Produk'!V130)</f>
        <v>0</v>
      </c>
      <c r="W14" s="26">
        <f>IF('Simulasi Premi 1 (Personal)'!$E$38="Menurun",'Spek Produk'!W72,'Spek Produk'!W130)</f>
        <v>0</v>
      </c>
      <c r="X14" s="26">
        <f>IF('Simulasi Premi 1 (Personal)'!$E$38="Menurun",'Spek Produk'!X72,'Spek Produk'!X130)</f>
        <v>0</v>
      </c>
      <c r="Y14" s="26">
        <f>IF('Simulasi Premi 1 (Personal)'!$E$38="Menurun",'Spek Produk'!Y72,'Spek Produk'!Y130)</f>
        <v>0</v>
      </c>
      <c r="Z14" s="26">
        <f>IF('Simulasi Premi 1 (Personal)'!$E$38="Menurun",'Spek Produk'!Z72,'Spek Produk'!Z130)</f>
        <v>0</v>
      </c>
      <c r="AA14" s="26">
        <f>IF('Simulasi Premi 1 (Personal)'!$E$38="Menurun",'Spek Produk'!AA72,'Spek Produk'!AA130)</f>
        <v>0</v>
      </c>
      <c r="AB14" s="26">
        <f>IF('Simulasi Premi 1 (Personal)'!$E$38="Menurun",'Spek Produk'!AB72,'Spek Produk'!AB130)</f>
        <v>0</v>
      </c>
      <c r="AC14" s="26">
        <f>IF('Simulasi Premi 1 (Personal)'!$E$38="Menurun",'Spek Produk'!AC72,'Spek Produk'!AC130)</f>
        <v>0</v>
      </c>
      <c r="AD14" s="26">
        <f>IF('Simulasi Premi 1 (Personal)'!$E$38="Menurun",'Spek Produk'!AD72,'Spek Produk'!AD130)</f>
        <v>0</v>
      </c>
      <c r="AE14" s="26">
        <f>IF('Simulasi Premi 1 (Personal)'!$E$38="Menurun",'Spek Produk'!AE72,'Spek Produk'!AE130)</f>
        <v>0</v>
      </c>
      <c r="AF14" s="26">
        <f>IF('Simulasi Premi 1 (Personal)'!$E$38="Menurun",'Spek Produk'!AF72,'Spek Produk'!AF130)</f>
        <v>0</v>
      </c>
      <c r="AG14" s="26">
        <f>IF('Simulasi Premi 1 (Personal)'!$E$38="Menurun",'Spek Produk'!AG72,'Spek Produk'!AG130)</f>
        <v>0</v>
      </c>
      <c r="AH14" s="26">
        <f>IF('Simulasi Premi 1 (Personal)'!$E$38="Menurun",'Spek Produk'!AH72,'Spek Produk'!AH130)</f>
        <v>0</v>
      </c>
      <c r="AI14" s="26">
        <f>IF('Simulasi Premi 1 (Personal)'!$E$38="Menurun",'Spek Produk'!AI72,'Spek Produk'!AI130)</f>
        <v>0</v>
      </c>
      <c r="AJ14" s="26">
        <f>IF('Simulasi Premi 1 (Personal)'!$E$38="Menurun",'Spek Produk'!AJ72,'Spek Produk'!AJ130)</f>
        <v>0</v>
      </c>
      <c r="AK14" s="26">
        <f>IF('Simulasi Premi 1 (Personal)'!$E$38="Menurun",'Spek Produk'!AK72,'Spek Produk'!AK130)</f>
        <v>0</v>
      </c>
      <c r="AL14" s="26">
        <f>IF('Simulasi Premi 1 (Personal)'!$E$38="Menurun",'Spek Produk'!AL72,'Spek Produk'!AL130)</f>
        <v>0</v>
      </c>
      <c r="AM14" s="26">
        <f>IF('Simulasi Premi 1 (Personal)'!$E$38="Menurun",'Spek Produk'!AM72,'Spek Produk'!AM130)</f>
        <v>0</v>
      </c>
      <c r="AN14" s="26">
        <f>IF('Simulasi Premi 1 (Personal)'!$E$38="Menurun",'Spek Produk'!AN72,'Spek Produk'!AN130)</f>
        <v>0</v>
      </c>
      <c r="AO14" s="26">
        <f>IF('Simulasi Premi 1 (Personal)'!$E$38="Menurun",'Spek Produk'!AO72,'Spek Produk'!AO130)</f>
        <v>0</v>
      </c>
      <c r="AP14" s="26">
        <f>IF('Simulasi Premi 1 (Personal)'!$E$38="Menurun",'Spek Produk'!AP72,'Spek Produk'!AP130)</f>
        <v>0</v>
      </c>
      <c r="AR14" s="28">
        <f t="shared" si="1"/>
        <v>11</v>
      </c>
      <c r="AS14" s="27">
        <v>1</v>
      </c>
    </row>
    <row r="15" spans="2:45" x14ac:dyDescent="0.25">
      <c r="B15" s="4"/>
      <c r="C15" s="5"/>
      <c r="D15" s="5"/>
      <c r="E15" s="5"/>
      <c r="F15" s="5"/>
      <c r="G15" s="5"/>
      <c r="H15" s="5"/>
      <c r="I15" s="5"/>
      <c r="J15" s="6"/>
      <c r="L15" s="24" t="str">
        <f t="shared" si="0"/>
        <v/>
      </c>
      <c r="M15" s="26">
        <f>IF('Simulasi Premi 1 (Personal)'!$E$38="Menurun",'Spek Produk'!M73,'Spek Produk'!M131)</f>
        <v>0</v>
      </c>
      <c r="N15" s="26">
        <f>IF('Simulasi Premi 1 (Personal)'!$E$38="Menurun",'Spek Produk'!N73,'Spek Produk'!N131)</f>
        <v>0</v>
      </c>
      <c r="O15" s="26">
        <f>IF('Simulasi Premi 1 (Personal)'!$E$38="Menurun",'Spek Produk'!O73,'Spek Produk'!O131)</f>
        <v>0</v>
      </c>
      <c r="P15" s="26">
        <f>IF('Simulasi Premi 1 (Personal)'!$E$38="Menurun",'Spek Produk'!P73,'Spek Produk'!P131)</f>
        <v>0</v>
      </c>
      <c r="Q15" s="26">
        <f>IF('Simulasi Premi 1 (Personal)'!$E$38="Menurun",'Spek Produk'!Q73,'Spek Produk'!Q131)</f>
        <v>0</v>
      </c>
      <c r="R15" s="26">
        <f>IF('Simulasi Premi 1 (Personal)'!$E$38="Menurun",'Spek Produk'!R73,'Spek Produk'!R131)</f>
        <v>0</v>
      </c>
      <c r="S15" s="26">
        <f>IF('Simulasi Premi 1 (Personal)'!$E$38="Menurun",'Spek Produk'!S73,'Spek Produk'!S131)</f>
        <v>0</v>
      </c>
      <c r="T15" s="26">
        <f>IF('Simulasi Premi 1 (Personal)'!$E$38="Menurun",'Spek Produk'!T73,'Spek Produk'!T131)</f>
        <v>0</v>
      </c>
      <c r="U15" s="26">
        <f>IF('Simulasi Premi 1 (Personal)'!$E$38="Menurun",'Spek Produk'!U73,'Spek Produk'!U131)</f>
        <v>0</v>
      </c>
      <c r="V15" s="26">
        <f>IF('Simulasi Premi 1 (Personal)'!$E$38="Menurun",'Spek Produk'!V73,'Spek Produk'!V131)</f>
        <v>0</v>
      </c>
      <c r="W15" s="26">
        <f>IF('Simulasi Premi 1 (Personal)'!$E$38="Menurun",'Spek Produk'!W73,'Spek Produk'!W131)</f>
        <v>0</v>
      </c>
      <c r="X15" s="26">
        <f>IF('Simulasi Premi 1 (Personal)'!$E$38="Menurun",'Spek Produk'!X73,'Spek Produk'!X131)</f>
        <v>0</v>
      </c>
      <c r="Y15" s="26">
        <f>IF('Simulasi Premi 1 (Personal)'!$E$38="Menurun",'Spek Produk'!Y73,'Spek Produk'!Y131)</f>
        <v>0</v>
      </c>
      <c r="Z15" s="26">
        <f>IF('Simulasi Premi 1 (Personal)'!$E$38="Menurun",'Spek Produk'!Z73,'Spek Produk'!Z131)</f>
        <v>0</v>
      </c>
      <c r="AA15" s="26">
        <f>IF('Simulasi Premi 1 (Personal)'!$E$38="Menurun",'Spek Produk'!AA73,'Spek Produk'!AA131)</f>
        <v>0</v>
      </c>
      <c r="AB15" s="26">
        <f>IF('Simulasi Premi 1 (Personal)'!$E$38="Menurun",'Spek Produk'!AB73,'Spek Produk'!AB131)</f>
        <v>0</v>
      </c>
      <c r="AC15" s="26">
        <f>IF('Simulasi Premi 1 (Personal)'!$E$38="Menurun",'Spek Produk'!AC73,'Spek Produk'!AC131)</f>
        <v>0</v>
      </c>
      <c r="AD15" s="26">
        <f>IF('Simulasi Premi 1 (Personal)'!$E$38="Menurun",'Spek Produk'!AD73,'Spek Produk'!AD131)</f>
        <v>0</v>
      </c>
      <c r="AE15" s="26">
        <f>IF('Simulasi Premi 1 (Personal)'!$E$38="Menurun",'Spek Produk'!AE73,'Spek Produk'!AE131)</f>
        <v>0</v>
      </c>
      <c r="AF15" s="26">
        <f>IF('Simulasi Premi 1 (Personal)'!$E$38="Menurun",'Spek Produk'!AF73,'Spek Produk'!AF131)</f>
        <v>0</v>
      </c>
      <c r="AG15" s="26">
        <f>IF('Simulasi Premi 1 (Personal)'!$E$38="Menurun",'Spek Produk'!AG73,'Spek Produk'!AG131)</f>
        <v>0</v>
      </c>
      <c r="AH15" s="26">
        <f>IF('Simulasi Premi 1 (Personal)'!$E$38="Menurun",'Spek Produk'!AH73,'Spek Produk'!AH131)</f>
        <v>0</v>
      </c>
      <c r="AI15" s="26">
        <f>IF('Simulasi Premi 1 (Personal)'!$E$38="Menurun",'Spek Produk'!AI73,'Spek Produk'!AI131)</f>
        <v>0</v>
      </c>
      <c r="AJ15" s="26">
        <f>IF('Simulasi Premi 1 (Personal)'!$E$38="Menurun",'Spek Produk'!AJ73,'Spek Produk'!AJ131)</f>
        <v>0</v>
      </c>
      <c r="AK15" s="26">
        <f>IF('Simulasi Premi 1 (Personal)'!$E$38="Menurun",'Spek Produk'!AK73,'Spek Produk'!AK131)</f>
        <v>0</v>
      </c>
      <c r="AL15" s="26">
        <f>IF('Simulasi Premi 1 (Personal)'!$E$38="Menurun",'Spek Produk'!AL73,'Spek Produk'!AL131)</f>
        <v>0</v>
      </c>
      <c r="AM15" s="26">
        <f>IF('Simulasi Premi 1 (Personal)'!$E$38="Menurun",'Spek Produk'!AM73,'Spek Produk'!AM131)</f>
        <v>0</v>
      </c>
      <c r="AN15" s="26">
        <f>IF('Simulasi Premi 1 (Personal)'!$E$38="Menurun",'Spek Produk'!AN73,'Spek Produk'!AN131)</f>
        <v>0</v>
      </c>
      <c r="AO15" s="26">
        <f>IF('Simulasi Premi 1 (Personal)'!$E$38="Menurun",'Spek Produk'!AO73,'Spek Produk'!AO131)</f>
        <v>0</v>
      </c>
      <c r="AP15" s="26">
        <f>IF('Simulasi Premi 1 (Personal)'!$E$38="Menurun",'Spek Produk'!AP73,'Spek Produk'!AP131)</f>
        <v>0</v>
      </c>
      <c r="AR15" s="28">
        <f t="shared" si="1"/>
        <v>12</v>
      </c>
      <c r="AS15" s="27">
        <v>1</v>
      </c>
    </row>
    <row r="16" spans="2:45" x14ac:dyDescent="0.25">
      <c r="B16" s="7"/>
      <c r="C16" s="8" t="s">
        <v>89</v>
      </c>
      <c r="D16" s="9"/>
      <c r="E16" s="9"/>
      <c r="F16" s="9"/>
      <c r="G16" s="9"/>
      <c r="H16" s="9"/>
      <c r="I16" s="9"/>
      <c r="J16" s="10"/>
      <c r="L16" s="24" t="str">
        <f t="shared" si="0"/>
        <v/>
      </c>
      <c r="M16" s="26">
        <f>IF('Simulasi Premi 1 (Personal)'!$E$38="Menurun",'Spek Produk'!M74,'Spek Produk'!M132)</f>
        <v>0</v>
      </c>
      <c r="N16" s="26">
        <f>IF('Simulasi Premi 1 (Personal)'!$E$38="Menurun",'Spek Produk'!N74,'Spek Produk'!N132)</f>
        <v>0</v>
      </c>
      <c r="O16" s="26">
        <f>IF('Simulasi Premi 1 (Personal)'!$E$38="Menurun",'Spek Produk'!O74,'Spek Produk'!O132)</f>
        <v>0</v>
      </c>
      <c r="P16" s="26">
        <f>IF('Simulasi Premi 1 (Personal)'!$E$38="Menurun",'Spek Produk'!P74,'Spek Produk'!P132)</f>
        <v>0</v>
      </c>
      <c r="Q16" s="26">
        <f>IF('Simulasi Premi 1 (Personal)'!$E$38="Menurun",'Spek Produk'!Q74,'Spek Produk'!Q132)</f>
        <v>0</v>
      </c>
      <c r="R16" s="26">
        <f>IF('Simulasi Premi 1 (Personal)'!$E$38="Menurun",'Spek Produk'!R74,'Spek Produk'!R132)</f>
        <v>0</v>
      </c>
      <c r="S16" s="26">
        <f>IF('Simulasi Premi 1 (Personal)'!$E$38="Menurun",'Spek Produk'!S74,'Spek Produk'!S132)</f>
        <v>0</v>
      </c>
      <c r="T16" s="26">
        <f>IF('Simulasi Premi 1 (Personal)'!$E$38="Menurun",'Spek Produk'!T74,'Spek Produk'!T132)</f>
        <v>0</v>
      </c>
      <c r="U16" s="26">
        <f>IF('Simulasi Premi 1 (Personal)'!$E$38="Menurun",'Spek Produk'!U74,'Spek Produk'!U132)</f>
        <v>0</v>
      </c>
      <c r="V16" s="26">
        <f>IF('Simulasi Premi 1 (Personal)'!$E$38="Menurun",'Spek Produk'!V74,'Spek Produk'!V132)</f>
        <v>0</v>
      </c>
      <c r="W16" s="26">
        <f>IF('Simulasi Premi 1 (Personal)'!$E$38="Menurun",'Spek Produk'!W74,'Spek Produk'!W132)</f>
        <v>0</v>
      </c>
      <c r="X16" s="26">
        <f>IF('Simulasi Premi 1 (Personal)'!$E$38="Menurun",'Spek Produk'!X74,'Spek Produk'!X132)</f>
        <v>0</v>
      </c>
      <c r="Y16" s="26">
        <f>IF('Simulasi Premi 1 (Personal)'!$E$38="Menurun",'Spek Produk'!Y74,'Spek Produk'!Y132)</f>
        <v>0</v>
      </c>
      <c r="Z16" s="26">
        <f>IF('Simulasi Premi 1 (Personal)'!$E$38="Menurun",'Spek Produk'!Z74,'Spek Produk'!Z132)</f>
        <v>0</v>
      </c>
      <c r="AA16" s="26">
        <f>IF('Simulasi Premi 1 (Personal)'!$E$38="Menurun",'Spek Produk'!AA74,'Spek Produk'!AA132)</f>
        <v>0</v>
      </c>
      <c r="AB16" s="26">
        <f>IF('Simulasi Premi 1 (Personal)'!$E$38="Menurun",'Spek Produk'!AB74,'Spek Produk'!AB132)</f>
        <v>0</v>
      </c>
      <c r="AC16" s="26">
        <f>IF('Simulasi Premi 1 (Personal)'!$E$38="Menurun",'Spek Produk'!AC74,'Spek Produk'!AC132)</f>
        <v>0</v>
      </c>
      <c r="AD16" s="26">
        <f>IF('Simulasi Premi 1 (Personal)'!$E$38="Menurun",'Spek Produk'!AD74,'Spek Produk'!AD132)</f>
        <v>0</v>
      </c>
      <c r="AE16" s="26">
        <f>IF('Simulasi Premi 1 (Personal)'!$E$38="Menurun",'Spek Produk'!AE74,'Spek Produk'!AE132)</f>
        <v>0</v>
      </c>
      <c r="AF16" s="26">
        <f>IF('Simulasi Premi 1 (Personal)'!$E$38="Menurun",'Spek Produk'!AF74,'Spek Produk'!AF132)</f>
        <v>0</v>
      </c>
      <c r="AG16" s="26">
        <f>IF('Simulasi Premi 1 (Personal)'!$E$38="Menurun",'Spek Produk'!AG74,'Spek Produk'!AG132)</f>
        <v>0</v>
      </c>
      <c r="AH16" s="26">
        <f>IF('Simulasi Premi 1 (Personal)'!$E$38="Menurun",'Spek Produk'!AH74,'Spek Produk'!AH132)</f>
        <v>0</v>
      </c>
      <c r="AI16" s="26">
        <f>IF('Simulasi Premi 1 (Personal)'!$E$38="Menurun",'Spek Produk'!AI74,'Spek Produk'!AI132)</f>
        <v>0</v>
      </c>
      <c r="AJ16" s="26">
        <f>IF('Simulasi Premi 1 (Personal)'!$E$38="Menurun",'Spek Produk'!AJ74,'Spek Produk'!AJ132)</f>
        <v>0</v>
      </c>
      <c r="AK16" s="26">
        <f>IF('Simulasi Premi 1 (Personal)'!$E$38="Menurun",'Spek Produk'!AK74,'Spek Produk'!AK132)</f>
        <v>0</v>
      </c>
      <c r="AL16" s="26">
        <f>IF('Simulasi Premi 1 (Personal)'!$E$38="Menurun",'Spek Produk'!AL74,'Spek Produk'!AL132)</f>
        <v>0</v>
      </c>
      <c r="AM16" s="26">
        <f>IF('Simulasi Premi 1 (Personal)'!$E$38="Menurun",'Spek Produk'!AM74,'Spek Produk'!AM132)</f>
        <v>0</v>
      </c>
      <c r="AN16" s="26">
        <f>IF('Simulasi Premi 1 (Personal)'!$E$38="Menurun",'Spek Produk'!AN74,'Spek Produk'!AN132)</f>
        <v>0</v>
      </c>
      <c r="AO16" s="26">
        <f>IF('Simulasi Premi 1 (Personal)'!$E$38="Menurun",'Spek Produk'!AO74,'Spek Produk'!AO132)</f>
        <v>0</v>
      </c>
      <c r="AP16" s="26">
        <f>IF('Simulasi Premi 1 (Personal)'!$E$38="Menurun",'Spek Produk'!AP74,'Spek Produk'!AP132)</f>
        <v>0</v>
      </c>
    </row>
    <row r="17" spans="2:45" x14ac:dyDescent="0.25">
      <c r="B17" s="7"/>
      <c r="C17" s="8"/>
      <c r="D17" s="9"/>
      <c r="E17" s="9"/>
      <c r="F17" s="9"/>
      <c r="G17" s="9"/>
      <c r="H17" s="9"/>
      <c r="I17" s="9"/>
      <c r="J17" s="10"/>
      <c r="L17" s="24" t="str">
        <f t="shared" si="0"/>
        <v/>
      </c>
      <c r="M17" s="26">
        <f>IF('Simulasi Premi 1 (Personal)'!$E$38="Menurun",'Spek Produk'!M75,'Spek Produk'!M133)</f>
        <v>0</v>
      </c>
      <c r="N17" s="26">
        <f>IF('Simulasi Premi 1 (Personal)'!$E$38="Menurun",'Spek Produk'!N75,'Spek Produk'!N133)</f>
        <v>0</v>
      </c>
      <c r="O17" s="26">
        <f>IF('Simulasi Premi 1 (Personal)'!$E$38="Menurun",'Spek Produk'!O75,'Spek Produk'!O133)</f>
        <v>0</v>
      </c>
      <c r="P17" s="26">
        <f>IF('Simulasi Premi 1 (Personal)'!$E$38="Menurun",'Spek Produk'!P75,'Spek Produk'!P133)</f>
        <v>0</v>
      </c>
      <c r="Q17" s="26">
        <f>IF('Simulasi Premi 1 (Personal)'!$E$38="Menurun",'Spek Produk'!Q75,'Spek Produk'!Q133)</f>
        <v>0</v>
      </c>
      <c r="R17" s="26">
        <f>IF('Simulasi Premi 1 (Personal)'!$E$38="Menurun",'Spek Produk'!R75,'Spek Produk'!R133)</f>
        <v>0</v>
      </c>
      <c r="S17" s="26">
        <f>IF('Simulasi Premi 1 (Personal)'!$E$38="Menurun",'Spek Produk'!S75,'Spek Produk'!S133)</f>
        <v>0</v>
      </c>
      <c r="T17" s="26">
        <f>IF('Simulasi Premi 1 (Personal)'!$E$38="Menurun",'Spek Produk'!T75,'Spek Produk'!T133)</f>
        <v>0</v>
      </c>
      <c r="U17" s="26">
        <f>IF('Simulasi Premi 1 (Personal)'!$E$38="Menurun",'Spek Produk'!U75,'Spek Produk'!U133)</f>
        <v>0</v>
      </c>
      <c r="V17" s="26">
        <f>IF('Simulasi Premi 1 (Personal)'!$E$38="Menurun",'Spek Produk'!V75,'Spek Produk'!V133)</f>
        <v>0</v>
      </c>
      <c r="W17" s="26">
        <f>IF('Simulasi Premi 1 (Personal)'!$E$38="Menurun",'Spek Produk'!W75,'Spek Produk'!W133)</f>
        <v>0</v>
      </c>
      <c r="X17" s="26">
        <f>IF('Simulasi Premi 1 (Personal)'!$E$38="Menurun",'Spek Produk'!X75,'Spek Produk'!X133)</f>
        <v>0</v>
      </c>
      <c r="Y17" s="26">
        <f>IF('Simulasi Premi 1 (Personal)'!$E$38="Menurun",'Spek Produk'!Y75,'Spek Produk'!Y133)</f>
        <v>0</v>
      </c>
      <c r="Z17" s="26">
        <f>IF('Simulasi Premi 1 (Personal)'!$E$38="Menurun",'Spek Produk'!Z75,'Spek Produk'!Z133)</f>
        <v>0</v>
      </c>
      <c r="AA17" s="26">
        <f>IF('Simulasi Premi 1 (Personal)'!$E$38="Menurun",'Spek Produk'!AA75,'Spek Produk'!AA133)</f>
        <v>0</v>
      </c>
      <c r="AB17" s="26">
        <f>IF('Simulasi Premi 1 (Personal)'!$E$38="Menurun",'Spek Produk'!AB75,'Spek Produk'!AB133)</f>
        <v>0</v>
      </c>
      <c r="AC17" s="26">
        <f>IF('Simulasi Premi 1 (Personal)'!$E$38="Menurun",'Spek Produk'!AC75,'Spek Produk'!AC133)</f>
        <v>0</v>
      </c>
      <c r="AD17" s="26">
        <f>IF('Simulasi Premi 1 (Personal)'!$E$38="Menurun",'Spek Produk'!AD75,'Spek Produk'!AD133)</f>
        <v>0</v>
      </c>
      <c r="AE17" s="26">
        <f>IF('Simulasi Premi 1 (Personal)'!$E$38="Menurun",'Spek Produk'!AE75,'Spek Produk'!AE133)</f>
        <v>0</v>
      </c>
      <c r="AF17" s="26">
        <f>IF('Simulasi Premi 1 (Personal)'!$E$38="Menurun",'Spek Produk'!AF75,'Spek Produk'!AF133)</f>
        <v>0</v>
      </c>
      <c r="AG17" s="26">
        <f>IF('Simulasi Premi 1 (Personal)'!$E$38="Menurun",'Spek Produk'!AG75,'Spek Produk'!AG133)</f>
        <v>0</v>
      </c>
      <c r="AH17" s="26">
        <f>IF('Simulasi Premi 1 (Personal)'!$E$38="Menurun",'Spek Produk'!AH75,'Spek Produk'!AH133)</f>
        <v>0</v>
      </c>
      <c r="AI17" s="26">
        <f>IF('Simulasi Premi 1 (Personal)'!$E$38="Menurun",'Spek Produk'!AI75,'Spek Produk'!AI133)</f>
        <v>0</v>
      </c>
      <c r="AJ17" s="26">
        <f>IF('Simulasi Premi 1 (Personal)'!$E$38="Menurun",'Spek Produk'!AJ75,'Spek Produk'!AJ133)</f>
        <v>0</v>
      </c>
      <c r="AK17" s="26">
        <f>IF('Simulasi Premi 1 (Personal)'!$E$38="Menurun",'Spek Produk'!AK75,'Spek Produk'!AK133)</f>
        <v>0</v>
      </c>
      <c r="AL17" s="26">
        <f>IF('Simulasi Premi 1 (Personal)'!$E$38="Menurun",'Spek Produk'!AL75,'Spek Produk'!AL133)</f>
        <v>0</v>
      </c>
      <c r="AM17" s="26">
        <f>IF('Simulasi Premi 1 (Personal)'!$E$38="Menurun",'Spek Produk'!AM75,'Spek Produk'!AM133)</f>
        <v>0</v>
      </c>
      <c r="AN17" s="26">
        <f>IF('Simulasi Premi 1 (Personal)'!$E$38="Menurun",'Spek Produk'!AN75,'Spek Produk'!AN133)</f>
        <v>0</v>
      </c>
      <c r="AO17" s="26">
        <f>IF('Simulasi Premi 1 (Personal)'!$E$38="Menurun",'Spek Produk'!AO75,'Spek Produk'!AO133)</f>
        <v>0</v>
      </c>
      <c r="AP17" s="26">
        <f>IF('Simulasi Premi 1 (Personal)'!$E$38="Menurun",'Spek Produk'!AP75,'Spek Produk'!AP133)</f>
        <v>0</v>
      </c>
      <c r="AR17" s="29" t="s">
        <v>56</v>
      </c>
      <c r="AS17" s="29" t="s">
        <v>57</v>
      </c>
    </row>
    <row r="18" spans="2:45" x14ac:dyDescent="0.25">
      <c r="B18" s="7"/>
      <c r="C18" s="9" t="s">
        <v>33</v>
      </c>
      <c r="D18" s="9"/>
      <c r="E18" s="11" t="s">
        <v>23</v>
      </c>
      <c r="F18" s="114" t="s">
        <v>49</v>
      </c>
      <c r="G18" s="115"/>
      <c r="H18" s="115"/>
      <c r="I18" s="116"/>
      <c r="J18" s="10"/>
      <c r="L18" s="24" t="str">
        <f t="shared" si="0"/>
        <v/>
      </c>
      <c r="M18" s="26">
        <f>IF('Simulasi Premi 1 (Personal)'!$E$38="Menurun",'Spek Produk'!M76,'Spek Produk'!M134)</f>
        <v>0</v>
      </c>
      <c r="N18" s="26">
        <f>IF('Simulasi Premi 1 (Personal)'!$E$38="Menurun",'Spek Produk'!N76,'Spek Produk'!N134)</f>
        <v>0</v>
      </c>
      <c r="O18" s="26">
        <f>IF('Simulasi Premi 1 (Personal)'!$E$38="Menurun",'Spek Produk'!O76,'Spek Produk'!O134)</f>
        <v>0</v>
      </c>
      <c r="P18" s="26">
        <f>IF('Simulasi Premi 1 (Personal)'!$E$38="Menurun",'Spek Produk'!P76,'Spek Produk'!P134)</f>
        <v>0</v>
      </c>
      <c r="Q18" s="26">
        <f>IF('Simulasi Premi 1 (Personal)'!$E$38="Menurun",'Spek Produk'!Q76,'Spek Produk'!Q134)</f>
        <v>0</v>
      </c>
      <c r="R18" s="26">
        <f>IF('Simulasi Premi 1 (Personal)'!$E$38="Menurun",'Spek Produk'!R76,'Spek Produk'!R134)</f>
        <v>0</v>
      </c>
      <c r="S18" s="26">
        <f>IF('Simulasi Premi 1 (Personal)'!$E$38="Menurun",'Spek Produk'!S76,'Spek Produk'!S134)</f>
        <v>0</v>
      </c>
      <c r="T18" s="26">
        <f>IF('Simulasi Premi 1 (Personal)'!$E$38="Menurun",'Spek Produk'!T76,'Spek Produk'!T134)</f>
        <v>0</v>
      </c>
      <c r="U18" s="26">
        <f>IF('Simulasi Premi 1 (Personal)'!$E$38="Menurun",'Spek Produk'!U76,'Spek Produk'!U134)</f>
        <v>0</v>
      </c>
      <c r="V18" s="26">
        <f>IF('Simulasi Premi 1 (Personal)'!$E$38="Menurun",'Spek Produk'!V76,'Spek Produk'!V134)</f>
        <v>0</v>
      </c>
      <c r="W18" s="26">
        <f>IF('Simulasi Premi 1 (Personal)'!$E$38="Menurun",'Spek Produk'!W76,'Spek Produk'!W134)</f>
        <v>0</v>
      </c>
      <c r="X18" s="26">
        <f>IF('Simulasi Premi 1 (Personal)'!$E$38="Menurun",'Spek Produk'!X76,'Spek Produk'!X134)</f>
        <v>0</v>
      </c>
      <c r="Y18" s="26">
        <f>IF('Simulasi Premi 1 (Personal)'!$E$38="Menurun",'Spek Produk'!Y76,'Spek Produk'!Y134)</f>
        <v>0</v>
      </c>
      <c r="Z18" s="26">
        <f>IF('Simulasi Premi 1 (Personal)'!$E$38="Menurun",'Spek Produk'!Z76,'Spek Produk'!Z134)</f>
        <v>0</v>
      </c>
      <c r="AA18" s="26">
        <f>IF('Simulasi Premi 1 (Personal)'!$E$38="Menurun",'Spek Produk'!AA76,'Spek Produk'!AA134)</f>
        <v>0</v>
      </c>
      <c r="AB18" s="26">
        <f>IF('Simulasi Premi 1 (Personal)'!$E$38="Menurun",'Spek Produk'!AB76,'Spek Produk'!AB134)</f>
        <v>0</v>
      </c>
      <c r="AC18" s="26">
        <f>IF('Simulasi Premi 1 (Personal)'!$E$38="Menurun",'Spek Produk'!AC76,'Spek Produk'!AC134)</f>
        <v>0</v>
      </c>
      <c r="AD18" s="26">
        <f>IF('Simulasi Premi 1 (Personal)'!$E$38="Menurun",'Spek Produk'!AD76,'Spek Produk'!AD134)</f>
        <v>0</v>
      </c>
      <c r="AE18" s="26">
        <f>IF('Simulasi Premi 1 (Personal)'!$E$38="Menurun",'Spek Produk'!AE76,'Spek Produk'!AE134)</f>
        <v>0</v>
      </c>
      <c r="AF18" s="26">
        <f>IF('Simulasi Premi 1 (Personal)'!$E$38="Menurun",'Spek Produk'!AF76,'Spek Produk'!AF134)</f>
        <v>0</v>
      </c>
      <c r="AG18" s="26">
        <f>IF('Simulasi Premi 1 (Personal)'!$E$38="Menurun",'Spek Produk'!AG76,'Spek Produk'!AG134)</f>
        <v>0</v>
      </c>
      <c r="AH18" s="26">
        <f>IF('Simulasi Premi 1 (Personal)'!$E$38="Menurun",'Spek Produk'!AH76,'Spek Produk'!AH134)</f>
        <v>0</v>
      </c>
      <c r="AI18" s="26">
        <f>IF('Simulasi Premi 1 (Personal)'!$E$38="Menurun",'Spek Produk'!AI76,'Spek Produk'!AI134)</f>
        <v>0</v>
      </c>
      <c r="AJ18" s="26">
        <f>IF('Simulasi Premi 1 (Personal)'!$E$38="Menurun",'Spek Produk'!AJ76,'Spek Produk'!AJ134)</f>
        <v>0</v>
      </c>
      <c r="AK18" s="26">
        <f>IF('Simulasi Premi 1 (Personal)'!$E$38="Menurun",'Spek Produk'!AK76,'Spek Produk'!AK134)</f>
        <v>0</v>
      </c>
      <c r="AL18" s="26">
        <f>IF('Simulasi Premi 1 (Personal)'!$E$38="Menurun",'Spek Produk'!AL76,'Spek Produk'!AL134)</f>
        <v>0</v>
      </c>
      <c r="AM18" s="26">
        <f>IF('Simulasi Premi 1 (Personal)'!$E$38="Menurun",'Spek Produk'!AM76,'Spek Produk'!AM134)</f>
        <v>0</v>
      </c>
      <c r="AN18" s="26">
        <f>IF('Simulasi Premi 1 (Personal)'!$E$38="Menurun",'Spek Produk'!AN76,'Spek Produk'!AN134)</f>
        <v>0</v>
      </c>
      <c r="AO18" s="26">
        <f>IF('Simulasi Premi 1 (Personal)'!$E$38="Menurun",'Spek Produk'!AO76,'Spek Produk'!AO134)</f>
        <v>0</v>
      </c>
      <c r="AP18" s="26">
        <f>IF('Simulasi Premi 1 (Personal)'!$E$38="Menurun",'Spek Produk'!AP76,'Spek Produk'!AP134)</f>
        <v>0</v>
      </c>
      <c r="AR18" s="29" t="s">
        <v>46</v>
      </c>
      <c r="AS18" s="30" t="s">
        <v>51</v>
      </c>
    </row>
    <row r="19" spans="2:45" x14ac:dyDescent="0.25">
      <c r="B19" s="7"/>
      <c r="C19" s="9" t="s">
        <v>34</v>
      </c>
      <c r="D19" s="9"/>
      <c r="E19" s="11" t="s">
        <v>23</v>
      </c>
      <c r="F19" s="114" t="s">
        <v>108</v>
      </c>
      <c r="G19" s="115"/>
      <c r="H19" s="115"/>
      <c r="I19" s="116"/>
      <c r="J19" s="10"/>
      <c r="L19" s="24" t="str">
        <f t="shared" si="0"/>
        <v/>
      </c>
      <c r="M19" s="26">
        <f>IF('Simulasi Premi 1 (Personal)'!$E$38="Menurun",'Spek Produk'!M77,'Spek Produk'!M135)</f>
        <v>0</v>
      </c>
      <c r="N19" s="26">
        <f>IF('Simulasi Premi 1 (Personal)'!$E$38="Menurun",'Spek Produk'!N77,'Spek Produk'!N135)</f>
        <v>0</v>
      </c>
      <c r="O19" s="26">
        <f>IF('Simulasi Premi 1 (Personal)'!$E$38="Menurun",'Spek Produk'!O77,'Spek Produk'!O135)</f>
        <v>0</v>
      </c>
      <c r="P19" s="26">
        <f>IF('Simulasi Premi 1 (Personal)'!$E$38="Menurun",'Spek Produk'!P77,'Spek Produk'!P135)</f>
        <v>0</v>
      </c>
      <c r="Q19" s="26">
        <f>IF('Simulasi Premi 1 (Personal)'!$E$38="Menurun",'Spek Produk'!Q77,'Spek Produk'!Q135)</f>
        <v>0</v>
      </c>
      <c r="R19" s="26">
        <f>IF('Simulasi Premi 1 (Personal)'!$E$38="Menurun",'Spek Produk'!R77,'Spek Produk'!R135)</f>
        <v>0</v>
      </c>
      <c r="S19" s="26">
        <f>IF('Simulasi Premi 1 (Personal)'!$E$38="Menurun",'Spek Produk'!S77,'Spek Produk'!S135)</f>
        <v>0</v>
      </c>
      <c r="T19" s="26">
        <f>IF('Simulasi Premi 1 (Personal)'!$E$38="Menurun",'Spek Produk'!T77,'Spek Produk'!T135)</f>
        <v>0</v>
      </c>
      <c r="U19" s="26">
        <f>IF('Simulasi Premi 1 (Personal)'!$E$38="Menurun",'Spek Produk'!U77,'Spek Produk'!U135)</f>
        <v>0</v>
      </c>
      <c r="V19" s="26">
        <f>IF('Simulasi Premi 1 (Personal)'!$E$38="Menurun",'Spek Produk'!V77,'Spek Produk'!V135)</f>
        <v>0</v>
      </c>
      <c r="W19" s="26">
        <f>IF('Simulasi Premi 1 (Personal)'!$E$38="Menurun",'Spek Produk'!W77,'Spek Produk'!W135)</f>
        <v>0</v>
      </c>
      <c r="X19" s="26">
        <f>IF('Simulasi Premi 1 (Personal)'!$E$38="Menurun",'Spek Produk'!X77,'Spek Produk'!X135)</f>
        <v>0</v>
      </c>
      <c r="Y19" s="26">
        <f>IF('Simulasi Premi 1 (Personal)'!$E$38="Menurun",'Spek Produk'!Y77,'Spek Produk'!Y135)</f>
        <v>0</v>
      </c>
      <c r="Z19" s="26">
        <f>IF('Simulasi Premi 1 (Personal)'!$E$38="Menurun",'Spek Produk'!Z77,'Spek Produk'!Z135)</f>
        <v>0</v>
      </c>
      <c r="AA19" s="26">
        <f>IF('Simulasi Premi 1 (Personal)'!$E$38="Menurun",'Spek Produk'!AA77,'Spek Produk'!AA135)</f>
        <v>0</v>
      </c>
      <c r="AB19" s="26">
        <f>IF('Simulasi Premi 1 (Personal)'!$E$38="Menurun",'Spek Produk'!AB77,'Spek Produk'!AB135)</f>
        <v>0</v>
      </c>
      <c r="AC19" s="26">
        <f>IF('Simulasi Premi 1 (Personal)'!$E$38="Menurun",'Spek Produk'!AC77,'Spek Produk'!AC135)</f>
        <v>0</v>
      </c>
      <c r="AD19" s="26">
        <f>IF('Simulasi Premi 1 (Personal)'!$E$38="Menurun",'Spek Produk'!AD77,'Spek Produk'!AD135)</f>
        <v>0</v>
      </c>
      <c r="AE19" s="26">
        <f>IF('Simulasi Premi 1 (Personal)'!$E$38="Menurun",'Spek Produk'!AE77,'Spek Produk'!AE135)</f>
        <v>0</v>
      </c>
      <c r="AF19" s="26">
        <f>IF('Simulasi Premi 1 (Personal)'!$E$38="Menurun",'Spek Produk'!AF77,'Spek Produk'!AF135)</f>
        <v>0</v>
      </c>
      <c r="AG19" s="26">
        <f>IF('Simulasi Premi 1 (Personal)'!$E$38="Menurun",'Spek Produk'!AG77,'Spek Produk'!AG135)</f>
        <v>0</v>
      </c>
      <c r="AH19" s="26">
        <f>IF('Simulasi Premi 1 (Personal)'!$E$38="Menurun",'Spek Produk'!AH77,'Spek Produk'!AH135)</f>
        <v>0</v>
      </c>
      <c r="AI19" s="26">
        <f>IF('Simulasi Premi 1 (Personal)'!$E$38="Menurun",'Spek Produk'!AI77,'Spek Produk'!AI135)</f>
        <v>0</v>
      </c>
      <c r="AJ19" s="26">
        <f>IF('Simulasi Premi 1 (Personal)'!$E$38="Menurun",'Spek Produk'!AJ77,'Spek Produk'!AJ135)</f>
        <v>0</v>
      </c>
      <c r="AK19" s="26">
        <f>IF('Simulasi Premi 1 (Personal)'!$E$38="Menurun",'Spek Produk'!AK77,'Spek Produk'!AK135)</f>
        <v>0</v>
      </c>
      <c r="AL19" s="26">
        <f>IF('Simulasi Premi 1 (Personal)'!$E$38="Menurun",'Spek Produk'!AL77,'Spek Produk'!AL135)</f>
        <v>0</v>
      </c>
      <c r="AM19" s="26">
        <f>IF('Simulasi Premi 1 (Personal)'!$E$38="Menurun",'Spek Produk'!AM77,'Spek Produk'!AM135)</f>
        <v>0</v>
      </c>
      <c r="AN19" s="26">
        <f>IF('Simulasi Premi 1 (Personal)'!$E$38="Menurun",'Spek Produk'!AN77,'Spek Produk'!AN135)</f>
        <v>0</v>
      </c>
      <c r="AO19" s="26">
        <f>IF('Simulasi Premi 1 (Personal)'!$E$38="Menurun",'Spek Produk'!AO77,'Spek Produk'!AO135)</f>
        <v>0</v>
      </c>
      <c r="AP19" s="26">
        <f>IF('Simulasi Premi 1 (Personal)'!$E$38="Menurun",'Spek Produk'!AP77,'Spek Produk'!AP135)</f>
        <v>0</v>
      </c>
      <c r="AR19" s="29" t="s">
        <v>47</v>
      </c>
      <c r="AS19" s="30" t="s">
        <v>52</v>
      </c>
    </row>
    <row r="20" spans="2:45" x14ac:dyDescent="0.25">
      <c r="B20" s="7"/>
      <c r="C20" s="9" t="s">
        <v>35</v>
      </c>
      <c r="D20" s="9"/>
      <c r="E20" s="11" t="s">
        <v>23</v>
      </c>
      <c r="F20" s="119" cm="1">
        <f t="array" aca="1" ref="F20" ca="1">_xlfn.IFS(VALUE(MID('Simulasi Premi 1 (Personal)'!$H$29,7,2))&gt;B40,D41,MID('Simulasi Premi 1 (Personal)'!$H$29,7,2)+'Simulasi Premi 1 (Personal)'!$E$35+('Simulasi Premi 1 (Personal)'!$E$36/12)&lt;='Spek Produk'!$C$40,'Spek Produk'!$D$40,MID('Simulasi Premi 1 (Personal)'!$H$29,7,2)+'Simulasi Premi 1 (Personal)'!$E$35+('Simulasi Premi 1 (Personal)'!$E$36/12)&gt;'Spek Produk'!$C$40,'Spek Produk'!$D$41)</f>
        <v>1000000000</v>
      </c>
      <c r="G20" s="120"/>
      <c r="H20" s="120"/>
      <c r="I20" s="121"/>
      <c r="J20" s="10"/>
      <c r="L20" s="24" t="str">
        <f t="shared" si="0"/>
        <v/>
      </c>
      <c r="M20" s="26">
        <f>IF('Simulasi Premi 1 (Personal)'!$E$38="Menurun",'Spek Produk'!M78,'Spek Produk'!M136)</f>
        <v>0</v>
      </c>
      <c r="N20" s="26">
        <f>IF('Simulasi Premi 1 (Personal)'!$E$38="Menurun",'Spek Produk'!N78,'Spek Produk'!N136)</f>
        <v>0</v>
      </c>
      <c r="O20" s="26">
        <f>IF('Simulasi Premi 1 (Personal)'!$E$38="Menurun",'Spek Produk'!O78,'Spek Produk'!O136)</f>
        <v>0</v>
      </c>
      <c r="P20" s="26">
        <f>IF('Simulasi Premi 1 (Personal)'!$E$38="Menurun",'Spek Produk'!P78,'Spek Produk'!P136)</f>
        <v>0</v>
      </c>
      <c r="Q20" s="26">
        <f>IF('Simulasi Premi 1 (Personal)'!$E$38="Menurun",'Spek Produk'!Q78,'Spek Produk'!Q136)</f>
        <v>0</v>
      </c>
      <c r="R20" s="26">
        <f>IF('Simulasi Premi 1 (Personal)'!$E$38="Menurun",'Spek Produk'!R78,'Spek Produk'!R136)</f>
        <v>0</v>
      </c>
      <c r="S20" s="26">
        <f>IF('Simulasi Premi 1 (Personal)'!$E$38="Menurun",'Spek Produk'!S78,'Spek Produk'!S136)</f>
        <v>0</v>
      </c>
      <c r="T20" s="26">
        <f>IF('Simulasi Premi 1 (Personal)'!$E$38="Menurun",'Spek Produk'!T78,'Spek Produk'!T136)</f>
        <v>0</v>
      </c>
      <c r="U20" s="26">
        <f>IF('Simulasi Premi 1 (Personal)'!$E$38="Menurun",'Spek Produk'!U78,'Spek Produk'!U136)</f>
        <v>0</v>
      </c>
      <c r="V20" s="26">
        <f>IF('Simulasi Premi 1 (Personal)'!$E$38="Menurun",'Spek Produk'!V78,'Spek Produk'!V136)</f>
        <v>0</v>
      </c>
      <c r="W20" s="26">
        <f>IF('Simulasi Premi 1 (Personal)'!$E$38="Menurun",'Spek Produk'!W78,'Spek Produk'!W136)</f>
        <v>0</v>
      </c>
      <c r="X20" s="26">
        <f>IF('Simulasi Premi 1 (Personal)'!$E$38="Menurun",'Spek Produk'!X78,'Spek Produk'!X136)</f>
        <v>0</v>
      </c>
      <c r="Y20" s="26">
        <f>IF('Simulasi Premi 1 (Personal)'!$E$38="Menurun",'Spek Produk'!Y78,'Spek Produk'!Y136)</f>
        <v>0</v>
      </c>
      <c r="Z20" s="26">
        <f>IF('Simulasi Premi 1 (Personal)'!$E$38="Menurun",'Spek Produk'!Z78,'Spek Produk'!Z136)</f>
        <v>0</v>
      </c>
      <c r="AA20" s="26">
        <f>IF('Simulasi Premi 1 (Personal)'!$E$38="Menurun",'Spek Produk'!AA78,'Spek Produk'!AA136)</f>
        <v>0</v>
      </c>
      <c r="AB20" s="26">
        <f>IF('Simulasi Premi 1 (Personal)'!$E$38="Menurun",'Spek Produk'!AB78,'Spek Produk'!AB136)</f>
        <v>0</v>
      </c>
      <c r="AC20" s="26">
        <f>IF('Simulasi Premi 1 (Personal)'!$E$38="Menurun",'Spek Produk'!AC78,'Spek Produk'!AC136)</f>
        <v>0</v>
      </c>
      <c r="AD20" s="26">
        <f>IF('Simulasi Premi 1 (Personal)'!$E$38="Menurun",'Spek Produk'!AD78,'Spek Produk'!AD136)</f>
        <v>0</v>
      </c>
      <c r="AE20" s="26">
        <f>IF('Simulasi Premi 1 (Personal)'!$E$38="Menurun",'Spek Produk'!AE78,'Spek Produk'!AE136)</f>
        <v>0</v>
      </c>
      <c r="AF20" s="26">
        <f>IF('Simulasi Premi 1 (Personal)'!$E$38="Menurun",'Spek Produk'!AF78,'Spek Produk'!AF136)</f>
        <v>0</v>
      </c>
      <c r="AG20" s="26">
        <f>IF('Simulasi Premi 1 (Personal)'!$E$38="Menurun",'Spek Produk'!AG78,'Spek Produk'!AG136)</f>
        <v>0</v>
      </c>
      <c r="AH20" s="26">
        <f>IF('Simulasi Premi 1 (Personal)'!$E$38="Menurun",'Spek Produk'!AH78,'Spek Produk'!AH136)</f>
        <v>0</v>
      </c>
      <c r="AI20" s="26">
        <f>IF('Simulasi Premi 1 (Personal)'!$E$38="Menurun",'Spek Produk'!AI78,'Spek Produk'!AI136)</f>
        <v>0</v>
      </c>
      <c r="AJ20" s="26">
        <f>IF('Simulasi Premi 1 (Personal)'!$E$38="Menurun",'Spek Produk'!AJ78,'Spek Produk'!AJ136)</f>
        <v>0</v>
      </c>
      <c r="AK20" s="26">
        <f>IF('Simulasi Premi 1 (Personal)'!$E$38="Menurun",'Spek Produk'!AK78,'Spek Produk'!AK136)</f>
        <v>0</v>
      </c>
      <c r="AL20" s="26">
        <f>IF('Simulasi Premi 1 (Personal)'!$E$38="Menurun",'Spek Produk'!AL78,'Spek Produk'!AL136)</f>
        <v>0</v>
      </c>
      <c r="AM20" s="26">
        <f>IF('Simulasi Premi 1 (Personal)'!$E$38="Menurun",'Spek Produk'!AM78,'Spek Produk'!AM136)</f>
        <v>0</v>
      </c>
      <c r="AN20" s="26">
        <f>IF('Simulasi Premi 1 (Personal)'!$E$38="Menurun",'Spek Produk'!AN78,'Spek Produk'!AN136)</f>
        <v>0</v>
      </c>
      <c r="AO20" s="26">
        <f>IF('Simulasi Premi 1 (Personal)'!$E$38="Menurun",'Spek Produk'!AO78,'Spek Produk'!AO136)</f>
        <v>0</v>
      </c>
      <c r="AP20" s="26">
        <f>IF('Simulasi Premi 1 (Personal)'!$E$38="Menurun",'Spek Produk'!AP78,'Spek Produk'!AP136)</f>
        <v>0</v>
      </c>
      <c r="AR20" s="29" t="s">
        <v>48</v>
      </c>
      <c r="AS20" s="30" t="s">
        <v>53</v>
      </c>
    </row>
    <row r="21" spans="2:45" x14ac:dyDescent="0.25">
      <c r="B21" s="7"/>
      <c r="C21" s="9" t="s">
        <v>87</v>
      </c>
      <c r="D21" s="9"/>
      <c r="E21" s="11" t="s">
        <v>23</v>
      </c>
      <c r="F21" s="114" t="s">
        <v>49</v>
      </c>
      <c r="G21" s="115"/>
      <c r="H21" s="115"/>
      <c r="I21" s="116"/>
      <c r="J21" s="10"/>
      <c r="L21" s="24" t="str">
        <f t="shared" si="0"/>
        <v/>
      </c>
      <c r="M21" s="26">
        <f>IF('Simulasi Premi 1 (Personal)'!$E$38="Menurun",'Spek Produk'!M79,'Spek Produk'!M137)</f>
        <v>0</v>
      </c>
      <c r="N21" s="26">
        <f>IF('Simulasi Premi 1 (Personal)'!$E$38="Menurun",'Spek Produk'!N79,'Spek Produk'!N137)</f>
        <v>0</v>
      </c>
      <c r="O21" s="26">
        <f>IF('Simulasi Premi 1 (Personal)'!$E$38="Menurun",'Spek Produk'!O79,'Spek Produk'!O137)</f>
        <v>0</v>
      </c>
      <c r="P21" s="26">
        <f>IF('Simulasi Premi 1 (Personal)'!$E$38="Menurun",'Spek Produk'!P79,'Spek Produk'!P137)</f>
        <v>0</v>
      </c>
      <c r="Q21" s="26">
        <f>IF('Simulasi Premi 1 (Personal)'!$E$38="Menurun",'Spek Produk'!Q79,'Spek Produk'!Q137)</f>
        <v>0</v>
      </c>
      <c r="R21" s="26">
        <f>IF('Simulasi Premi 1 (Personal)'!$E$38="Menurun",'Spek Produk'!R79,'Spek Produk'!R137)</f>
        <v>0</v>
      </c>
      <c r="S21" s="26">
        <f>IF('Simulasi Premi 1 (Personal)'!$E$38="Menurun",'Spek Produk'!S79,'Spek Produk'!S137)</f>
        <v>0</v>
      </c>
      <c r="T21" s="26">
        <f>IF('Simulasi Premi 1 (Personal)'!$E$38="Menurun",'Spek Produk'!T79,'Spek Produk'!T137)</f>
        <v>0</v>
      </c>
      <c r="U21" s="26">
        <f>IF('Simulasi Premi 1 (Personal)'!$E$38="Menurun",'Spek Produk'!U79,'Spek Produk'!U137)</f>
        <v>0</v>
      </c>
      <c r="V21" s="26">
        <f>IF('Simulasi Premi 1 (Personal)'!$E$38="Menurun",'Spek Produk'!V79,'Spek Produk'!V137)</f>
        <v>0</v>
      </c>
      <c r="W21" s="26">
        <f>IF('Simulasi Premi 1 (Personal)'!$E$38="Menurun",'Spek Produk'!W79,'Spek Produk'!W137)</f>
        <v>0</v>
      </c>
      <c r="X21" s="26">
        <f>IF('Simulasi Premi 1 (Personal)'!$E$38="Menurun",'Spek Produk'!X79,'Spek Produk'!X137)</f>
        <v>0</v>
      </c>
      <c r="Y21" s="26">
        <f>IF('Simulasi Premi 1 (Personal)'!$E$38="Menurun",'Spek Produk'!Y79,'Spek Produk'!Y137)</f>
        <v>0</v>
      </c>
      <c r="Z21" s="26">
        <f>IF('Simulasi Premi 1 (Personal)'!$E$38="Menurun",'Spek Produk'!Z79,'Spek Produk'!Z137)</f>
        <v>0</v>
      </c>
      <c r="AA21" s="26">
        <f>IF('Simulasi Premi 1 (Personal)'!$E$38="Menurun",'Spek Produk'!AA79,'Spek Produk'!AA137)</f>
        <v>0</v>
      </c>
      <c r="AB21" s="26">
        <f>IF('Simulasi Premi 1 (Personal)'!$E$38="Menurun",'Spek Produk'!AB79,'Spek Produk'!AB137)</f>
        <v>0</v>
      </c>
      <c r="AC21" s="26">
        <f>IF('Simulasi Premi 1 (Personal)'!$E$38="Menurun",'Spek Produk'!AC79,'Spek Produk'!AC137)</f>
        <v>0</v>
      </c>
      <c r="AD21" s="26">
        <f>IF('Simulasi Premi 1 (Personal)'!$E$38="Menurun",'Spek Produk'!AD79,'Spek Produk'!AD137)</f>
        <v>0</v>
      </c>
      <c r="AE21" s="26">
        <f>IF('Simulasi Premi 1 (Personal)'!$E$38="Menurun",'Spek Produk'!AE79,'Spek Produk'!AE137)</f>
        <v>0</v>
      </c>
      <c r="AF21" s="26">
        <f>IF('Simulasi Premi 1 (Personal)'!$E$38="Menurun",'Spek Produk'!AF79,'Spek Produk'!AF137)</f>
        <v>0</v>
      </c>
      <c r="AG21" s="26">
        <f>IF('Simulasi Premi 1 (Personal)'!$E$38="Menurun",'Spek Produk'!AG79,'Spek Produk'!AG137)</f>
        <v>0</v>
      </c>
      <c r="AH21" s="26">
        <f>IF('Simulasi Premi 1 (Personal)'!$E$38="Menurun",'Spek Produk'!AH79,'Spek Produk'!AH137)</f>
        <v>0</v>
      </c>
      <c r="AI21" s="26">
        <f>IF('Simulasi Premi 1 (Personal)'!$E$38="Menurun",'Spek Produk'!AI79,'Spek Produk'!AI137)</f>
        <v>0</v>
      </c>
      <c r="AJ21" s="26">
        <f>IF('Simulasi Premi 1 (Personal)'!$E$38="Menurun",'Spek Produk'!AJ79,'Spek Produk'!AJ137)</f>
        <v>0</v>
      </c>
      <c r="AK21" s="26">
        <f>IF('Simulasi Premi 1 (Personal)'!$E$38="Menurun",'Spek Produk'!AK79,'Spek Produk'!AK137)</f>
        <v>0</v>
      </c>
      <c r="AL21" s="26">
        <f>IF('Simulasi Premi 1 (Personal)'!$E$38="Menurun",'Spek Produk'!AL79,'Spek Produk'!AL137)</f>
        <v>0</v>
      </c>
      <c r="AM21" s="26">
        <f>IF('Simulasi Premi 1 (Personal)'!$E$38="Menurun",'Spek Produk'!AM79,'Spek Produk'!AM137)</f>
        <v>0</v>
      </c>
      <c r="AN21" s="26">
        <f>IF('Simulasi Premi 1 (Personal)'!$E$38="Menurun",'Spek Produk'!AN79,'Spek Produk'!AN137)</f>
        <v>0</v>
      </c>
      <c r="AO21" s="26">
        <f>IF('Simulasi Premi 1 (Personal)'!$E$38="Menurun",'Spek Produk'!AO79,'Spek Produk'!AO137)</f>
        <v>0</v>
      </c>
      <c r="AP21" s="26">
        <f>IF('Simulasi Premi 1 (Personal)'!$E$38="Menurun",'Spek Produk'!AP79,'Spek Produk'!AP137)</f>
        <v>0</v>
      </c>
      <c r="AR21" s="29" t="s">
        <v>49</v>
      </c>
      <c r="AS21" s="30" t="s">
        <v>55</v>
      </c>
    </row>
    <row r="22" spans="2:45" x14ac:dyDescent="0.25">
      <c r="B22" s="7"/>
      <c r="C22" s="12" t="s">
        <v>36</v>
      </c>
      <c r="D22" s="12"/>
      <c r="E22" s="11" t="s">
        <v>23</v>
      </c>
      <c r="F22" s="13" t="s">
        <v>37</v>
      </c>
      <c r="G22" s="14">
        <v>0</v>
      </c>
      <c r="H22" s="13" t="s">
        <v>38</v>
      </c>
      <c r="I22" s="14">
        <v>20</v>
      </c>
      <c r="J22" s="10"/>
      <c r="L22" s="24" t="str">
        <f t="shared" si="0"/>
        <v/>
      </c>
      <c r="M22" s="26">
        <f>IF('Simulasi Premi 1 (Personal)'!$E$38="Menurun",'Spek Produk'!M80,'Spek Produk'!M138)</f>
        <v>0</v>
      </c>
      <c r="N22" s="26">
        <f>IF('Simulasi Premi 1 (Personal)'!$E$38="Menurun",'Spek Produk'!N80,'Spek Produk'!N138)</f>
        <v>0</v>
      </c>
      <c r="O22" s="26">
        <f>IF('Simulasi Premi 1 (Personal)'!$E$38="Menurun",'Spek Produk'!O80,'Spek Produk'!O138)</f>
        <v>0</v>
      </c>
      <c r="P22" s="26">
        <f>IF('Simulasi Premi 1 (Personal)'!$E$38="Menurun",'Spek Produk'!P80,'Spek Produk'!P138)</f>
        <v>0</v>
      </c>
      <c r="Q22" s="26">
        <f>IF('Simulasi Premi 1 (Personal)'!$E$38="Menurun",'Spek Produk'!Q80,'Spek Produk'!Q138)</f>
        <v>0</v>
      </c>
      <c r="R22" s="26">
        <f>IF('Simulasi Premi 1 (Personal)'!$E$38="Menurun",'Spek Produk'!R80,'Spek Produk'!R138)</f>
        <v>0</v>
      </c>
      <c r="S22" s="26">
        <f>IF('Simulasi Premi 1 (Personal)'!$E$38="Menurun",'Spek Produk'!S80,'Spek Produk'!S138)</f>
        <v>0</v>
      </c>
      <c r="T22" s="26">
        <f>IF('Simulasi Premi 1 (Personal)'!$E$38="Menurun",'Spek Produk'!T80,'Spek Produk'!T138)</f>
        <v>0</v>
      </c>
      <c r="U22" s="26">
        <f>IF('Simulasi Premi 1 (Personal)'!$E$38="Menurun",'Spek Produk'!U80,'Spek Produk'!U138)</f>
        <v>0</v>
      </c>
      <c r="V22" s="26">
        <f>IF('Simulasi Premi 1 (Personal)'!$E$38="Menurun",'Spek Produk'!V80,'Spek Produk'!V138)</f>
        <v>0</v>
      </c>
      <c r="W22" s="26">
        <f>IF('Simulasi Premi 1 (Personal)'!$E$38="Menurun",'Spek Produk'!W80,'Spek Produk'!W138)</f>
        <v>0</v>
      </c>
      <c r="X22" s="26">
        <f>IF('Simulasi Premi 1 (Personal)'!$E$38="Menurun",'Spek Produk'!X80,'Spek Produk'!X138)</f>
        <v>0</v>
      </c>
      <c r="Y22" s="26">
        <f>IF('Simulasi Premi 1 (Personal)'!$E$38="Menurun",'Spek Produk'!Y80,'Spek Produk'!Y138)</f>
        <v>0</v>
      </c>
      <c r="Z22" s="26">
        <f>IF('Simulasi Premi 1 (Personal)'!$E$38="Menurun",'Spek Produk'!Z80,'Spek Produk'!Z138)</f>
        <v>0</v>
      </c>
      <c r="AA22" s="26">
        <f>IF('Simulasi Premi 1 (Personal)'!$E$38="Menurun",'Spek Produk'!AA80,'Spek Produk'!AA138)</f>
        <v>0</v>
      </c>
      <c r="AB22" s="26">
        <f>IF('Simulasi Premi 1 (Personal)'!$E$38="Menurun",'Spek Produk'!AB80,'Spek Produk'!AB138)</f>
        <v>0</v>
      </c>
      <c r="AC22" s="26">
        <f>IF('Simulasi Premi 1 (Personal)'!$E$38="Menurun",'Spek Produk'!AC80,'Spek Produk'!AC138)</f>
        <v>0</v>
      </c>
      <c r="AD22" s="26">
        <f>IF('Simulasi Premi 1 (Personal)'!$E$38="Menurun",'Spek Produk'!AD80,'Spek Produk'!AD138)</f>
        <v>0</v>
      </c>
      <c r="AE22" s="26">
        <f>IF('Simulasi Premi 1 (Personal)'!$E$38="Menurun",'Spek Produk'!AE80,'Spek Produk'!AE138)</f>
        <v>0</v>
      </c>
      <c r="AF22" s="26">
        <f>IF('Simulasi Premi 1 (Personal)'!$E$38="Menurun",'Spek Produk'!AF80,'Spek Produk'!AF138)</f>
        <v>0</v>
      </c>
      <c r="AG22" s="26">
        <f>IF('Simulasi Premi 1 (Personal)'!$E$38="Menurun",'Spek Produk'!AG80,'Spek Produk'!AG138)</f>
        <v>0</v>
      </c>
      <c r="AH22" s="26">
        <f>IF('Simulasi Premi 1 (Personal)'!$E$38="Menurun",'Spek Produk'!AH80,'Spek Produk'!AH138)</f>
        <v>0</v>
      </c>
      <c r="AI22" s="26">
        <f>IF('Simulasi Premi 1 (Personal)'!$E$38="Menurun",'Spek Produk'!AI80,'Spek Produk'!AI138)</f>
        <v>0</v>
      </c>
      <c r="AJ22" s="26">
        <f>IF('Simulasi Premi 1 (Personal)'!$E$38="Menurun",'Spek Produk'!AJ80,'Spek Produk'!AJ138)</f>
        <v>0</v>
      </c>
      <c r="AK22" s="26">
        <f>IF('Simulasi Premi 1 (Personal)'!$E$38="Menurun",'Spek Produk'!AK80,'Spek Produk'!AK138)</f>
        <v>0</v>
      </c>
      <c r="AL22" s="26">
        <f>IF('Simulasi Premi 1 (Personal)'!$E$38="Menurun",'Spek Produk'!AL80,'Spek Produk'!AL138)</f>
        <v>0</v>
      </c>
      <c r="AM22" s="26">
        <f>IF('Simulasi Premi 1 (Personal)'!$E$38="Menurun",'Spek Produk'!AM80,'Spek Produk'!AM138)</f>
        <v>0</v>
      </c>
      <c r="AN22" s="26">
        <f>IF('Simulasi Premi 1 (Personal)'!$E$38="Menurun",'Spek Produk'!AN80,'Spek Produk'!AN138)</f>
        <v>0</v>
      </c>
      <c r="AO22" s="26">
        <f>IF('Simulasi Premi 1 (Personal)'!$E$38="Menurun",'Spek Produk'!AO80,'Spek Produk'!AO138)</f>
        <v>0</v>
      </c>
      <c r="AP22" s="26">
        <f>IF('Simulasi Premi 1 (Personal)'!$E$38="Menurun",'Spek Produk'!AP80,'Spek Produk'!AP138)</f>
        <v>0</v>
      </c>
      <c r="AR22" s="29" t="s">
        <v>45</v>
      </c>
      <c r="AS22" s="30" t="s">
        <v>54</v>
      </c>
    </row>
    <row r="23" spans="2:45" x14ac:dyDescent="0.25">
      <c r="B23" s="7"/>
      <c r="C23" s="12" t="s">
        <v>39</v>
      </c>
      <c r="D23" s="12"/>
      <c r="E23" s="11" t="s">
        <v>23</v>
      </c>
      <c r="F23" s="13" t="s">
        <v>37</v>
      </c>
      <c r="G23" s="14">
        <v>45</v>
      </c>
      <c r="H23" s="13" t="s">
        <v>38</v>
      </c>
      <c r="I23" s="14">
        <v>65</v>
      </c>
      <c r="J23" s="10"/>
      <c r="L23" s="24" t="str">
        <f t="shared" si="0"/>
        <v/>
      </c>
      <c r="M23" s="26">
        <f>IF('Simulasi Premi 1 (Personal)'!$E$38="Menurun",'Spek Produk'!M81,'Spek Produk'!M139)</f>
        <v>0</v>
      </c>
      <c r="N23" s="26">
        <f>IF('Simulasi Premi 1 (Personal)'!$E$38="Menurun",'Spek Produk'!N81,'Spek Produk'!N139)</f>
        <v>0</v>
      </c>
      <c r="O23" s="26">
        <f>IF('Simulasi Premi 1 (Personal)'!$E$38="Menurun",'Spek Produk'!O81,'Spek Produk'!O139)</f>
        <v>0</v>
      </c>
      <c r="P23" s="26">
        <f>IF('Simulasi Premi 1 (Personal)'!$E$38="Menurun",'Spek Produk'!P81,'Spek Produk'!P139)</f>
        <v>0</v>
      </c>
      <c r="Q23" s="26">
        <f>IF('Simulasi Premi 1 (Personal)'!$E$38="Menurun",'Spek Produk'!Q81,'Spek Produk'!Q139)</f>
        <v>0</v>
      </c>
      <c r="R23" s="26">
        <f>IF('Simulasi Premi 1 (Personal)'!$E$38="Menurun",'Spek Produk'!R81,'Spek Produk'!R139)</f>
        <v>0</v>
      </c>
      <c r="S23" s="26">
        <f>IF('Simulasi Premi 1 (Personal)'!$E$38="Menurun",'Spek Produk'!S81,'Spek Produk'!S139)</f>
        <v>0</v>
      </c>
      <c r="T23" s="26">
        <f>IF('Simulasi Premi 1 (Personal)'!$E$38="Menurun",'Spek Produk'!T81,'Spek Produk'!T139)</f>
        <v>0</v>
      </c>
      <c r="U23" s="26">
        <f>IF('Simulasi Premi 1 (Personal)'!$E$38="Menurun",'Spek Produk'!U81,'Spek Produk'!U139)</f>
        <v>0</v>
      </c>
      <c r="V23" s="26">
        <f>IF('Simulasi Premi 1 (Personal)'!$E$38="Menurun",'Spek Produk'!V81,'Spek Produk'!V139)</f>
        <v>0</v>
      </c>
      <c r="W23" s="26">
        <f>IF('Simulasi Premi 1 (Personal)'!$E$38="Menurun",'Spek Produk'!W81,'Spek Produk'!W139)</f>
        <v>0</v>
      </c>
      <c r="X23" s="26">
        <f>IF('Simulasi Premi 1 (Personal)'!$E$38="Menurun",'Spek Produk'!X81,'Spek Produk'!X139)</f>
        <v>0</v>
      </c>
      <c r="Y23" s="26">
        <f>IF('Simulasi Premi 1 (Personal)'!$E$38="Menurun",'Spek Produk'!Y81,'Spek Produk'!Y139)</f>
        <v>0</v>
      </c>
      <c r="Z23" s="26">
        <f>IF('Simulasi Premi 1 (Personal)'!$E$38="Menurun",'Spek Produk'!Z81,'Spek Produk'!Z139)</f>
        <v>0</v>
      </c>
      <c r="AA23" s="26">
        <f>IF('Simulasi Premi 1 (Personal)'!$E$38="Menurun",'Spek Produk'!AA81,'Spek Produk'!AA139)</f>
        <v>0</v>
      </c>
      <c r="AB23" s="26">
        <f>IF('Simulasi Premi 1 (Personal)'!$E$38="Menurun",'Spek Produk'!AB81,'Spek Produk'!AB139)</f>
        <v>0</v>
      </c>
      <c r="AC23" s="26">
        <f>IF('Simulasi Premi 1 (Personal)'!$E$38="Menurun",'Spek Produk'!AC81,'Spek Produk'!AC139)</f>
        <v>0</v>
      </c>
      <c r="AD23" s="26">
        <f>IF('Simulasi Premi 1 (Personal)'!$E$38="Menurun",'Spek Produk'!AD81,'Spek Produk'!AD139)</f>
        <v>0</v>
      </c>
      <c r="AE23" s="26">
        <f>IF('Simulasi Premi 1 (Personal)'!$E$38="Menurun",'Spek Produk'!AE81,'Spek Produk'!AE139)</f>
        <v>0</v>
      </c>
      <c r="AF23" s="26">
        <f>IF('Simulasi Premi 1 (Personal)'!$E$38="Menurun",'Spek Produk'!AF81,'Spek Produk'!AF139)</f>
        <v>0</v>
      </c>
      <c r="AG23" s="26">
        <f>IF('Simulasi Premi 1 (Personal)'!$E$38="Menurun",'Spek Produk'!AG81,'Spek Produk'!AG139)</f>
        <v>0</v>
      </c>
      <c r="AH23" s="26">
        <f>IF('Simulasi Premi 1 (Personal)'!$E$38="Menurun",'Spek Produk'!AH81,'Spek Produk'!AH139)</f>
        <v>0</v>
      </c>
      <c r="AI23" s="26">
        <f>IF('Simulasi Premi 1 (Personal)'!$E$38="Menurun",'Spek Produk'!AI81,'Spek Produk'!AI139)</f>
        <v>0</v>
      </c>
      <c r="AJ23" s="26">
        <f>IF('Simulasi Premi 1 (Personal)'!$E$38="Menurun",'Spek Produk'!AJ81,'Spek Produk'!AJ139)</f>
        <v>0</v>
      </c>
      <c r="AK23" s="26">
        <f>IF('Simulasi Premi 1 (Personal)'!$E$38="Menurun",'Spek Produk'!AK81,'Spek Produk'!AK139)</f>
        <v>0</v>
      </c>
      <c r="AL23" s="26">
        <f>IF('Simulasi Premi 1 (Personal)'!$E$38="Menurun",'Spek Produk'!AL81,'Spek Produk'!AL139)</f>
        <v>0</v>
      </c>
      <c r="AM23" s="26">
        <f>IF('Simulasi Premi 1 (Personal)'!$E$38="Menurun",'Spek Produk'!AM81,'Spek Produk'!AM139)</f>
        <v>0</v>
      </c>
      <c r="AN23" s="26">
        <f>IF('Simulasi Premi 1 (Personal)'!$E$38="Menurun",'Spek Produk'!AN81,'Spek Produk'!AN139)</f>
        <v>0</v>
      </c>
      <c r="AO23" s="26">
        <f>IF('Simulasi Premi 1 (Personal)'!$E$38="Menurun",'Spek Produk'!AO81,'Spek Produk'!AO139)</f>
        <v>0</v>
      </c>
      <c r="AP23" s="26">
        <f>IF('Simulasi Premi 1 (Personal)'!$E$38="Menurun",'Spek Produk'!AP81,'Spek Produk'!AP139)</f>
        <v>0</v>
      </c>
      <c r="AR23" s="29" t="s">
        <v>50</v>
      </c>
      <c r="AS23" s="30" t="s">
        <v>53</v>
      </c>
    </row>
    <row r="24" spans="2:45" x14ac:dyDescent="0.25">
      <c r="B24" s="7"/>
      <c r="C24" s="12" t="s">
        <v>40</v>
      </c>
      <c r="D24" s="12"/>
      <c r="E24" s="11" t="s">
        <v>23</v>
      </c>
      <c r="F24" s="122" t="s">
        <v>41</v>
      </c>
      <c r="G24" s="123"/>
      <c r="H24" s="15">
        <v>75</v>
      </c>
      <c r="I24" s="16"/>
      <c r="J24" s="17"/>
      <c r="L24" s="24" t="str">
        <f t="shared" si="0"/>
        <v/>
      </c>
      <c r="M24" s="26">
        <f>IF('Simulasi Premi 1 (Personal)'!$E$38="Menurun",'Spek Produk'!M82,'Spek Produk'!M140)</f>
        <v>0</v>
      </c>
      <c r="N24" s="26">
        <f>IF('Simulasi Premi 1 (Personal)'!$E$38="Menurun",'Spek Produk'!N82,'Spek Produk'!N140)</f>
        <v>0</v>
      </c>
      <c r="O24" s="26">
        <f>IF('Simulasi Premi 1 (Personal)'!$E$38="Menurun",'Spek Produk'!O82,'Spek Produk'!O140)</f>
        <v>0</v>
      </c>
      <c r="P24" s="26">
        <f>IF('Simulasi Premi 1 (Personal)'!$E$38="Menurun",'Spek Produk'!P82,'Spek Produk'!P140)</f>
        <v>0</v>
      </c>
      <c r="Q24" s="26">
        <f>IF('Simulasi Premi 1 (Personal)'!$E$38="Menurun",'Spek Produk'!Q82,'Spek Produk'!Q140)</f>
        <v>0</v>
      </c>
      <c r="R24" s="26">
        <f>IF('Simulasi Premi 1 (Personal)'!$E$38="Menurun",'Spek Produk'!R82,'Spek Produk'!R140)</f>
        <v>0</v>
      </c>
      <c r="S24" s="26">
        <f>IF('Simulasi Premi 1 (Personal)'!$E$38="Menurun",'Spek Produk'!S82,'Spek Produk'!S140)</f>
        <v>0</v>
      </c>
      <c r="T24" s="26">
        <f>IF('Simulasi Premi 1 (Personal)'!$E$38="Menurun",'Spek Produk'!T82,'Spek Produk'!T140)</f>
        <v>0</v>
      </c>
      <c r="U24" s="26">
        <f>IF('Simulasi Premi 1 (Personal)'!$E$38="Menurun",'Spek Produk'!U82,'Spek Produk'!U140)</f>
        <v>0</v>
      </c>
      <c r="V24" s="26">
        <f>IF('Simulasi Premi 1 (Personal)'!$E$38="Menurun",'Spek Produk'!V82,'Spek Produk'!V140)</f>
        <v>0</v>
      </c>
      <c r="W24" s="26">
        <f>IF('Simulasi Premi 1 (Personal)'!$E$38="Menurun",'Spek Produk'!W82,'Spek Produk'!W140)</f>
        <v>0</v>
      </c>
      <c r="X24" s="26">
        <f>IF('Simulasi Premi 1 (Personal)'!$E$38="Menurun",'Spek Produk'!X82,'Spek Produk'!X140)</f>
        <v>0</v>
      </c>
      <c r="Y24" s="26">
        <f>IF('Simulasi Premi 1 (Personal)'!$E$38="Menurun",'Spek Produk'!Y82,'Spek Produk'!Y140)</f>
        <v>0</v>
      </c>
      <c r="Z24" s="26">
        <f>IF('Simulasi Premi 1 (Personal)'!$E$38="Menurun",'Spek Produk'!Z82,'Spek Produk'!Z140)</f>
        <v>0</v>
      </c>
      <c r="AA24" s="26">
        <f>IF('Simulasi Premi 1 (Personal)'!$E$38="Menurun",'Spek Produk'!AA82,'Spek Produk'!AA140)</f>
        <v>0</v>
      </c>
      <c r="AB24" s="26">
        <f>IF('Simulasi Premi 1 (Personal)'!$E$38="Menurun",'Spek Produk'!AB82,'Spek Produk'!AB140)</f>
        <v>0</v>
      </c>
      <c r="AC24" s="26">
        <f>IF('Simulasi Premi 1 (Personal)'!$E$38="Menurun",'Spek Produk'!AC82,'Spek Produk'!AC140)</f>
        <v>0</v>
      </c>
      <c r="AD24" s="26">
        <f>IF('Simulasi Premi 1 (Personal)'!$E$38="Menurun",'Spek Produk'!AD82,'Spek Produk'!AD140)</f>
        <v>0</v>
      </c>
      <c r="AE24" s="26">
        <f>IF('Simulasi Premi 1 (Personal)'!$E$38="Menurun",'Spek Produk'!AE82,'Spek Produk'!AE140)</f>
        <v>0</v>
      </c>
      <c r="AF24" s="26">
        <f>IF('Simulasi Premi 1 (Personal)'!$E$38="Menurun",'Spek Produk'!AF82,'Spek Produk'!AF140)</f>
        <v>0</v>
      </c>
      <c r="AG24" s="26">
        <f>IF('Simulasi Premi 1 (Personal)'!$E$38="Menurun",'Spek Produk'!AG82,'Spek Produk'!AG140)</f>
        <v>0</v>
      </c>
      <c r="AH24" s="26">
        <f>IF('Simulasi Premi 1 (Personal)'!$E$38="Menurun",'Spek Produk'!AH82,'Spek Produk'!AH140)</f>
        <v>0</v>
      </c>
      <c r="AI24" s="26">
        <f>IF('Simulasi Premi 1 (Personal)'!$E$38="Menurun",'Spek Produk'!AI82,'Spek Produk'!AI140)</f>
        <v>0</v>
      </c>
      <c r="AJ24" s="26">
        <f>IF('Simulasi Premi 1 (Personal)'!$E$38="Menurun",'Spek Produk'!AJ82,'Spek Produk'!AJ140)</f>
        <v>0</v>
      </c>
      <c r="AK24" s="26">
        <f>IF('Simulasi Premi 1 (Personal)'!$E$38="Menurun",'Spek Produk'!AK82,'Spek Produk'!AK140)</f>
        <v>0</v>
      </c>
      <c r="AL24" s="26">
        <f>IF('Simulasi Premi 1 (Personal)'!$E$38="Menurun",'Spek Produk'!AL82,'Spek Produk'!AL140)</f>
        <v>0</v>
      </c>
      <c r="AM24" s="26">
        <f>IF('Simulasi Premi 1 (Personal)'!$E$38="Menurun",'Spek Produk'!AM82,'Spek Produk'!AM140)</f>
        <v>0</v>
      </c>
      <c r="AN24" s="26">
        <f>IF('Simulasi Premi 1 (Personal)'!$E$38="Menurun",'Spek Produk'!AN82,'Spek Produk'!AN140)</f>
        <v>0</v>
      </c>
      <c r="AO24" s="26">
        <f>IF('Simulasi Premi 1 (Personal)'!$E$38="Menurun",'Spek Produk'!AO82,'Spek Produk'!AO140)</f>
        <v>0</v>
      </c>
      <c r="AP24" s="26">
        <f>IF('Simulasi Premi 1 (Personal)'!$E$38="Menurun",'Spek Produk'!AP82,'Spek Produk'!AP140)</f>
        <v>0</v>
      </c>
    </row>
    <row r="25" spans="2:45" x14ac:dyDescent="0.25">
      <c r="B25" s="18"/>
      <c r="C25" s="19"/>
      <c r="D25" s="19"/>
      <c r="E25" s="20"/>
      <c r="F25" s="20"/>
      <c r="G25" s="20"/>
      <c r="H25" s="21"/>
      <c r="I25" s="21"/>
      <c r="J25" s="22"/>
      <c r="L25" s="24" t="str">
        <f t="shared" si="0"/>
        <v/>
      </c>
      <c r="M25" s="26">
        <f>IF('Simulasi Premi 1 (Personal)'!$E$38="Menurun",'Spek Produk'!M83,'Spek Produk'!M141)</f>
        <v>0</v>
      </c>
      <c r="N25" s="26">
        <f>IF('Simulasi Premi 1 (Personal)'!$E$38="Menurun",'Spek Produk'!N83,'Spek Produk'!N141)</f>
        <v>0</v>
      </c>
      <c r="O25" s="26">
        <f>IF('Simulasi Premi 1 (Personal)'!$E$38="Menurun",'Spek Produk'!O83,'Spek Produk'!O141)</f>
        <v>0</v>
      </c>
      <c r="P25" s="26">
        <f>IF('Simulasi Premi 1 (Personal)'!$E$38="Menurun",'Spek Produk'!P83,'Spek Produk'!P141)</f>
        <v>0</v>
      </c>
      <c r="Q25" s="26">
        <f>IF('Simulasi Premi 1 (Personal)'!$E$38="Menurun",'Spek Produk'!Q83,'Spek Produk'!Q141)</f>
        <v>0</v>
      </c>
      <c r="R25" s="26">
        <f>IF('Simulasi Premi 1 (Personal)'!$E$38="Menurun",'Spek Produk'!R83,'Spek Produk'!R141)</f>
        <v>0</v>
      </c>
      <c r="S25" s="26">
        <f>IF('Simulasi Premi 1 (Personal)'!$E$38="Menurun",'Spek Produk'!S83,'Spek Produk'!S141)</f>
        <v>0</v>
      </c>
      <c r="T25" s="26">
        <f>IF('Simulasi Premi 1 (Personal)'!$E$38="Menurun",'Spek Produk'!T83,'Spek Produk'!T141)</f>
        <v>0</v>
      </c>
      <c r="U25" s="26">
        <f>IF('Simulasi Premi 1 (Personal)'!$E$38="Menurun",'Spek Produk'!U83,'Spek Produk'!U141)</f>
        <v>0</v>
      </c>
      <c r="V25" s="26">
        <f>IF('Simulasi Premi 1 (Personal)'!$E$38="Menurun",'Spek Produk'!V83,'Spek Produk'!V141)</f>
        <v>0</v>
      </c>
      <c r="W25" s="26">
        <f>IF('Simulasi Premi 1 (Personal)'!$E$38="Menurun",'Spek Produk'!W83,'Spek Produk'!W141)</f>
        <v>0</v>
      </c>
      <c r="X25" s="26">
        <f>IF('Simulasi Premi 1 (Personal)'!$E$38="Menurun",'Spek Produk'!X83,'Spek Produk'!X141)</f>
        <v>0</v>
      </c>
      <c r="Y25" s="26">
        <f>IF('Simulasi Premi 1 (Personal)'!$E$38="Menurun",'Spek Produk'!Y83,'Spek Produk'!Y141)</f>
        <v>0</v>
      </c>
      <c r="Z25" s="26">
        <f>IF('Simulasi Premi 1 (Personal)'!$E$38="Menurun",'Spek Produk'!Z83,'Spek Produk'!Z141)</f>
        <v>0</v>
      </c>
      <c r="AA25" s="26">
        <f>IF('Simulasi Premi 1 (Personal)'!$E$38="Menurun",'Spek Produk'!AA83,'Spek Produk'!AA141)</f>
        <v>0</v>
      </c>
      <c r="AB25" s="26">
        <f>IF('Simulasi Premi 1 (Personal)'!$E$38="Menurun",'Spek Produk'!AB83,'Spek Produk'!AB141)</f>
        <v>0</v>
      </c>
      <c r="AC25" s="26">
        <f>IF('Simulasi Premi 1 (Personal)'!$E$38="Menurun",'Spek Produk'!AC83,'Spek Produk'!AC141)</f>
        <v>0</v>
      </c>
      <c r="AD25" s="26">
        <f>IF('Simulasi Premi 1 (Personal)'!$E$38="Menurun",'Spek Produk'!AD83,'Spek Produk'!AD141)</f>
        <v>0</v>
      </c>
      <c r="AE25" s="26">
        <f>IF('Simulasi Premi 1 (Personal)'!$E$38="Menurun",'Spek Produk'!AE83,'Spek Produk'!AE141)</f>
        <v>0</v>
      </c>
      <c r="AF25" s="26">
        <f>IF('Simulasi Premi 1 (Personal)'!$E$38="Menurun",'Spek Produk'!AF83,'Spek Produk'!AF141)</f>
        <v>0</v>
      </c>
      <c r="AG25" s="26">
        <f>IF('Simulasi Premi 1 (Personal)'!$E$38="Menurun",'Spek Produk'!AG83,'Spek Produk'!AG141)</f>
        <v>0</v>
      </c>
      <c r="AH25" s="26">
        <f>IF('Simulasi Premi 1 (Personal)'!$E$38="Menurun",'Spek Produk'!AH83,'Spek Produk'!AH141)</f>
        <v>0</v>
      </c>
      <c r="AI25" s="26">
        <f>IF('Simulasi Premi 1 (Personal)'!$E$38="Menurun",'Spek Produk'!AI83,'Spek Produk'!AI141)</f>
        <v>0</v>
      </c>
      <c r="AJ25" s="26">
        <f>IF('Simulasi Premi 1 (Personal)'!$E$38="Menurun",'Spek Produk'!AJ83,'Spek Produk'!AJ141)</f>
        <v>0</v>
      </c>
      <c r="AK25" s="26">
        <f>IF('Simulasi Premi 1 (Personal)'!$E$38="Menurun",'Spek Produk'!AK83,'Spek Produk'!AK141)</f>
        <v>0</v>
      </c>
      <c r="AL25" s="26">
        <f>IF('Simulasi Premi 1 (Personal)'!$E$38="Menurun",'Spek Produk'!AL83,'Spek Produk'!AL141)</f>
        <v>0</v>
      </c>
      <c r="AM25" s="26">
        <f>IF('Simulasi Premi 1 (Personal)'!$E$38="Menurun",'Spek Produk'!AM83,'Spek Produk'!AM141)</f>
        <v>0</v>
      </c>
      <c r="AN25" s="26">
        <f>IF('Simulasi Premi 1 (Personal)'!$E$38="Menurun",'Spek Produk'!AN83,'Spek Produk'!AN141)</f>
        <v>0</v>
      </c>
      <c r="AO25" s="26">
        <f>IF('Simulasi Premi 1 (Personal)'!$E$38="Menurun",'Spek Produk'!AO83,'Spek Produk'!AO141)</f>
        <v>0</v>
      </c>
      <c r="AP25" s="26">
        <f>IF('Simulasi Premi 1 (Personal)'!$E$38="Menurun",'Spek Produk'!AP83,'Spek Produk'!AP141)</f>
        <v>0</v>
      </c>
      <c r="AR25">
        <v>0</v>
      </c>
    </row>
    <row r="26" spans="2:45" x14ac:dyDescent="0.25">
      <c r="L26" s="24" t="str">
        <f t="shared" si="0"/>
        <v/>
      </c>
      <c r="M26" s="26">
        <f>IF('Simulasi Premi 1 (Personal)'!$E$38="Menurun",'Spek Produk'!M84,'Spek Produk'!M142)</f>
        <v>0</v>
      </c>
      <c r="N26" s="26">
        <f>IF('Simulasi Premi 1 (Personal)'!$E$38="Menurun",'Spek Produk'!N84,'Spek Produk'!N142)</f>
        <v>0</v>
      </c>
      <c r="O26" s="26">
        <f>IF('Simulasi Premi 1 (Personal)'!$E$38="Menurun",'Spek Produk'!O84,'Spek Produk'!O142)</f>
        <v>0</v>
      </c>
      <c r="P26" s="26">
        <f>IF('Simulasi Premi 1 (Personal)'!$E$38="Menurun",'Spek Produk'!P84,'Spek Produk'!P142)</f>
        <v>0</v>
      </c>
      <c r="Q26" s="26">
        <f>IF('Simulasi Premi 1 (Personal)'!$E$38="Menurun",'Spek Produk'!Q84,'Spek Produk'!Q142)</f>
        <v>0</v>
      </c>
      <c r="R26" s="26">
        <f>IF('Simulasi Premi 1 (Personal)'!$E$38="Menurun",'Spek Produk'!R84,'Spek Produk'!R142)</f>
        <v>0</v>
      </c>
      <c r="S26" s="26">
        <f>IF('Simulasi Premi 1 (Personal)'!$E$38="Menurun",'Spek Produk'!S84,'Spek Produk'!S142)</f>
        <v>0</v>
      </c>
      <c r="T26" s="26">
        <f>IF('Simulasi Premi 1 (Personal)'!$E$38="Menurun",'Spek Produk'!T84,'Spek Produk'!T142)</f>
        <v>0</v>
      </c>
      <c r="U26" s="26">
        <f>IF('Simulasi Premi 1 (Personal)'!$E$38="Menurun",'Spek Produk'!U84,'Spek Produk'!U142)</f>
        <v>0</v>
      </c>
      <c r="V26" s="26">
        <f>IF('Simulasi Premi 1 (Personal)'!$E$38="Menurun",'Spek Produk'!V84,'Spek Produk'!V142)</f>
        <v>0</v>
      </c>
      <c r="W26" s="26">
        <f>IF('Simulasi Premi 1 (Personal)'!$E$38="Menurun",'Spek Produk'!W84,'Spek Produk'!W142)</f>
        <v>0</v>
      </c>
      <c r="X26" s="26">
        <f>IF('Simulasi Premi 1 (Personal)'!$E$38="Menurun",'Spek Produk'!X84,'Spek Produk'!X142)</f>
        <v>0</v>
      </c>
      <c r="Y26" s="26">
        <f>IF('Simulasi Premi 1 (Personal)'!$E$38="Menurun",'Spek Produk'!Y84,'Spek Produk'!Y142)</f>
        <v>0</v>
      </c>
      <c r="Z26" s="26">
        <f>IF('Simulasi Premi 1 (Personal)'!$E$38="Menurun",'Spek Produk'!Z84,'Spek Produk'!Z142)</f>
        <v>0</v>
      </c>
      <c r="AA26" s="26">
        <f>IF('Simulasi Premi 1 (Personal)'!$E$38="Menurun",'Spek Produk'!AA84,'Spek Produk'!AA142)</f>
        <v>0</v>
      </c>
      <c r="AB26" s="26">
        <f>IF('Simulasi Premi 1 (Personal)'!$E$38="Menurun",'Spek Produk'!AB84,'Spek Produk'!AB142)</f>
        <v>0</v>
      </c>
      <c r="AC26" s="26">
        <f>IF('Simulasi Premi 1 (Personal)'!$E$38="Menurun",'Spek Produk'!AC84,'Spek Produk'!AC142)</f>
        <v>0</v>
      </c>
      <c r="AD26" s="26">
        <f>IF('Simulasi Premi 1 (Personal)'!$E$38="Menurun",'Spek Produk'!AD84,'Spek Produk'!AD142)</f>
        <v>0</v>
      </c>
      <c r="AE26" s="26">
        <f>IF('Simulasi Premi 1 (Personal)'!$E$38="Menurun",'Spek Produk'!AE84,'Spek Produk'!AE142)</f>
        <v>0</v>
      </c>
      <c r="AF26" s="26">
        <f>IF('Simulasi Premi 1 (Personal)'!$E$38="Menurun",'Spek Produk'!AF84,'Spek Produk'!AF142)</f>
        <v>0</v>
      </c>
      <c r="AG26" s="26">
        <f>IF('Simulasi Premi 1 (Personal)'!$E$38="Menurun",'Spek Produk'!AG84,'Spek Produk'!AG142)</f>
        <v>0</v>
      </c>
      <c r="AH26" s="26">
        <f>IF('Simulasi Premi 1 (Personal)'!$E$38="Menurun",'Spek Produk'!AH84,'Spek Produk'!AH142)</f>
        <v>0</v>
      </c>
      <c r="AI26" s="26">
        <f>IF('Simulasi Premi 1 (Personal)'!$E$38="Menurun",'Spek Produk'!AI84,'Spek Produk'!AI142)</f>
        <v>0</v>
      </c>
      <c r="AJ26" s="26">
        <f>IF('Simulasi Premi 1 (Personal)'!$E$38="Menurun",'Spek Produk'!AJ84,'Spek Produk'!AJ142)</f>
        <v>0</v>
      </c>
      <c r="AK26" s="26">
        <f>IF('Simulasi Premi 1 (Personal)'!$E$38="Menurun",'Spek Produk'!AK84,'Spek Produk'!AK142)</f>
        <v>0</v>
      </c>
      <c r="AL26" s="26">
        <f>IF('Simulasi Premi 1 (Personal)'!$E$38="Menurun",'Spek Produk'!AL84,'Spek Produk'!AL142)</f>
        <v>0</v>
      </c>
      <c r="AM26" s="26">
        <f>IF('Simulasi Premi 1 (Personal)'!$E$38="Menurun",'Spek Produk'!AM84,'Spek Produk'!AM142)</f>
        <v>0</v>
      </c>
      <c r="AN26" s="26">
        <f>IF('Simulasi Premi 1 (Personal)'!$E$38="Menurun",'Spek Produk'!AN84,'Spek Produk'!AN142)</f>
        <v>0</v>
      </c>
      <c r="AO26" s="26">
        <f>IF('Simulasi Premi 1 (Personal)'!$E$38="Menurun",'Spek Produk'!AO84,'Spek Produk'!AO142)</f>
        <v>0</v>
      </c>
      <c r="AP26" s="26">
        <f>IF('Simulasi Premi 1 (Personal)'!$E$38="Menurun",'Spek Produk'!AP84,'Spek Produk'!AP142)</f>
        <v>0</v>
      </c>
      <c r="AR26">
        <v>1</v>
      </c>
    </row>
    <row r="27" spans="2:45" x14ac:dyDescent="0.25">
      <c r="B27" s="4"/>
      <c r="C27" s="5"/>
      <c r="D27" s="5"/>
      <c r="E27" s="5"/>
      <c r="F27" s="5"/>
      <c r="G27" s="5"/>
      <c r="H27" s="5"/>
      <c r="I27" s="5"/>
      <c r="J27" s="6"/>
      <c r="L27" s="24" t="str">
        <f t="shared" si="0"/>
        <v/>
      </c>
      <c r="M27" s="26">
        <f>IF('Simulasi Premi 1 (Personal)'!$E$38="Menurun",'Spek Produk'!M85,'Spek Produk'!M143)</f>
        <v>0</v>
      </c>
      <c r="N27" s="26">
        <f>IF('Simulasi Premi 1 (Personal)'!$E$38="Menurun",'Spek Produk'!N85,'Spek Produk'!N143)</f>
        <v>0</v>
      </c>
      <c r="O27" s="26">
        <f>IF('Simulasi Premi 1 (Personal)'!$E$38="Menurun",'Spek Produk'!O85,'Spek Produk'!O143)</f>
        <v>0</v>
      </c>
      <c r="P27" s="26">
        <f>IF('Simulasi Premi 1 (Personal)'!$E$38="Menurun",'Spek Produk'!P85,'Spek Produk'!P143)</f>
        <v>0</v>
      </c>
      <c r="Q27" s="26">
        <f>IF('Simulasi Premi 1 (Personal)'!$E$38="Menurun",'Spek Produk'!Q85,'Spek Produk'!Q143)</f>
        <v>0</v>
      </c>
      <c r="R27" s="26">
        <f>IF('Simulasi Premi 1 (Personal)'!$E$38="Menurun",'Spek Produk'!R85,'Spek Produk'!R143)</f>
        <v>0</v>
      </c>
      <c r="S27" s="26">
        <f>IF('Simulasi Premi 1 (Personal)'!$E$38="Menurun",'Spek Produk'!S85,'Spek Produk'!S143)</f>
        <v>0</v>
      </c>
      <c r="T27" s="26">
        <f>IF('Simulasi Premi 1 (Personal)'!$E$38="Menurun",'Spek Produk'!T85,'Spek Produk'!T143)</f>
        <v>0</v>
      </c>
      <c r="U27" s="26">
        <f>IF('Simulasi Premi 1 (Personal)'!$E$38="Menurun",'Spek Produk'!U85,'Spek Produk'!U143)</f>
        <v>0</v>
      </c>
      <c r="V27" s="26">
        <f>IF('Simulasi Premi 1 (Personal)'!$E$38="Menurun",'Spek Produk'!V85,'Spek Produk'!V143)</f>
        <v>0</v>
      </c>
      <c r="W27" s="26">
        <f>IF('Simulasi Premi 1 (Personal)'!$E$38="Menurun",'Spek Produk'!W85,'Spek Produk'!W143)</f>
        <v>0</v>
      </c>
      <c r="X27" s="26">
        <f>IF('Simulasi Premi 1 (Personal)'!$E$38="Menurun",'Spek Produk'!X85,'Spek Produk'!X143)</f>
        <v>0</v>
      </c>
      <c r="Y27" s="26">
        <f>IF('Simulasi Premi 1 (Personal)'!$E$38="Menurun",'Spek Produk'!Y85,'Spek Produk'!Y143)</f>
        <v>0</v>
      </c>
      <c r="Z27" s="26">
        <f>IF('Simulasi Premi 1 (Personal)'!$E$38="Menurun",'Spek Produk'!Z85,'Spek Produk'!Z143)</f>
        <v>0</v>
      </c>
      <c r="AA27" s="26">
        <f>IF('Simulasi Premi 1 (Personal)'!$E$38="Menurun",'Spek Produk'!AA85,'Spek Produk'!AA143)</f>
        <v>0</v>
      </c>
      <c r="AB27" s="26">
        <f>IF('Simulasi Premi 1 (Personal)'!$E$38="Menurun",'Spek Produk'!AB85,'Spek Produk'!AB143)</f>
        <v>0</v>
      </c>
      <c r="AC27" s="26">
        <f>IF('Simulasi Premi 1 (Personal)'!$E$38="Menurun",'Spek Produk'!AC85,'Spek Produk'!AC143)</f>
        <v>0</v>
      </c>
      <c r="AD27" s="26">
        <f>IF('Simulasi Premi 1 (Personal)'!$E$38="Menurun",'Spek Produk'!AD85,'Spek Produk'!AD143)</f>
        <v>0</v>
      </c>
      <c r="AE27" s="26">
        <f>IF('Simulasi Premi 1 (Personal)'!$E$38="Menurun",'Spek Produk'!AE85,'Spek Produk'!AE143)</f>
        <v>0</v>
      </c>
      <c r="AF27" s="26">
        <f>IF('Simulasi Premi 1 (Personal)'!$E$38="Menurun",'Spek Produk'!AF85,'Spek Produk'!AF143)</f>
        <v>0</v>
      </c>
      <c r="AG27" s="26">
        <f>IF('Simulasi Premi 1 (Personal)'!$E$38="Menurun",'Spek Produk'!AG85,'Spek Produk'!AG143)</f>
        <v>0</v>
      </c>
      <c r="AH27" s="26">
        <f>IF('Simulasi Premi 1 (Personal)'!$E$38="Menurun",'Spek Produk'!AH85,'Spek Produk'!AH143)</f>
        <v>0</v>
      </c>
      <c r="AI27" s="26">
        <f>IF('Simulasi Premi 1 (Personal)'!$E$38="Menurun",'Spek Produk'!AI85,'Spek Produk'!AI143)</f>
        <v>0</v>
      </c>
      <c r="AJ27" s="26">
        <f>IF('Simulasi Premi 1 (Personal)'!$E$38="Menurun",'Spek Produk'!AJ85,'Spek Produk'!AJ143)</f>
        <v>0</v>
      </c>
      <c r="AK27" s="26">
        <f>IF('Simulasi Premi 1 (Personal)'!$E$38="Menurun",'Spek Produk'!AK85,'Spek Produk'!AK143)</f>
        <v>0</v>
      </c>
      <c r="AL27" s="26">
        <f>IF('Simulasi Premi 1 (Personal)'!$E$38="Menurun",'Spek Produk'!AL85,'Spek Produk'!AL143)</f>
        <v>0</v>
      </c>
      <c r="AM27" s="26">
        <f>IF('Simulasi Premi 1 (Personal)'!$E$38="Menurun",'Spek Produk'!AM85,'Spek Produk'!AM143)</f>
        <v>0</v>
      </c>
      <c r="AN27" s="26">
        <f>IF('Simulasi Premi 1 (Personal)'!$E$38="Menurun",'Spek Produk'!AN85,'Spek Produk'!AN143)</f>
        <v>0</v>
      </c>
      <c r="AO27" s="26">
        <f>IF('Simulasi Premi 1 (Personal)'!$E$38="Menurun",'Spek Produk'!AO85,'Spek Produk'!AO143)</f>
        <v>0</v>
      </c>
      <c r="AP27" s="26">
        <f>IF('Simulasi Premi 1 (Personal)'!$E$38="Menurun",'Spek Produk'!AP85,'Spek Produk'!AP143)</f>
        <v>0</v>
      </c>
      <c r="AR27">
        <v>2</v>
      </c>
    </row>
    <row r="28" spans="2:45" x14ac:dyDescent="0.25">
      <c r="B28" s="7"/>
      <c r="C28" s="8" t="s">
        <v>90</v>
      </c>
      <c r="D28" s="9"/>
      <c r="E28" s="9"/>
      <c r="F28" s="9"/>
      <c r="G28" s="9"/>
      <c r="H28" s="9"/>
      <c r="I28" s="9"/>
      <c r="J28" s="10"/>
      <c r="L28" s="24" t="str">
        <f t="shared" si="0"/>
        <v/>
      </c>
      <c r="M28" s="26">
        <f>IF('Simulasi Premi 1 (Personal)'!$E$38="Menurun",'Spek Produk'!M86,'Spek Produk'!M144)</f>
        <v>0</v>
      </c>
      <c r="N28" s="26">
        <f>IF('Simulasi Premi 1 (Personal)'!$E$38="Menurun",'Spek Produk'!N86,'Spek Produk'!N144)</f>
        <v>0</v>
      </c>
      <c r="O28" s="26">
        <f>IF('Simulasi Premi 1 (Personal)'!$E$38="Menurun",'Spek Produk'!O86,'Spek Produk'!O144)</f>
        <v>0</v>
      </c>
      <c r="P28" s="26">
        <f>IF('Simulasi Premi 1 (Personal)'!$E$38="Menurun",'Spek Produk'!P86,'Spek Produk'!P144)</f>
        <v>0</v>
      </c>
      <c r="Q28" s="26">
        <f>IF('Simulasi Premi 1 (Personal)'!$E$38="Menurun",'Spek Produk'!Q86,'Spek Produk'!Q144)</f>
        <v>0</v>
      </c>
      <c r="R28" s="26">
        <f>IF('Simulasi Premi 1 (Personal)'!$E$38="Menurun",'Spek Produk'!R86,'Spek Produk'!R144)</f>
        <v>0</v>
      </c>
      <c r="S28" s="26">
        <f>IF('Simulasi Premi 1 (Personal)'!$E$38="Menurun",'Spek Produk'!S86,'Spek Produk'!S144)</f>
        <v>0</v>
      </c>
      <c r="T28" s="26">
        <f>IF('Simulasi Premi 1 (Personal)'!$E$38="Menurun",'Spek Produk'!T86,'Spek Produk'!T144)</f>
        <v>0</v>
      </c>
      <c r="U28" s="26">
        <f>IF('Simulasi Premi 1 (Personal)'!$E$38="Menurun",'Spek Produk'!U86,'Spek Produk'!U144)</f>
        <v>0</v>
      </c>
      <c r="V28" s="26">
        <f>IF('Simulasi Premi 1 (Personal)'!$E$38="Menurun",'Spek Produk'!V86,'Spek Produk'!V144)</f>
        <v>0</v>
      </c>
      <c r="W28" s="26">
        <f>IF('Simulasi Premi 1 (Personal)'!$E$38="Menurun",'Spek Produk'!W86,'Spek Produk'!W144)</f>
        <v>0</v>
      </c>
      <c r="X28" s="26">
        <f>IF('Simulasi Premi 1 (Personal)'!$E$38="Menurun",'Spek Produk'!X86,'Spek Produk'!X144)</f>
        <v>0</v>
      </c>
      <c r="Y28" s="26">
        <f>IF('Simulasi Premi 1 (Personal)'!$E$38="Menurun",'Spek Produk'!Y86,'Spek Produk'!Y144)</f>
        <v>0</v>
      </c>
      <c r="Z28" s="26">
        <f>IF('Simulasi Premi 1 (Personal)'!$E$38="Menurun",'Spek Produk'!Z86,'Spek Produk'!Z144)</f>
        <v>0</v>
      </c>
      <c r="AA28" s="26">
        <f>IF('Simulasi Premi 1 (Personal)'!$E$38="Menurun",'Spek Produk'!AA86,'Spek Produk'!AA144)</f>
        <v>0</v>
      </c>
      <c r="AB28" s="26">
        <f>IF('Simulasi Premi 1 (Personal)'!$E$38="Menurun",'Spek Produk'!AB86,'Spek Produk'!AB144)</f>
        <v>0</v>
      </c>
      <c r="AC28" s="26">
        <f>IF('Simulasi Premi 1 (Personal)'!$E$38="Menurun",'Spek Produk'!AC86,'Spek Produk'!AC144)</f>
        <v>0</v>
      </c>
      <c r="AD28" s="26">
        <f>IF('Simulasi Premi 1 (Personal)'!$E$38="Menurun",'Spek Produk'!AD86,'Spek Produk'!AD144)</f>
        <v>0</v>
      </c>
      <c r="AE28" s="26">
        <f>IF('Simulasi Premi 1 (Personal)'!$E$38="Menurun",'Spek Produk'!AE86,'Spek Produk'!AE144)</f>
        <v>0</v>
      </c>
      <c r="AF28" s="26">
        <f>IF('Simulasi Premi 1 (Personal)'!$E$38="Menurun",'Spek Produk'!AF86,'Spek Produk'!AF144)</f>
        <v>0</v>
      </c>
      <c r="AG28" s="26">
        <f>IF('Simulasi Premi 1 (Personal)'!$E$38="Menurun",'Spek Produk'!AG86,'Spek Produk'!AG144)</f>
        <v>0</v>
      </c>
      <c r="AH28" s="26">
        <f>IF('Simulasi Premi 1 (Personal)'!$E$38="Menurun",'Spek Produk'!AH86,'Spek Produk'!AH144)</f>
        <v>0</v>
      </c>
      <c r="AI28" s="26">
        <f>IF('Simulasi Premi 1 (Personal)'!$E$38="Menurun",'Spek Produk'!AI86,'Spek Produk'!AI144)</f>
        <v>0</v>
      </c>
      <c r="AJ28" s="26">
        <f>IF('Simulasi Premi 1 (Personal)'!$E$38="Menurun",'Spek Produk'!AJ86,'Spek Produk'!AJ144)</f>
        <v>0</v>
      </c>
      <c r="AK28" s="26">
        <f>IF('Simulasi Premi 1 (Personal)'!$E$38="Menurun",'Spek Produk'!AK86,'Spek Produk'!AK144)</f>
        <v>0</v>
      </c>
      <c r="AL28" s="26">
        <f>IF('Simulasi Premi 1 (Personal)'!$E$38="Menurun",'Spek Produk'!AL86,'Spek Produk'!AL144)</f>
        <v>0</v>
      </c>
      <c r="AM28" s="26">
        <f>IF('Simulasi Premi 1 (Personal)'!$E$38="Menurun",'Spek Produk'!AM86,'Spek Produk'!AM144)</f>
        <v>0</v>
      </c>
      <c r="AN28" s="26">
        <f>IF('Simulasi Premi 1 (Personal)'!$E$38="Menurun",'Spek Produk'!AN86,'Spek Produk'!AN144)</f>
        <v>0</v>
      </c>
      <c r="AO28" s="26">
        <f>IF('Simulasi Premi 1 (Personal)'!$E$38="Menurun",'Spek Produk'!AO86,'Spek Produk'!AO144)</f>
        <v>0</v>
      </c>
      <c r="AP28" s="26">
        <f>IF('Simulasi Premi 1 (Personal)'!$E$38="Menurun",'Spek Produk'!AP86,'Spek Produk'!AP144)</f>
        <v>0</v>
      </c>
      <c r="AR28">
        <v>3</v>
      </c>
    </row>
    <row r="29" spans="2:45" x14ac:dyDescent="0.25">
      <c r="B29" s="7"/>
      <c r="C29" s="8"/>
      <c r="D29" s="9"/>
      <c r="E29" s="9"/>
      <c r="F29" s="9"/>
      <c r="G29" s="9"/>
      <c r="H29" s="9"/>
      <c r="I29" s="9"/>
      <c r="J29" s="10"/>
      <c r="L29" s="24" t="str">
        <f t="shared" si="0"/>
        <v/>
      </c>
      <c r="M29" s="26">
        <f>IF('Simulasi Premi 1 (Personal)'!$E$38="Menurun",'Spek Produk'!M87,'Spek Produk'!M145)</f>
        <v>0</v>
      </c>
      <c r="N29" s="26">
        <f>IF('Simulasi Premi 1 (Personal)'!$E$38="Menurun",'Spek Produk'!N87,'Spek Produk'!N145)</f>
        <v>0</v>
      </c>
      <c r="O29" s="26">
        <f>IF('Simulasi Premi 1 (Personal)'!$E$38="Menurun",'Spek Produk'!O87,'Spek Produk'!O145)</f>
        <v>0</v>
      </c>
      <c r="P29" s="26">
        <f>IF('Simulasi Premi 1 (Personal)'!$E$38="Menurun",'Spek Produk'!P87,'Spek Produk'!P145)</f>
        <v>0</v>
      </c>
      <c r="Q29" s="26">
        <f>IF('Simulasi Premi 1 (Personal)'!$E$38="Menurun",'Spek Produk'!Q87,'Spek Produk'!Q145)</f>
        <v>0</v>
      </c>
      <c r="R29" s="26">
        <f>IF('Simulasi Premi 1 (Personal)'!$E$38="Menurun",'Spek Produk'!R87,'Spek Produk'!R145)</f>
        <v>0</v>
      </c>
      <c r="S29" s="26">
        <f>IF('Simulasi Premi 1 (Personal)'!$E$38="Menurun",'Spek Produk'!S87,'Spek Produk'!S145)</f>
        <v>0</v>
      </c>
      <c r="T29" s="26">
        <f>IF('Simulasi Premi 1 (Personal)'!$E$38="Menurun",'Spek Produk'!T87,'Spek Produk'!T145)</f>
        <v>0</v>
      </c>
      <c r="U29" s="26">
        <f>IF('Simulasi Premi 1 (Personal)'!$E$38="Menurun",'Spek Produk'!U87,'Spek Produk'!U145)</f>
        <v>0</v>
      </c>
      <c r="V29" s="26">
        <f>IF('Simulasi Premi 1 (Personal)'!$E$38="Menurun",'Spek Produk'!V87,'Spek Produk'!V145)</f>
        <v>0</v>
      </c>
      <c r="W29" s="26">
        <f>IF('Simulasi Premi 1 (Personal)'!$E$38="Menurun",'Spek Produk'!W87,'Spek Produk'!W145)</f>
        <v>0</v>
      </c>
      <c r="X29" s="26">
        <f>IF('Simulasi Premi 1 (Personal)'!$E$38="Menurun",'Spek Produk'!X87,'Spek Produk'!X145)</f>
        <v>0</v>
      </c>
      <c r="Y29" s="26">
        <f>IF('Simulasi Premi 1 (Personal)'!$E$38="Menurun",'Spek Produk'!Y87,'Spek Produk'!Y145)</f>
        <v>0</v>
      </c>
      <c r="Z29" s="26">
        <f>IF('Simulasi Premi 1 (Personal)'!$E$38="Menurun",'Spek Produk'!Z87,'Spek Produk'!Z145)</f>
        <v>0</v>
      </c>
      <c r="AA29" s="26">
        <f>IF('Simulasi Premi 1 (Personal)'!$E$38="Menurun",'Spek Produk'!AA87,'Spek Produk'!AA145)</f>
        <v>0</v>
      </c>
      <c r="AB29" s="26">
        <f>IF('Simulasi Premi 1 (Personal)'!$E$38="Menurun",'Spek Produk'!AB87,'Spek Produk'!AB145)</f>
        <v>0</v>
      </c>
      <c r="AC29" s="26">
        <f>IF('Simulasi Premi 1 (Personal)'!$E$38="Menurun",'Spek Produk'!AC87,'Spek Produk'!AC145)</f>
        <v>0</v>
      </c>
      <c r="AD29" s="26">
        <f>IF('Simulasi Premi 1 (Personal)'!$E$38="Menurun",'Spek Produk'!AD87,'Spek Produk'!AD145)</f>
        <v>0</v>
      </c>
      <c r="AE29" s="26">
        <f>IF('Simulasi Premi 1 (Personal)'!$E$38="Menurun",'Spek Produk'!AE87,'Spek Produk'!AE145)</f>
        <v>0</v>
      </c>
      <c r="AF29" s="26">
        <f>IF('Simulasi Premi 1 (Personal)'!$E$38="Menurun",'Spek Produk'!AF87,'Spek Produk'!AF145)</f>
        <v>0</v>
      </c>
      <c r="AG29" s="26">
        <f>IF('Simulasi Premi 1 (Personal)'!$E$38="Menurun",'Spek Produk'!AG87,'Spek Produk'!AG145)</f>
        <v>0</v>
      </c>
      <c r="AH29" s="26">
        <f>IF('Simulasi Premi 1 (Personal)'!$E$38="Menurun",'Spek Produk'!AH87,'Spek Produk'!AH145)</f>
        <v>0</v>
      </c>
      <c r="AI29" s="26">
        <f>IF('Simulasi Premi 1 (Personal)'!$E$38="Menurun",'Spek Produk'!AI87,'Spek Produk'!AI145)</f>
        <v>0</v>
      </c>
      <c r="AJ29" s="26">
        <f>IF('Simulasi Premi 1 (Personal)'!$E$38="Menurun",'Spek Produk'!AJ87,'Spek Produk'!AJ145)</f>
        <v>0</v>
      </c>
      <c r="AK29" s="26">
        <f>IF('Simulasi Premi 1 (Personal)'!$E$38="Menurun",'Spek Produk'!AK87,'Spek Produk'!AK145)</f>
        <v>0</v>
      </c>
      <c r="AL29" s="26">
        <f>IF('Simulasi Premi 1 (Personal)'!$E$38="Menurun",'Spek Produk'!AL87,'Spek Produk'!AL145)</f>
        <v>0</v>
      </c>
      <c r="AM29" s="26">
        <f>IF('Simulasi Premi 1 (Personal)'!$E$38="Menurun",'Spek Produk'!AM87,'Spek Produk'!AM145)</f>
        <v>0</v>
      </c>
      <c r="AN29" s="26">
        <f>IF('Simulasi Premi 1 (Personal)'!$E$38="Menurun",'Spek Produk'!AN87,'Spek Produk'!AN145)</f>
        <v>0</v>
      </c>
      <c r="AO29" s="26">
        <f>IF('Simulasi Premi 1 (Personal)'!$E$38="Menurun",'Spek Produk'!AO87,'Spek Produk'!AO145)</f>
        <v>0</v>
      </c>
      <c r="AP29" s="26">
        <f>IF('Simulasi Premi 1 (Personal)'!$E$38="Menurun",'Spek Produk'!AP87,'Spek Produk'!AP145)</f>
        <v>0</v>
      </c>
      <c r="AR29">
        <v>4</v>
      </c>
    </row>
    <row r="30" spans="2:45" x14ac:dyDescent="0.25">
      <c r="B30" s="7"/>
      <c r="C30" s="9" t="s">
        <v>33</v>
      </c>
      <c r="D30" s="9"/>
      <c r="E30" s="11" t="s">
        <v>23</v>
      </c>
      <c r="F30" s="119" t="str">
        <f>F18</f>
        <v>Syariah</v>
      </c>
      <c r="G30" s="120"/>
      <c r="H30" s="120"/>
      <c r="I30" s="121"/>
      <c r="J30" s="10"/>
      <c r="L30" s="24" t="str">
        <f t="shared" si="0"/>
        <v/>
      </c>
      <c r="M30" s="26">
        <f>IF('Simulasi Premi 1 (Personal)'!$E$38="Menurun",'Spek Produk'!M88,'Spek Produk'!M146)</f>
        <v>0</v>
      </c>
      <c r="N30" s="26">
        <f>IF('Simulasi Premi 1 (Personal)'!$E$38="Menurun",'Spek Produk'!N88,'Spek Produk'!N146)</f>
        <v>0</v>
      </c>
      <c r="O30" s="26">
        <f>IF('Simulasi Premi 1 (Personal)'!$E$38="Menurun",'Spek Produk'!O88,'Spek Produk'!O146)</f>
        <v>0</v>
      </c>
      <c r="P30" s="26">
        <f>IF('Simulasi Premi 1 (Personal)'!$E$38="Menurun",'Spek Produk'!P88,'Spek Produk'!P146)</f>
        <v>0</v>
      </c>
      <c r="Q30" s="26">
        <f>IF('Simulasi Premi 1 (Personal)'!$E$38="Menurun",'Spek Produk'!Q88,'Spek Produk'!Q146)</f>
        <v>0</v>
      </c>
      <c r="R30" s="26">
        <f>IF('Simulasi Premi 1 (Personal)'!$E$38="Menurun",'Spek Produk'!R88,'Spek Produk'!R146)</f>
        <v>0</v>
      </c>
      <c r="S30" s="26">
        <f>IF('Simulasi Premi 1 (Personal)'!$E$38="Menurun",'Spek Produk'!S88,'Spek Produk'!S146)</f>
        <v>0</v>
      </c>
      <c r="T30" s="26">
        <f>IF('Simulasi Premi 1 (Personal)'!$E$38="Menurun",'Spek Produk'!T88,'Spek Produk'!T146)</f>
        <v>0</v>
      </c>
      <c r="U30" s="26">
        <f>IF('Simulasi Premi 1 (Personal)'!$E$38="Menurun",'Spek Produk'!U88,'Spek Produk'!U146)</f>
        <v>0</v>
      </c>
      <c r="V30" s="26">
        <f>IF('Simulasi Premi 1 (Personal)'!$E$38="Menurun",'Spek Produk'!V88,'Spek Produk'!V146)</f>
        <v>0</v>
      </c>
      <c r="W30" s="26">
        <f>IF('Simulasi Premi 1 (Personal)'!$E$38="Menurun",'Spek Produk'!W88,'Spek Produk'!W146)</f>
        <v>0</v>
      </c>
      <c r="X30" s="26">
        <f>IF('Simulasi Premi 1 (Personal)'!$E$38="Menurun",'Spek Produk'!X88,'Spek Produk'!X146)</f>
        <v>0</v>
      </c>
      <c r="Y30" s="26">
        <f>IF('Simulasi Premi 1 (Personal)'!$E$38="Menurun",'Spek Produk'!Y88,'Spek Produk'!Y146)</f>
        <v>0</v>
      </c>
      <c r="Z30" s="26">
        <f>IF('Simulasi Premi 1 (Personal)'!$E$38="Menurun",'Spek Produk'!Z88,'Spek Produk'!Z146)</f>
        <v>0</v>
      </c>
      <c r="AA30" s="26">
        <f>IF('Simulasi Premi 1 (Personal)'!$E$38="Menurun",'Spek Produk'!AA88,'Spek Produk'!AA146)</f>
        <v>0</v>
      </c>
      <c r="AB30" s="26">
        <f>IF('Simulasi Premi 1 (Personal)'!$E$38="Menurun",'Spek Produk'!AB88,'Spek Produk'!AB146)</f>
        <v>0</v>
      </c>
      <c r="AC30" s="26">
        <f>IF('Simulasi Premi 1 (Personal)'!$E$38="Menurun",'Spek Produk'!AC88,'Spek Produk'!AC146)</f>
        <v>0</v>
      </c>
      <c r="AD30" s="26">
        <f>IF('Simulasi Premi 1 (Personal)'!$E$38="Menurun",'Spek Produk'!AD88,'Spek Produk'!AD146)</f>
        <v>0</v>
      </c>
      <c r="AE30" s="26">
        <f>IF('Simulasi Premi 1 (Personal)'!$E$38="Menurun",'Spek Produk'!AE88,'Spek Produk'!AE146)</f>
        <v>0</v>
      </c>
      <c r="AF30" s="26">
        <f>IF('Simulasi Premi 1 (Personal)'!$E$38="Menurun",'Spek Produk'!AF88,'Spek Produk'!AF146)</f>
        <v>0</v>
      </c>
      <c r="AG30" s="26">
        <f>IF('Simulasi Premi 1 (Personal)'!$E$38="Menurun",'Spek Produk'!AG88,'Spek Produk'!AG146)</f>
        <v>0</v>
      </c>
      <c r="AH30" s="26">
        <f>IF('Simulasi Premi 1 (Personal)'!$E$38="Menurun",'Spek Produk'!AH88,'Spek Produk'!AH146)</f>
        <v>0</v>
      </c>
      <c r="AI30" s="26">
        <f>IF('Simulasi Premi 1 (Personal)'!$E$38="Menurun",'Spek Produk'!AI88,'Spek Produk'!AI146)</f>
        <v>0</v>
      </c>
      <c r="AJ30" s="26">
        <f>IF('Simulasi Premi 1 (Personal)'!$E$38="Menurun",'Spek Produk'!AJ88,'Spek Produk'!AJ146)</f>
        <v>0</v>
      </c>
      <c r="AK30" s="26">
        <f>IF('Simulasi Premi 1 (Personal)'!$E$38="Menurun",'Spek Produk'!AK88,'Spek Produk'!AK146)</f>
        <v>0</v>
      </c>
      <c r="AL30" s="26">
        <f>IF('Simulasi Premi 1 (Personal)'!$E$38="Menurun",'Spek Produk'!AL88,'Spek Produk'!AL146)</f>
        <v>0</v>
      </c>
      <c r="AM30" s="26">
        <f>IF('Simulasi Premi 1 (Personal)'!$E$38="Menurun",'Spek Produk'!AM88,'Spek Produk'!AM146)</f>
        <v>0</v>
      </c>
      <c r="AN30" s="26">
        <f>IF('Simulasi Premi 1 (Personal)'!$E$38="Menurun",'Spek Produk'!AN88,'Spek Produk'!AN146)</f>
        <v>0</v>
      </c>
      <c r="AO30" s="26">
        <f>IF('Simulasi Premi 1 (Personal)'!$E$38="Menurun",'Spek Produk'!AO88,'Spek Produk'!AO146)</f>
        <v>0</v>
      </c>
      <c r="AP30" s="26">
        <f>IF('Simulasi Premi 1 (Personal)'!$E$38="Menurun",'Spek Produk'!AP88,'Spek Produk'!AP146)</f>
        <v>0</v>
      </c>
      <c r="AR30">
        <v>5</v>
      </c>
    </row>
    <row r="31" spans="2:45" x14ac:dyDescent="0.25">
      <c r="B31" s="7"/>
      <c r="C31" s="9" t="s">
        <v>34</v>
      </c>
      <c r="D31" s="9"/>
      <c r="E31" s="11" t="s">
        <v>23</v>
      </c>
      <c r="F31" s="119" t="str">
        <f>F19</f>
        <v>Bank Syariah Indonesia</v>
      </c>
      <c r="G31" s="120"/>
      <c r="H31" s="120"/>
      <c r="I31" s="121"/>
      <c r="J31" s="10"/>
      <c r="L31" s="24" t="str">
        <f t="shared" si="0"/>
        <v/>
      </c>
      <c r="M31" s="26">
        <f>IF('Simulasi Premi 1 (Personal)'!$E$38="Menurun",'Spek Produk'!M89,'Spek Produk'!M147)</f>
        <v>0</v>
      </c>
      <c r="N31" s="26">
        <f>IF('Simulasi Premi 1 (Personal)'!$E$38="Menurun",'Spek Produk'!N89,'Spek Produk'!N147)</f>
        <v>0</v>
      </c>
      <c r="O31" s="26">
        <f>IF('Simulasi Premi 1 (Personal)'!$E$38="Menurun",'Spek Produk'!O89,'Spek Produk'!O147)</f>
        <v>0</v>
      </c>
      <c r="P31" s="26">
        <f>IF('Simulasi Premi 1 (Personal)'!$E$38="Menurun",'Spek Produk'!P89,'Spek Produk'!P147)</f>
        <v>0</v>
      </c>
      <c r="Q31" s="26">
        <f>IF('Simulasi Premi 1 (Personal)'!$E$38="Menurun",'Spek Produk'!Q89,'Spek Produk'!Q147)</f>
        <v>0</v>
      </c>
      <c r="R31" s="26">
        <f>IF('Simulasi Premi 1 (Personal)'!$E$38="Menurun",'Spek Produk'!R89,'Spek Produk'!R147)</f>
        <v>0</v>
      </c>
      <c r="S31" s="26">
        <f>IF('Simulasi Premi 1 (Personal)'!$E$38="Menurun",'Spek Produk'!S89,'Spek Produk'!S147)</f>
        <v>0</v>
      </c>
      <c r="T31" s="26">
        <f>IF('Simulasi Premi 1 (Personal)'!$E$38="Menurun",'Spek Produk'!T89,'Spek Produk'!T147)</f>
        <v>0</v>
      </c>
      <c r="U31" s="26">
        <f>IF('Simulasi Premi 1 (Personal)'!$E$38="Menurun",'Spek Produk'!U89,'Spek Produk'!U147)</f>
        <v>0</v>
      </c>
      <c r="V31" s="26">
        <f>IF('Simulasi Premi 1 (Personal)'!$E$38="Menurun",'Spek Produk'!V89,'Spek Produk'!V147)</f>
        <v>0</v>
      </c>
      <c r="W31" s="26">
        <f>IF('Simulasi Premi 1 (Personal)'!$E$38="Menurun",'Spek Produk'!W89,'Spek Produk'!W147)</f>
        <v>0</v>
      </c>
      <c r="X31" s="26">
        <f>IF('Simulasi Premi 1 (Personal)'!$E$38="Menurun",'Spek Produk'!X89,'Spek Produk'!X147)</f>
        <v>0</v>
      </c>
      <c r="Y31" s="26">
        <f>IF('Simulasi Premi 1 (Personal)'!$E$38="Menurun",'Spek Produk'!Y89,'Spek Produk'!Y147)</f>
        <v>0</v>
      </c>
      <c r="Z31" s="26">
        <f>IF('Simulasi Premi 1 (Personal)'!$E$38="Menurun",'Spek Produk'!Z89,'Spek Produk'!Z147)</f>
        <v>0</v>
      </c>
      <c r="AA31" s="26">
        <f>IF('Simulasi Premi 1 (Personal)'!$E$38="Menurun",'Spek Produk'!AA89,'Spek Produk'!AA147)</f>
        <v>0</v>
      </c>
      <c r="AB31" s="26">
        <f>IF('Simulasi Premi 1 (Personal)'!$E$38="Menurun",'Spek Produk'!AB89,'Spek Produk'!AB147)</f>
        <v>0</v>
      </c>
      <c r="AC31" s="26">
        <f>IF('Simulasi Premi 1 (Personal)'!$E$38="Menurun",'Spek Produk'!AC89,'Spek Produk'!AC147)</f>
        <v>0</v>
      </c>
      <c r="AD31" s="26">
        <f>IF('Simulasi Premi 1 (Personal)'!$E$38="Menurun",'Spek Produk'!AD89,'Spek Produk'!AD147)</f>
        <v>0</v>
      </c>
      <c r="AE31" s="26">
        <f>IF('Simulasi Premi 1 (Personal)'!$E$38="Menurun",'Spek Produk'!AE89,'Spek Produk'!AE147)</f>
        <v>0</v>
      </c>
      <c r="AF31" s="26">
        <f>IF('Simulasi Premi 1 (Personal)'!$E$38="Menurun",'Spek Produk'!AF89,'Spek Produk'!AF147)</f>
        <v>0</v>
      </c>
      <c r="AG31" s="26">
        <f>IF('Simulasi Premi 1 (Personal)'!$E$38="Menurun",'Spek Produk'!AG89,'Spek Produk'!AG147)</f>
        <v>0</v>
      </c>
      <c r="AH31" s="26">
        <f>IF('Simulasi Premi 1 (Personal)'!$E$38="Menurun",'Spek Produk'!AH89,'Spek Produk'!AH147)</f>
        <v>0</v>
      </c>
      <c r="AI31" s="26">
        <f>IF('Simulasi Premi 1 (Personal)'!$E$38="Menurun",'Spek Produk'!AI89,'Spek Produk'!AI147)</f>
        <v>0</v>
      </c>
      <c r="AJ31" s="26">
        <f>IF('Simulasi Premi 1 (Personal)'!$E$38="Menurun",'Spek Produk'!AJ89,'Spek Produk'!AJ147)</f>
        <v>0</v>
      </c>
      <c r="AK31" s="26">
        <f>IF('Simulasi Premi 1 (Personal)'!$E$38="Menurun",'Spek Produk'!AK89,'Spek Produk'!AK147)</f>
        <v>0</v>
      </c>
      <c r="AL31" s="26">
        <f>IF('Simulasi Premi 1 (Personal)'!$E$38="Menurun",'Spek Produk'!AL89,'Spek Produk'!AL147)</f>
        <v>0</v>
      </c>
      <c r="AM31" s="26">
        <f>IF('Simulasi Premi 1 (Personal)'!$E$38="Menurun",'Spek Produk'!AM89,'Spek Produk'!AM147)</f>
        <v>0</v>
      </c>
      <c r="AN31" s="26">
        <f>IF('Simulasi Premi 1 (Personal)'!$E$38="Menurun",'Spek Produk'!AN89,'Spek Produk'!AN147)</f>
        <v>0</v>
      </c>
      <c r="AO31" s="26">
        <f>IF('Simulasi Premi 1 (Personal)'!$E$38="Menurun",'Spek Produk'!AO89,'Spek Produk'!AO147)</f>
        <v>0</v>
      </c>
      <c r="AP31" s="26">
        <f>IF('Simulasi Premi 1 (Personal)'!$E$38="Menurun",'Spek Produk'!AP89,'Spek Produk'!AP147)</f>
        <v>0</v>
      </c>
      <c r="AR31">
        <v>6</v>
      </c>
    </row>
    <row r="32" spans="2:45" x14ac:dyDescent="0.25">
      <c r="B32" s="7"/>
      <c r="C32" s="9" t="s">
        <v>35</v>
      </c>
      <c r="D32" s="9"/>
      <c r="E32" s="11" t="s">
        <v>23</v>
      </c>
      <c r="F32" s="119">
        <f ca="1">F20</f>
        <v>1000000000</v>
      </c>
      <c r="G32" s="120"/>
      <c r="H32" s="120"/>
      <c r="I32" s="121"/>
      <c r="J32" s="10"/>
      <c r="L32" s="24" t="str">
        <f t="shared" si="0"/>
        <v/>
      </c>
      <c r="M32" s="26">
        <f>IF('Simulasi Premi 1 (Personal)'!$E$38="Menurun",'Spek Produk'!M90,'Spek Produk'!M148)</f>
        <v>0</v>
      </c>
      <c r="N32" s="26">
        <f>IF('Simulasi Premi 1 (Personal)'!$E$38="Menurun",'Spek Produk'!N90,'Spek Produk'!N148)</f>
        <v>0</v>
      </c>
      <c r="O32" s="26">
        <f>IF('Simulasi Premi 1 (Personal)'!$E$38="Menurun",'Spek Produk'!O90,'Spek Produk'!O148)</f>
        <v>0</v>
      </c>
      <c r="P32" s="26">
        <f>IF('Simulasi Premi 1 (Personal)'!$E$38="Menurun",'Spek Produk'!P90,'Spek Produk'!P148)</f>
        <v>0</v>
      </c>
      <c r="Q32" s="26">
        <f>IF('Simulasi Premi 1 (Personal)'!$E$38="Menurun",'Spek Produk'!Q90,'Spek Produk'!Q148)</f>
        <v>0</v>
      </c>
      <c r="R32" s="26">
        <f>IF('Simulasi Premi 1 (Personal)'!$E$38="Menurun",'Spek Produk'!R90,'Spek Produk'!R148)</f>
        <v>0</v>
      </c>
      <c r="S32" s="26">
        <f>IF('Simulasi Premi 1 (Personal)'!$E$38="Menurun",'Spek Produk'!S90,'Spek Produk'!S148)</f>
        <v>0</v>
      </c>
      <c r="T32" s="26">
        <f>IF('Simulasi Premi 1 (Personal)'!$E$38="Menurun",'Spek Produk'!T90,'Spek Produk'!T148)</f>
        <v>0</v>
      </c>
      <c r="U32" s="26">
        <f>IF('Simulasi Premi 1 (Personal)'!$E$38="Menurun",'Spek Produk'!U90,'Spek Produk'!U148)</f>
        <v>0</v>
      </c>
      <c r="V32" s="26">
        <f>IF('Simulasi Premi 1 (Personal)'!$E$38="Menurun",'Spek Produk'!V90,'Spek Produk'!V148)</f>
        <v>0</v>
      </c>
      <c r="W32" s="26">
        <f>IF('Simulasi Premi 1 (Personal)'!$E$38="Menurun",'Spek Produk'!W90,'Spek Produk'!W148)</f>
        <v>0</v>
      </c>
      <c r="X32" s="26">
        <f>IF('Simulasi Premi 1 (Personal)'!$E$38="Menurun",'Spek Produk'!X90,'Spek Produk'!X148)</f>
        <v>0</v>
      </c>
      <c r="Y32" s="26">
        <f>IF('Simulasi Premi 1 (Personal)'!$E$38="Menurun",'Spek Produk'!Y90,'Spek Produk'!Y148)</f>
        <v>0</v>
      </c>
      <c r="Z32" s="26">
        <f>IF('Simulasi Premi 1 (Personal)'!$E$38="Menurun",'Spek Produk'!Z90,'Spek Produk'!Z148)</f>
        <v>0</v>
      </c>
      <c r="AA32" s="26">
        <f>IF('Simulasi Premi 1 (Personal)'!$E$38="Menurun",'Spek Produk'!AA90,'Spek Produk'!AA148)</f>
        <v>0</v>
      </c>
      <c r="AB32" s="26">
        <f>IF('Simulasi Premi 1 (Personal)'!$E$38="Menurun",'Spek Produk'!AB90,'Spek Produk'!AB148)</f>
        <v>0</v>
      </c>
      <c r="AC32" s="26">
        <f>IF('Simulasi Premi 1 (Personal)'!$E$38="Menurun",'Spek Produk'!AC90,'Spek Produk'!AC148)</f>
        <v>0</v>
      </c>
      <c r="AD32" s="26">
        <f>IF('Simulasi Premi 1 (Personal)'!$E$38="Menurun",'Spek Produk'!AD90,'Spek Produk'!AD148)</f>
        <v>0</v>
      </c>
      <c r="AE32" s="26">
        <f>IF('Simulasi Premi 1 (Personal)'!$E$38="Menurun",'Spek Produk'!AE90,'Spek Produk'!AE148)</f>
        <v>0</v>
      </c>
      <c r="AF32" s="26">
        <f>IF('Simulasi Premi 1 (Personal)'!$E$38="Menurun",'Spek Produk'!AF90,'Spek Produk'!AF148)</f>
        <v>0</v>
      </c>
      <c r="AG32" s="26">
        <f>IF('Simulasi Premi 1 (Personal)'!$E$38="Menurun",'Spek Produk'!AG90,'Spek Produk'!AG148)</f>
        <v>0</v>
      </c>
      <c r="AH32" s="26">
        <f>IF('Simulasi Premi 1 (Personal)'!$E$38="Menurun",'Spek Produk'!AH90,'Spek Produk'!AH148)</f>
        <v>0</v>
      </c>
      <c r="AI32" s="26">
        <f>IF('Simulasi Premi 1 (Personal)'!$E$38="Menurun",'Spek Produk'!AI90,'Spek Produk'!AI148)</f>
        <v>0</v>
      </c>
      <c r="AJ32" s="26">
        <f>IF('Simulasi Premi 1 (Personal)'!$E$38="Menurun",'Spek Produk'!AJ90,'Spek Produk'!AJ148)</f>
        <v>0</v>
      </c>
      <c r="AK32" s="26">
        <f>IF('Simulasi Premi 1 (Personal)'!$E$38="Menurun",'Spek Produk'!AK90,'Spek Produk'!AK148)</f>
        <v>0</v>
      </c>
      <c r="AL32" s="26">
        <f>IF('Simulasi Premi 1 (Personal)'!$E$38="Menurun",'Spek Produk'!AL90,'Spek Produk'!AL148)</f>
        <v>0</v>
      </c>
      <c r="AM32" s="26">
        <f>IF('Simulasi Premi 1 (Personal)'!$E$38="Menurun",'Spek Produk'!AM90,'Spek Produk'!AM148)</f>
        <v>0</v>
      </c>
      <c r="AN32" s="26">
        <f>IF('Simulasi Premi 1 (Personal)'!$E$38="Menurun",'Spek Produk'!AN90,'Spek Produk'!AN148)</f>
        <v>0</v>
      </c>
      <c r="AO32" s="26">
        <f>IF('Simulasi Premi 1 (Personal)'!$E$38="Menurun",'Spek Produk'!AO90,'Spek Produk'!AO148)</f>
        <v>0</v>
      </c>
      <c r="AP32" s="26">
        <f>IF('Simulasi Premi 1 (Personal)'!$E$38="Menurun",'Spek Produk'!AP90,'Spek Produk'!AP148)</f>
        <v>0</v>
      </c>
      <c r="AR32">
        <v>7</v>
      </c>
    </row>
    <row r="33" spans="2:64" x14ac:dyDescent="0.25">
      <c r="B33" s="7"/>
      <c r="C33" s="9" t="s">
        <v>87</v>
      </c>
      <c r="D33" s="9"/>
      <c r="E33" s="11" t="s">
        <v>23</v>
      </c>
      <c r="F33" s="119" t="str">
        <f>F21</f>
        <v>Syariah</v>
      </c>
      <c r="G33" s="120"/>
      <c r="H33" s="120"/>
      <c r="I33" s="121"/>
      <c r="J33" s="10"/>
      <c r="L33" s="24">
        <f t="shared" si="0"/>
        <v>45</v>
      </c>
      <c r="M33" s="26">
        <f>IF('Simulasi Premi 1 (Personal)'!$E$38="Menurun",'Spek Produk'!M91,'Spek Produk'!M149)</f>
        <v>3.6</v>
      </c>
      <c r="N33" s="26">
        <f>IF('Simulasi Premi 1 (Personal)'!$E$38="Menurun",'Spek Produk'!N91,'Spek Produk'!N149)</f>
        <v>6.52</v>
      </c>
      <c r="O33" s="26">
        <f>IF('Simulasi Premi 1 (Personal)'!$E$38="Menurun",'Spek Produk'!O91,'Spek Produk'!O149)</f>
        <v>9.2799999999999994</v>
      </c>
      <c r="P33" s="26">
        <f>IF('Simulasi Premi 1 (Personal)'!$E$38="Menurun",'Spek Produk'!P91,'Spek Produk'!P149)</f>
        <v>12.08</v>
      </c>
      <c r="Q33" s="26">
        <f>IF('Simulasi Premi 1 (Personal)'!$E$38="Menurun",'Spek Produk'!Q91,'Spek Produk'!Q149)</f>
        <v>15.03</v>
      </c>
      <c r="R33" s="26">
        <f>IF('Simulasi Premi 1 (Personal)'!$E$38="Menurun",'Spek Produk'!R91,'Spek Produk'!R149)</f>
        <v>18.239999999999998</v>
      </c>
      <c r="S33" s="26">
        <f>IF('Simulasi Premi 1 (Personal)'!$E$38="Menurun",'Spek Produk'!S91,'Spek Produk'!S149)</f>
        <v>21.35</v>
      </c>
      <c r="T33" s="26">
        <f>IF('Simulasi Premi 1 (Personal)'!$E$38="Menurun",'Spek Produk'!T91,'Spek Produk'!T149)</f>
        <v>24.37</v>
      </c>
      <c r="U33" s="26">
        <f>IF('Simulasi Premi 1 (Personal)'!$E$38="Menurun",'Spek Produk'!U91,'Spek Produk'!U149)</f>
        <v>28.02</v>
      </c>
      <c r="V33" s="26">
        <f>IF('Simulasi Premi 1 (Personal)'!$E$38="Menurun",'Spek Produk'!V91,'Spek Produk'!V149)</f>
        <v>31.59</v>
      </c>
      <c r="W33" s="26">
        <f>IF('Simulasi Premi 1 (Personal)'!$E$38="Menurun",'Spek Produk'!W91,'Spek Produk'!W149)</f>
        <v>35.15</v>
      </c>
      <c r="X33" s="26">
        <f>IF('Simulasi Premi 1 (Personal)'!$E$38="Menurun",'Spek Produk'!X91,'Spek Produk'!X149)</f>
        <v>38.24</v>
      </c>
      <c r="Y33" s="26">
        <f>IF('Simulasi Premi 1 (Personal)'!$E$38="Menurun",'Spek Produk'!Y91,'Spek Produk'!Y149)</f>
        <v>41.92</v>
      </c>
      <c r="Z33" s="26">
        <f>IF('Simulasi Premi 1 (Personal)'!$E$38="Menurun",'Spek Produk'!Z91,'Spek Produk'!Z149)</f>
        <v>45.74</v>
      </c>
      <c r="AA33" s="26">
        <f>IF('Simulasi Premi 1 (Personal)'!$E$38="Menurun",'Spek Produk'!AA91,'Spek Produk'!AA149)</f>
        <v>49.54</v>
      </c>
      <c r="AB33" s="26">
        <f>IF('Simulasi Premi 1 (Personal)'!$E$38="Menurun",'Spek Produk'!AB91,'Spek Produk'!AB149)</f>
        <v>53.6</v>
      </c>
      <c r="AC33" s="26">
        <f>IF('Simulasi Premi 1 (Personal)'!$E$38="Menurun",'Spek Produk'!AC91,'Spek Produk'!AC149)</f>
        <v>57.11</v>
      </c>
      <c r="AD33" s="26">
        <f>IF('Simulasi Premi 1 (Personal)'!$E$38="Menurun",'Spek Produk'!AD91,'Spek Produk'!AD149)</f>
        <v>60.6</v>
      </c>
      <c r="AE33" s="26">
        <f>IF('Simulasi Premi 1 (Personal)'!$E$38="Menurun",'Spek Produk'!AE91,'Spek Produk'!AE149)</f>
        <v>64.08</v>
      </c>
      <c r="AF33" s="26">
        <f>IF('Simulasi Premi 1 (Personal)'!$E$38="Menurun",'Spek Produk'!AF91,'Spek Produk'!AF149)</f>
        <v>67.56</v>
      </c>
      <c r="AG33" s="26">
        <f>IF('Simulasi Premi 1 (Personal)'!$E$38="Menurun",'Spek Produk'!AG91,'Spek Produk'!AG149)</f>
        <v>0</v>
      </c>
      <c r="AH33" s="26">
        <f>IF('Simulasi Premi 1 (Personal)'!$E$38="Menurun",'Spek Produk'!AH91,'Spek Produk'!AH149)</f>
        <v>0</v>
      </c>
      <c r="AI33" s="26">
        <f>IF('Simulasi Premi 1 (Personal)'!$E$38="Menurun",'Spek Produk'!AI91,'Spek Produk'!AI149)</f>
        <v>0</v>
      </c>
      <c r="AJ33" s="26">
        <f>IF('Simulasi Premi 1 (Personal)'!$E$38="Menurun",'Spek Produk'!AJ91,'Spek Produk'!AJ149)</f>
        <v>0</v>
      </c>
      <c r="AK33" s="26">
        <f>IF('Simulasi Premi 1 (Personal)'!$E$38="Menurun",'Spek Produk'!AK91,'Spek Produk'!AK149)</f>
        <v>0</v>
      </c>
      <c r="AL33" s="26">
        <f>IF('Simulasi Premi 1 (Personal)'!$E$38="Menurun",'Spek Produk'!AL91,'Spek Produk'!AL149)</f>
        <v>0</v>
      </c>
      <c r="AM33" s="26">
        <f>IF('Simulasi Premi 1 (Personal)'!$E$38="Menurun",'Spek Produk'!AM91,'Spek Produk'!AM149)</f>
        <v>0</v>
      </c>
      <c r="AN33" s="26">
        <f>IF('Simulasi Premi 1 (Personal)'!$E$38="Menurun",'Spek Produk'!AN91,'Spek Produk'!AN149)</f>
        <v>0</v>
      </c>
      <c r="AO33" s="26">
        <f>IF('Simulasi Premi 1 (Personal)'!$E$38="Menurun",'Spek Produk'!AO91,'Spek Produk'!AO149)</f>
        <v>0</v>
      </c>
      <c r="AP33" s="26">
        <f>IF('Simulasi Premi 1 (Personal)'!$E$38="Menurun",'Spek Produk'!AP91,'Spek Produk'!AP149)</f>
        <v>0</v>
      </c>
      <c r="AR33">
        <v>8</v>
      </c>
    </row>
    <row r="34" spans="2:64" x14ac:dyDescent="0.25">
      <c r="B34" s="7"/>
      <c r="C34" s="12" t="s">
        <v>36</v>
      </c>
      <c r="D34" s="12"/>
      <c r="E34" s="11" t="s">
        <v>23</v>
      </c>
      <c r="F34" s="13" t="s">
        <v>37</v>
      </c>
      <c r="G34" s="14">
        <f>G22</f>
        <v>0</v>
      </c>
      <c r="H34" s="13" t="s">
        <v>38</v>
      </c>
      <c r="I34" s="14">
        <f>I22</f>
        <v>20</v>
      </c>
      <c r="J34" s="10"/>
      <c r="L34" s="24">
        <f t="shared" si="0"/>
        <v>46</v>
      </c>
      <c r="M34" s="26">
        <f>IF('Simulasi Premi 1 (Personal)'!$E$38="Menurun",'Spek Produk'!M92,'Spek Produk'!M150)</f>
        <v>3.87</v>
      </c>
      <c r="N34" s="26">
        <f>IF('Simulasi Premi 1 (Personal)'!$E$38="Menurun",'Spek Produk'!N92,'Spek Produk'!N150)</f>
        <v>7.08</v>
      </c>
      <c r="O34" s="26">
        <f>IF('Simulasi Premi 1 (Personal)'!$E$38="Menurun",'Spek Produk'!O92,'Spek Produk'!O150)</f>
        <v>10.09</v>
      </c>
      <c r="P34" s="26">
        <f>IF('Simulasi Premi 1 (Personal)'!$E$38="Menurun",'Spek Produk'!P92,'Spek Produk'!P150)</f>
        <v>13.18</v>
      </c>
      <c r="Q34" s="26">
        <f>IF('Simulasi Premi 1 (Personal)'!$E$38="Menurun",'Spek Produk'!Q92,'Spek Produk'!Q150)</f>
        <v>16.350000000000001</v>
      </c>
      <c r="R34" s="26">
        <f>IF('Simulasi Premi 1 (Personal)'!$E$38="Menurun",'Spek Produk'!R92,'Spek Produk'!R150)</f>
        <v>19.79</v>
      </c>
      <c r="S34" s="26">
        <f>IF('Simulasi Premi 1 (Personal)'!$E$38="Menurun",'Spek Produk'!S92,'Spek Produk'!S150)</f>
        <v>23.11</v>
      </c>
      <c r="T34" s="26">
        <f>IF('Simulasi Premi 1 (Personal)'!$E$38="Menurun",'Spek Produk'!T92,'Spek Produk'!T150)</f>
        <v>26.73</v>
      </c>
      <c r="U34" s="26">
        <f>IF('Simulasi Premi 1 (Personal)'!$E$38="Menurun",'Spek Produk'!U92,'Spek Produk'!U150)</f>
        <v>30.37</v>
      </c>
      <c r="V34" s="26">
        <f>IF('Simulasi Premi 1 (Personal)'!$E$38="Menurun",'Spek Produk'!V92,'Spek Produk'!V150)</f>
        <v>34.19</v>
      </c>
      <c r="W34" s="26">
        <f>IF('Simulasi Premi 1 (Personal)'!$E$38="Menurun",'Spek Produk'!W92,'Spek Produk'!W150)</f>
        <v>38.03</v>
      </c>
      <c r="X34" s="26">
        <f>IF('Simulasi Premi 1 (Personal)'!$E$38="Menurun",'Spek Produk'!X92,'Spek Produk'!X150)</f>
        <v>41.6</v>
      </c>
      <c r="Y34" s="26">
        <f>IF('Simulasi Premi 1 (Personal)'!$E$38="Menurun",'Spek Produk'!Y92,'Spek Produk'!Y150)</f>
        <v>45.57</v>
      </c>
      <c r="Z34" s="26">
        <f>IF('Simulasi Premi 1 (Personal)'!$E$38="Menurun",'Spek Produk'!Z92,'Spek Produk'!Z150)</f>
        <v>49.64</v>
      </c>
      <c r="AA34" s="26">
        <f>IF('Simulasi Premi 1 (Personal)'!$E$38="Menurun",'Spek Produk'!AA92,'Spek Produk'!AA150)</f>
        <v>53.72</v>
      </c>
      <c r="AB34" s="26">
        <f>IF('Simulasi Premi 1 (Personal)'!$E$38="Menurun",'Spek Produk'!AB92,'Spek Produk'!AB150)</f>
        <v>58.12</v>
      </c>
      <c r="AC34" s="26">
        <f>IF('Simulasi Premi 1 (Personal)'!$E$38="Menurun",'Spek Produk'!AC92,'Spek Produk'!AC150)</f>
        <v>61.93</v>
      </c>
      <c r="AD34" s="26">
        <f>IF('Simulasi Premi 1 (Personal)'!$E$38="Menurun",'Spek Produk'!AD92,'Spek Produk'!AD150)</f>
        <v>65.72</v>
      </c>
      <c r="AE34" s="26">
        <f>IF('Simulasi Premi 1 (Personal)'!$E$38="Menurun",'Spek Produk'!AE92,'Spek Produk'!AE150)</f>
        <v>69.489999999999995</v>
      </c>
      <c r="AF34" s="26">
        <f>IF('Simulasi Premi 1 (Personal)'!$E$38="Menurun",'Spek Produk'!AF92,'Spek Produk'!AF150)</f>
        <v>73.239999999999995</v>
      </c>
      <c r="AG34" s="26">
        <f>IF('Simulasi Premi 1 (Personal)'!$E$38="Menurun",'Spek Produk'!AG92,'Spek Produk'!AG150)</f>
        <v>0</v>
      </c>
      <c r="AH34" s="26">
        <f>IF('Simulasi Premi 1 (Personal)'!$E$38="Menurun",'Spek Produk'!AH92,'Spek Produk'!AH150)</f>
        <v>0</v>
      </c>
      <c r="AI34" s="26">
        <f>IF('Simulasi Premi 1 (Personal)'!$E$38="Menurun",'Spek Produk'!AI92,'Spek Produk'!AI150)</f>
        <v>0</v>
      </c>
      <c r="AJ34" s="26">
        <f>IF('Simulasi Premi 1 (Personal)'!$E$38="Menurun",'Spek Produk'!AJ92,'Spek Produk'!AJ150)</f>
        <v>0</v>
      </c>
      <c r="AK34" s="26">
        <f>IF('Simulasi Premi 1 (Personal)'!$E$38="Menurun",'Spek Produk'!AK92,'Spek Produk'!AK150)</f>
        <v>0</v>
      </c>
      <c r="AL34" s="26">
        <f>IF('Simulasi Premi 1 (Personal)'!$E$38="Menurun",'Spek Produk'!AL92,'Spek Produk'!AL150)</f>
        <v>0</v>
      </c>
      <c r="AM34" s="26">
        <f>IF('Simulasi Premi 1 (Personal)'!$E$38="Menurun",'Spek Produk'!AM92,'Spek Produk'!AM150)</f>
        <v>0</v>
      </c>
      <c r="AN34" s="26">
        <f>IF('Simulasi Premi 1 (Personal)'!$E$38="Menurun",'Spek Produk'!AN92,'Spek Produk'!AN150)</f>
        <v>0</v>
      </c>
      <c r="AO34" s="26">
        <f>IF('Simulasi Premi 1 (Personal)'!$E$38="Menurun",'Spek Produk'!AO92,'Spek Produk'!AO150)</f>
        <v>0</v>
      </c>
      <c r="AP34" s="26">
        <f>IF('Simulasi Premi 1 (Personal)'!$E$38="Menurun",'Spek Produk'!AP92,'Spek Produk'!AP150)</f>
        <v>0</v>
      </c>
      <c r="AR34">
        <v>9</v>
      </c>
    </row>
    <row r="35" spans="2:64" x14ac:dyDescent="0.25">
      <c r="B35" s="7"/>
      <c r="C35" s="12" t="s">
        <v>39</v>
      </c>
      <c r="D35" s="12"/>
      <c r="E35" s="11" t="s">
        <v>23</v>
      </c>
      <c r="F35" s="13" t="s">
        <v>37</v>
      </c>
      <c r="G35" s="14">
        <f>G23</f>
        <v>45</v>
      </c>
      <c r="H35" s="13" t="s">
        <v>38</v>
      </c>
      <c r="I35" s="14">
        <f>I23</f>
        <v>65</v>
      </c>
      <c r="J35" s="10"/>
      <c r="L35" s="24">
        <f t="shared" si="0"/>
        <v>47</v>
      </c>
      <c r="M35" s="26">
        <f>IF('Simulasi Premi 1 (Personal)'!$E$38="Menurun",'Spek Produk'!M93,'Spek Produk'!M151)</f>
        <v>4.18</v>
      </c>
      <c r="N35" s="26">
        <f>IF('Simulasi Premi 1 (Personal)'!$E$38="Menurun",'Spek Produk'!N93,'Spek Produk'!N151)</f>
        <v>7.73</v>
      </c>
      <c r="O35" s="26">
        <f>IF('Simulasi Premi 1 (Personal)'!$E$38="Menurun",'Spek Produk'!O93,'Spek Produk'!O151)</f>
        <v>11.01</v>
      </c>
      <c r="P35" s="26">
        <f>IF('Simulasi Premi 1 (Personal)'!$E$38="Menurun",'Spek Produk'!P93,'Spek Produk'!P151)</f>
        <v>14.38</v>
      </c>
      <c r="Q35" s="26">
        <f>IF('Simulasi Premi 1 (Personal)'!$E$38="Menurun",'Spek Produk'!Q93,'Spek Produk'!Q151)</f>
        <v>17.829999999999998</v>
      </c>
      <c r="R35" s="26">
        <f>IF('Simulasi Premi 1 (Personal)'!$E$38="Menurun",'Spek Produk'!R93,'Spek Produk'!R151)</f>
        <v>21.57</v>
      </c>
      <c r="S35" s="26">
        <f>IF('Simulasi Premi 1 (Personal)'!$E$38="Menurun",'Spek Produk'!S93,'Spek Produk'!S151)</f>
        <v>25.16</v>
      </c>
      <c r="T35" s="26">
        <f>IF('Simulasi Premi 1 (Personal)'!$E$38="Menurun",'Spek Produk'!T93,'Spek Produk'!T151)</f>
        <v>28.87</v>
      </c>
      <c r="U35" s="26">
        <f>IF('Simulasi Premi 1 (Personal)'!$E$38="Menurun",'Spek Produk'!U93,'Spek Produk'!U151)</f>
        <v>33.36</v>
      </c>
      <c r="V35" s="26">
        <f>IF('Simulasi Premi 1 (Personal)'!$E$38="Menurun",'Spek Produk'!V93,'Spek Produk'!V151)</f>
        <v>37.15</v>
      </c>
      <c r="W35" s="26">
        <f>IF('Simulasi Premi 1 (Personal)'!$E$38="Menurun",'Spek Produk'!W93,'Spek Produk'!W151)</f>
        <v>41.29</v>
      </c>
      <c r="X35" s="26">
        <f>IF('Simulasi Premi 1 (Personal)'!$E$38="Menurun",'Spek Produk'!X93,'Spek Produk'!X151)</f>
        <v>45.16</v>
      </c>
      <c r="Y35" s="26">
        <f>IF('Simulasi Premi 1 (Personal)'!$E$38="Menurun",'Spek Produk'!Y93,'Spek Produk'!Y151)</f>
        <v>49.43</v>
      </c>
      <c r="Z35" s="26">
        <f>IF('Simulasi Premi 1 (Personal)'!$E$38="Menurun",'Spek Produk'!Z93,'Spek Produk'!Z151)</f>
        <v>53.79</v>
      </c>
      <c r="AA35" s="26">
        <f>IF('Simulasi Premi 1 (Personal)'!$E$38="Menurun",'Spek Produk'!AA93,'Spek Produk'!AA151)</f>
        <v>58.17</v>
      </c>
      <c r="AB35" s="26">
        <f>IF('Simulasi Premi 1 (Personal)'!$E$38="Menurun",'Spek Produk'!AB93,'Spek Produk'!AB151)</f>
        <v>62.94</v>
      </c>
      <c r="AC35" s="26">
        <f>IF('Simulasi Premi 1 (Personal)'!$E$38="Menurun",'Spek Produk'!AC93,'Spek Produk'!AC151)</f>
        <v>67.06</v>
      </c>
      <c r="AD35" s="26">
        <f>IF('Simulasi Premi 1 (Personal)'!$E$38="Menurun",'Spek Produk'!AD93,'Spek Produk'!AD151)</f>
        <v>71.150000000000006</v>
      </c>
      <c r="AE35" s="26">
        <f>IF('Simulasi Premi 1 (Personal)'!$E$38="Menurun",'Spek Produk'!AE93,'Spek Produk'!AE151)</f>
        <v>75.22</v>
      </c>
      <c r="AF35" s="26">
        <f>IF('Simulasi Premi 1 (Personal)'!$E$38="Menurun",'Spek Produk'!AF93,'Spek Produk'!AF151)</f>
        <v>79.27</v>
      </c>
      <c r="AG35" s="26">
        <f>IF('Simulasi Premi 1 (Personal)'!$E$38="Menurun",'Spek Produk'!AG93,'Spek Produk'!AG151)</f>
        <v>0</v>
      </c>
      <c r="AH35" s="26">
        <f>IF('Simulasi Premi 1 (Personal)'!$E$38="Menurun",'Spek Produk'!AH93,'Spek Produk'!AH151)</f>
        <v>0</v>
      </c>
      <c r="AI35" s="26">
        <f>IF('Simulasi Premi 1 (Personal)'!$E$38="Menurun",'Spek Produk'!AI93,'Spek Produk'!AI151)</f>
        <v>0</v>
      </c>
      <c r="AJ35" s="26">
        <f>IF('Simulasi Premi 1 (Personal)'!$E$38="Menurun",'Spek Produk'!AJ93,'Spek Produk'!AJ151)</f>
        <v>0</v>
      </c>
      <c r="AK35" s="26">
        <f>IF('Simulasi Premi 1 (Personal)'!$E$38="Menurun",'Spek Produk'!AK93,'Spek Produk'!AK151)</f>
        <v>0</v>
      </c>
      <c r="AL35" s="26">
        <f>IF('Simulasi Premi 1 (Personal)'!$E$38="Menurun",'Spek Produk'!AL93,'Spek Produk'!AL151)</f>
        <v>0</v>
      </c>
      <c r="AM35" s="26">
        <f>IF('Simulasi Premi 1 (Personal)'!$E$38="Menurun",'Spek Produk'!AM93,'Spek Produk'!AM151)</f>
        <v>0</v>
      </c>
      <c r="AN35" s="26">
        <f>IF('Simulasi Premi 1 (Personal)'!$E$38="Menurun",'Spek Produk'!AN93,'Spek Produk'!AN151)</f>
        <v>0</v>
      </c>
      <c r="AO35" s="26">
        <f>IF('Simulasi Premi 1 (Personal)'!$E$38="Menurun",'Spek Produk'!AO93,'Spek Produk'!AO151)</f>
        <v>0</v>
      </c>
      <c r="AP35" s="26">
        <f>IF('Simulasi Premi 1 (Personal)'!$E$38="Menurun",'Spek Produk'!AP93,'Spek Produk'!AP151)</f>
        <v>0</v>
      </c>
      <c r="AR35">
        <v>10</v>
      </c>
    </row>
    <row r="36" spans="2:64" x14ac:dyDescent="0.25">
      <c r="B36" s="7"/>
      <c r="C36" s="12" t="s">
        <v>40</v>
      </c>
      <c r="D36" s="12"/>
      <c r="E36" s="11" t="s">
        <v>23</v>
      </c>
      <c r="F36" s="122" t="s">
        <v>41</v>
      </c>
      <c r="G36" s="123"/>
      <c r="H36" s="14">
        <f>H24</f>
        <v>75</v>
      </c>
      <c r="I36" s="16"/>
      <c r="J36" s="17"/>
      <c r="L36" s="24">
        <f t="shared" si="0"/>
        <v>48</v>
      </c>
      <c r="M36" s="26">
        <f>IF('Simulasi Premi 1 (Personal)'!$E$38="Menurun",'Spek Produk'!M94,'Spek Produk'!M152)</f>
        <v>4.5199999999999996</v>
      </c>
      <c r="N36" s="26">
        <f>IF('Simulasi Premi 1 (Personal)'!$E$38="Menurun",'Spek Produk'!N94,'Spek Produk'!N152)</f>
        <v>8.43</v>
      </c>
      <c r="O36" s="26">
        <f>IF('Simulasi Premi 1 (Personal)'!$E$38="Menurun",'Spek Produk'!O94,'Spek Produk'!O152)</f>
        <v>12</v>
      </c>
      <c r="P36" s="26">
        <f>IF('Simulasi Premi 1 (Personal)'!$E$38="Menurun",'Spek Produk'!P94,'Spek Produk'!P152)</f>
        <v>15.69</v>
      </c>
      <c r="Q36" s="26">
        <f>IF('Simulasi Premi 1 (Personal)'!$E$38="Menurun",'Spek Produk'!Q94,'Spek Produk'!Q152)</f>
        <v>19.46</v>
      </c>
      <c r="R36" s="26">
        <f>IF('Simulasi Premi 1 (Personal)'!$E$38="Menurun",'Spek Produk'!R94,'Spek Produk'!R152)</f>
        <v>23.52</v>
      </c>
      <c r="S36" s="26">
        <f>IF('Simulasi Premi 1 (Personal)'!$E$38="Menurun",'Spek Produk'!S94,'Spek Produk'!S152)</f>
        <v>27.67</v>
      </c>
      <c r="T36" s="26">
        <f>IF('Simulasi Premi 1 (Personal)'!$E$38="Menurun",'Spek Produk'!T94,'Spek Produk'!T152)</f>
        <v>31.68</v>
      </c>
      <c r="U36" s="26">
        <f>IF('Simulasi Premi 1 (Personal)'!$E$38="Menurun",'Spek Produk'!U94,'Spek Produk'!U152)</f>
        <v>35.950000000000003</v>
      </c>
      <c r="V36" s="26">
        <f>IF('Simulasi Premi 1 (Personal)'!$E$38="Menurun",'Spek Produk'!V94,'Spek Produk'!V152)</f>
        <v>40.33</v>
      </c>
      <c r="W36" s="26">
        <f>IF('Simulasi Premi 1 (Personal)'!$E$38="Menurun",'Spek Produk'!W94,'Spek Produk'!W152)</f>
        <v>44.76</v>
      </c>
      <c r="X36" s="26">
        <f>IF('Simulasi Premi 1 (Personal)'!$E$38="Menurun",'Spek Produk'!X94,'Spek Produk'!X152)</f>
        <v>48.93</v>
      </c>
      <c r="Y36" s="26">
        <f>IF('Simulasi Premi 1 (Personal)'!$E$38="Menurun",'Spek Produk'!Y94,'Spek Produk'!Y152)</f>
        <v>53.5</v>
      </c>
      <c r="Z36" s="26">
        <f>IF('Simulasi Premi 1 (Personal)'!$E$38="Menurun",'Spek Produk'!Z94,'Spek Produk'!Z152)</f>
        <v>58.2</v>
      </c>
      <c r="AA36" s="26">
        <f>IF('Simulasi Premi 1 (Personal)'!$E$38="Menurun",'Spek Produk'!AA94,'Spek Produk'!AA152)</f>
        <v>62.92</v>
      </c>
      <c r="AB36" s="26">
        <f>IF('Simulasi Premi 1 (Personal)'!$E$38="Menurun",'Spek Produk'!AB94,'Spek Produk'!AB152)</f>
        <v>68.09</v>
      </c>
      <c r="AC36" s="26">
        <f>IF('Simulasi Premi 1 (Personal)'!$E$38="Menurun",'Spek Produk'!AC94,'Spek Produk'!AC152)</f>
        <v>72.53</v>
      </c>
      <c r="AD36" s="26">
        <f>IF('Simulasi Premi 1 (Personal)'!$E$38="Menurun",'Spek Produk'!AD94,'Spek Produk'!AD152)</f>
        <v>76.94</v>
      </c>
      <c r="AE36" s="26">
        <f>IF('Simulasi Premi 1 (Personal)'!$E$38="Menurun",'Spek Produk'!AE94,'Spek Produk'!AE152)</f>
        <v>81.319999999999993</v>
      </c>
      <c r="AF36" s="26">
        <f>IF('Simulasi Premi 1 (Personal)'!$E$38="Menurun",'Spek Produk'!AF94,'Spek Produk'!AF152)</f>
        <v>85.67</v>
      </c>
      <c r="AG36" s="26">
        <f>IF('Simulasi Premi 1 (Personal)'!$E$38="Menurun",'Spek Produk'!AG94,'Spek Produk'!AG152)</f>
        <v>0</v>
      </c>
      <c r="AH36" s="26">
        <f>IF('Simulasi Premi 1 (Personal)'!$E$38="Menurun",'Spek Produk'!AH94,'Spek Produk'!AH152)</f>
        <v>0</v>
      </c>
      <c r="AI36" s="26">
        <f>IF('Simulasi Premi 1 (Personal)'!$E$38="Menurun",'Spek Produk'!AI94,'Spek Produk'!AI152)</f>
        <v>0</v>
      </c>
      <c r="AJ36" s="26">
        <f>IF('Simulasi Premi 1 (Personal)'!$E$38="Menurun",'Spek Produk'!AJ94,'Spek Produk'!AJ152)</f>
        <v>0</v>
      </c>
      <c r="AK36" s="26">
        <f>IF('Simulasi Premi 1 (Personal)'!$E$38="Menurun",'Spek Produk'!AK94,'Spek Produk'!AK152)</f>
        <v>0</v>
      </c>
      <c r="AL36" s="26">
        <f>IF('Simulasi Premi 1 (Personal)'!$E$38="Menurun",'Spek Produk'!AL94,'Spek Produk'!AL152)</f>
        <v>0</v>
      </c>
      <c r="AM36" s="26">
        <f>IF('Simulasi Premi 1 (Personal)'!$E$38="Menurun",'Spek Produk'!AM94,'Spek Produk'!AM152)</f>
        <v>0</v>
      </c>
      <c r="AN36" s="26">
        <f>IF('Simulasi Premi 1 (Personal)'!$E$38="Menurun",'Spek Produk'!AN94,'Spek Produk'!AN152)</f>
        <v>0</v>
      </c>
      <c r="AO36" s="26">
        <f>IF('Simulasi Premi 1 (Personal)'!$E$38="Menurun",'Spek Produk'!AO94,'Spek Produk'!AO152)</f>
        <v>0</v>
      </c>
      <c r="AP36" s="26">
        <f>IF('Simulasi Premi 1 (Personal)'!$E$38="Menurun",'Spek Produk'!AP94,'Spek Produk'!AP152)</f>
        <v>0</v>
      </c>
      <c r="AR36">
        <v>11</v>
      </c>
    </row>
    <row r="37" spans="2:64" x14ac:dyDescent="0.25">
      <c r="B37" s="18"/>
      <c r="C37" s="19"/>
      <c r="D37" s="19"/>
      <c r="E37" s="20"/>
      <c r="F37" s="20"/>
      <c r="G37" s="20"/>
      <c r="H37" s="21"/>
      <c r="I37" s="21"/>
      <c r="J37" s="22"/>
      <c r="L37" s="24">
        <f t="shared" si="0"/>
        <v>49</v>
      </c>
      <c r="M37" s="26">
        <f>IF('Simulasi Premi 1 (Personal)'!$E$38="Menurun",'Spek Produk'!M95,'Spek Produk'!M153)</f>
        <v>4.87</v>
      </c>
      <c r="N37" s="26">
        <f>IF('Simulasi Premi 1 (Personal)'!$E$38="Menurun",'Spek Produk'!N95,'Spek Produk'!N153)</f>
        <v>9.16</v>
      </c>
      <c r="O37" s="26">
        <f>IF('Simulasi Premi 1 (Personal)'!$E$38="Menurun",'Spek Produk'!O95,'Spek Produk'!O153)</f>
        <v>13.05</v>
      </c>
      <c r="P37" s="26">
        <f>IF('Simulasi Premi 1 (Personal)'!$E$38="Menurun",'Spek Produk'!P95,'Spek Produk'!P153)</f>
        <v>17.12</v>
      </c>
      <c r="Q37" s="26">
        <f>IF('Simulasi Premi 1 (Personal)'!$E$38="Menurun",'Spek Produk'!Q95,'Spek Produk'!Q153)</f>
        <v>21.17</v>
      </c>
      <c r="R37" s="26">
        <f>IF('Simulasi Premi 1 (Personal)'!$E$38="Menurun",'Spek Produk'!R95,'Spek Produk'!R153)</f>
        <v>25.52</v>
      </c>
      <c r="S37" s="26">
        <f>IF('Simulasi Premi 1 (Personal)'!$E$38="Menurun",'Spek Produk'!S95,'Spek Produk'!S153)</f>
        <v>29.94</v>
      </c>
      <c r="T37" s="26">
        <f>IF('Simulasi Premi 1 (Personal)'!$E$38="Menurun",'Spek Produk'!T95,'Spek Produk'!T153)</f>
        <v>34.74</v>
      </c>
      <c r="U37" s="26">
        <f>IF('Simulasi Premi 1 (Personal)'!$E$38="Menurun",'Spek Produk'!U95,'Spek Produk'!U153)</f>
        <v>38.96</v>
      </c>
      <c r="V37" s="26">
        <f>IF('Simulasi Premi 1 (Personal)'!$E$38="Menurun",'Spek Produk'!V95,'Spek Produk'!V153)</f>
        <v>43.63</v>
      </c>
      <c r="W37" s="26">
        <f>IF('Simulasi Premi 1 (Personal)'!$E$38="Menurun",'Spek Produk'!W95,'Spek Produk'!W153)</f>
        <v>48.43</v>
      </c>
      <c r="X37" s="26">
        <f>IF('Simulasi Premi 1 (Personal)'!$E$38="Menurun",'Spek Produk'!X95,'Spek Produk'!X153)</f>
        <v>53.23</v>
      </c>
      <c r="Y37" s="26">
        <f>IF('Simulasi Premi 1 (Personal)'!$E$38="Menurun",'Spek Produk'!Y95,'Spek Produk'!Y153)</f>
        <v>58.17</v>
      </c>
      <c r="Z37" s="26">
        <f>IF('Simulasi Premi 1 (Personal)'!$E$38="Menurun",'Spek Produk'!Z95,'Spek Produk'!Z153)</f>
        <v>63.16</v>
      </c>
      <c r="AA37" s="26">
        <f>IF('Simulasi Premi 1 (Personal)'!$E$38="Menurun",'Spek Produk'!AA95,'Spek Produk'!AA153)</f>
        <v>68.23</v>
      </c>
      <c r="AB37" s="26">
        <f>IF('Simulasi Premi 1 (Personal)'!$E$38="Menurun",'Spek Produk'!AB95,'Spek Produk'!AB153)</f>
        <v>73.83</v>
      </c>
      <c r="AC37" s="26">
        <f>IF('Simulasi Premi 1 (Personal)'!$E$38="Menurun",'Spek Produk'!AC95,'Spek Produk'!AC153)</f>
        <v>78.66</v>
      </c>
      <c r="AD37" s="26">
        <f>IF('Simulasi Premi 1 (Personal)'!$E$38="Menurun",'Spek Produk'!AD95,'Spek Produk'!AD153)</f>
        <v>83.44</v>
      </c>
      <c r="AE37" s="26">
        <f>IF('Simulasi Premi 1 (Personal)'!$E$38="Menurun",'Spek Produk'!AE95,'Spek Produk'!AE153)</f>
        <v>88.19</v>
      </c>
      <c r="AF37" s="26">
        <f>IF('Simulasi Premi 1 (Personal)'!$E$38="Menurun",'Spek Produk'!AF95,'Spek Produk'!AF153)</f>
        <v>92.88</v>
      </c>
      <c r="AG37" s="26">
        <f>IF('Simulasi Premi 1 (Personal)'!$E$38="Menurun",'Spek Produk'!AG95,'Spek Produk'!AG153)</f>
        <v>0</v>
      </c>
      <c r="AH37" s="26">
        <f>IF('Simulasi Premi 1 (Personal)'!$E$38="Menurun",'Spek Produk'!AH95,'Spek Produk'!AH153)</f>
        <v>0</v>
      </c>
      <c r="AI37" s="26">
        <f>IF('Simulasi Premi 1 (Personal)'!$E$38="Menurun",'Spek Produk'!AI95,'Spek Produk'!AI153)</f>
        <v>0</v>
      </c>
      <c r="AJ37" s="26">
        <f>IF('Simulasi Premi 1 (Personal)'!$E$38="Menurun",'Spek Produk'!AJ95,'Spek Produk'!AJ153)</f>
        <v>0</v>
      </c>
      <c r="AK37" s="26">
        <f>IF('Simulasi Premi 1 (Personal)'!$E$38="Menurun",'Spek Produk'!AK95,'Spek Produk'!AK153)</f>
        <v>0</v>
      </c>
      <c r="AL37" s="26">
        <f>IF('Simulasi Premi 1 (Personal)'!$E$38="Menurun",'Spek Produk'!AL95,'Spek Produk'!AL153)</f>
        <v>0</v>
      </c>
      <c r="AM37" s="26">
        <f>IF('Simulasi Premi 1 (Personal)'!$E$38="Menurun",'Spek Produk'!AM95,'Spek Produk'!AM153)</f>
        <v>0</v>
      </c>
      <c r="AN37" s="26">
        <f>IF('Simulasi Premi 1 (Personal)'!$E$38="Menurun",'Spek Produk'!AN95,'Spek Produk'!AN153)</f>
        <v>0</v>
      </c>
      <c r="AO37" s="26">
        <f>IF('Simulasi Premi 1 (Personal)'!$E$38="Menurun",'Spek Produk'!AO95,'Spek Produk'!AO153)</f>
        <v>0</v>
      </c>
      <c r="AP37" s="26">
        <f>IF('Simulasi Premi 1 (Personal)'!$E$38="Menurun",'Spek Produk'!AP95,'Spek Produk'!AP153)</f>
        <v>0</v>
      </c>
    </row>
    <row r="38" spans="2:64" x14ac:dyDescent="0.25">
      <c r="L38" s="24">
        <f t="shared" si="0"/>
        <v>50</v>
      </c>
      <c r="M38" s="26">
        <f>IF('Simulasi Premi 1 (Personal)'!$E$38="Menurun",'Spek Produk'!M96,'Spek Produk'!M154)</f>
        <v>5.25</v>
      </c>
      <c r="N38" s="26">
        <f>IF('Simulasi Premi 1 (Personal)'!$E$38="Menurun",'Spek Produk'!N96,'Spek Produk'!N154)</f>
        <v>10</v>
      </c>
      <c r="O38" s="26">
        <f>IF('Simulasi Premi 1 (Personal)'!$E$38="Menurun",'Spek Produk'!O96,'Spek Produk'!O154)</f>
        <v>14.24</v>
      </c>
      <c r="P38" s="26">
        <f>IF('Simulasi Premi 1 (Personal)'!$E$38="Menurun",'Spek Produk'!P96,'Spek Produk'!P154)</f>
        <v>18.68</v>
      </c>
      <c r="Q38" s="26">
        <f>IF('Simulasi Premi 1 (Personal)'!$E$38="Menurun",'Spek Produk'!Q96,'Spek Produk'!Q154)</f>
        <v>23.09</v>
      </c>
      <c r="R38" s="26">
        <f>IF('Simulasi Premi 1 (Personal)'!$E$38="Menurun",'Spek Produk'!R96,'Spek Produk'!R154)</f>
        <v>27.81</v>
      </c>
      <c r="S38" s="26">
        <f>IF('Simulasi Premi 1 (Personal)'!$E$38="Menurun",'Spek Produk'!S96,'Spek Produk'!S154)</f>
        <v>32.6</v>
      </c>
      <c r="T38" s="26">
        <f>IF('Simulasi Premi 1 (Personal)'!$E$38="Menurun",'Spek Produk'!T96,'Spek Produk'!T154)</f>
        <v>37.53</v>
      </c>
      <c r="U38" s="26">
        <f>IF('Simulasi Premi 1 (Personal)'!$E$38="Menurun",'Spek Produk'!U96,'Spek Produk'!U154)</f>
        <v>42.8</v>
      </c>
      <c r="V38" s="26">
        <f>IF('Simulasi Premi 1 (Personal)'!$E$38="Menurun",'Spek Produk'!V96,'Spek Produk'!V154)</f>
        <v>47.42</v>
      </c>
      <c r="W38" s="26">
        <f>IF('Simulasi Premi 1 (Personal)'!$E$38="Menurun",'Spek Produk'!W96,'Spek Produk'!W154)</f>
        <v>52.57</v>
      </c>
      <c r="X38" s="26">
        <f>IF('Simulasi Premi 1 (Personal)'!$E$38="Menurun",'Spek Produk'!X96,'Spek Produk'!X154)</f>
        <v>57.78</v>
      </c>
      <c r="Y38" s="26">
        <f>IF('Simulasi Premi 1 (Personal)'!$E$38="Menurun",'Spek Produk'!Y96,'Spek Produk'!Y154)</f>
        <v>63.09</v>
      </c>
      <c r="Z38" s="26">
        <f>IF('Simulasi Premi 1 (Personal)'!$E$38="Menurun",'Spek Produk'!Z96,'Spek Produk'!Z154)</f>
        <v>68.430000000000007</v>
      </c>
      <c r="AA38" s="26">
        <f>IF('Simulasi Premi 1 (Personal)'!$E$38="Menurun",'Spek Produk'!AA96,'Spek Produk'!AA154)</f>
        <v>73.88</v>
      </c>
      <c r="AB38" s="26">
        <f>IF('Simulasi Premi 1 (Personal)'!$E$38="Menurun",'Spek Produk'!AB96,'Spek Produk'!AB154)</f>
        <v>79.959999999999994</v>
      </c>
      <c r="AC38" s="26">
        <f>IF('Simulasi Premi 1 (Personal)'!$E$38="Menurun",'Spek Produk'!AC96,'Spek Produk'!AC154)</f>
        <v>85.17</v>
      </c>
      <c r="AD38" s="26">
        <f>IF('Simulasi Premi 1 (Personal)'!$E$38="Menurun",'Spek Produk'!AD96,'Spek Produk'!AD154)</f>
        <v>90.34</v>
      </c>
      <c r="AE38" s="26">
        <f>IF('Simulasi Premi 1 (Personal)'!$E$38="Menurun",'Spek Produk'!AE96,'Spek Produk'!AE154)</f>
        <v>95.46</v>
      </c>
      <c r="AF38" s="26">
        <f>IF('Simulasi Premi 1 (Personal)'!$E$38="Menurun",'Spek Produk'!AF96,'Spek Produk'!AF154)</f>
        <v>100.52</v>
      </c>
      <c r="AG38" s="26">
        <f>IF('Simulasi Premi 1 (Personal)'!$E$38="Menurun",'Spek Produk'!AG96,'Spek Produk'!AG154)</f>
        <v>0</v>
      </c>
      <c r="AH38" s="26">
        <f>IF('Simulasi Premi 1 (Personal)'!$E$38="Menurun",'Spek Produk'!AH96,'Spek Produk'!AH154)</f>
        <v>0</v>
      </c>
      <c r="AI38" s="26">
        <f>IF('Simulasi Premi 1 (Personal)'!$E$38="Menurun",'Spek Produk'!AI96,'Spek Produk'!AI154)</f>
        <v>0</v>
      </c>
      <c r="AJ38" s="26">
        <f>IF('Simulasi Premi 1 (Personal)'!$E$38="Menurun",'Spek Produk'!AJ96,'Spek Produk'!AJ154)</f>
        <v>0</v>
      </c>
      <c r="AK38" s="26">
        <f>IF('Simulasi Premi 1 (Personal)'!$E$38="Menurun",'Spek Produk'!AK96,'Spek Produk'!AK154)</f>
        <v>0</v>
      </c>
      <c r="AL38" s="26">
        <f>IF('Simulasi Premi 1 (Personal)'!$E$38="Menurun",'Spek Produk'!AL96,'Spek Produk'!AL154)</f>
        <v>0</v>
      </c>
      <c r="AM38" s="26">
        <f>IF('Simulasi Premi 1 (Personal)'!$E$38="Menurun",'Spek Produk'!AM96,'Spek Produk'!AM154)</f>
        <v>0</v>
      </c>
      <c r="AN38" s="26">
        <f>IF('Simulasi Premi 1 (Personal)'!$E$38="Menurun",'Spek Produk'!AN96,'Spek Produk'!AN154)</f>
        <v>0</v>
      </c>
      <c r="AO38" s="26">
        <f>IF('Simulasi Premi 1 (Personal)'!$E$38="Menurun",'Spek Produk'!AO96,'Spek Produk'!AO154)</f>
        <v>0</v>
      </c>
      <c r="AP38" s="26">
        <f>IF('Simulasi Premi 1 (Personal)'!$E$38="Menurun",'Spek Produk'!AP96,'Spek Produk'!AP154)</f>
        <v>0</v>
      </c>
      <c r="AR38" t="s">
        <v>94</v>
      </c>
    </row>
    <row r="39" spans="2:64" x14ac:dyDescent="0.25">
      <c r="B39" t="s">
        <v>121</v>
      </c>
      <c r="C39" t="s">
        <v>112</v>
      </c>
      <c r="D39" t="s">
        <v>113</v>
      </c>
      <c r="L39" s="24">
        <f t="shared" si="0"/>
        <v>51</v>
      </c>
      <c r="M39" s="26">
        <f>IF('Simulasi Premi 1 (Personal)'!$E$38="Menurun",'Spek Produk'!M97,'Spek Produk'!M155)</f>
        <v>5.69</v>
      </c>
      <c r="N39" s="26">
        <f>IF('Simulasi Premi 1 (Personal)'!$E$38="Menurun",'Spek Produk'!N97,'Spek Produk'!N155)</f>
        <v>10.91</v>
      </c>
      <c r="O39" s="26">
        <f>IF('Simulasi Premi 1 (Personal)'!$E$38="Menurun",'Spek Produk'!O97,'Spek Produk'!O155)</f>
        <v>15.53</v>
      </c>
      <c r="P39" s="26">
        <f>IF('Simulasi Premi 1 (Personal)'!$E$38="Menurun",'Spek Produk'!P97,'Spek Produk'!P155)</f>
        <v>20.39</v>
      </c>
      <c r="Q39" s="26">
        <f>IF('Simulasi Premi 1 (Personal)'!$E$38="Menurun",'Spek Produk'!Q97,'Spek Produk'!Q155)</f>
        <v>25.2</v>
      </c>
      <c r="R39" s="26">
        <f>IF('Simulasi Premi 1 (Personal)'!$E$38="Menurun",'Spek Produk'!R97,'Spek Produk'!R155)</f>
        <v>30.32</v>
      </c>
      <c r="S39" s="26">
        <f>IF('Simulasi Premi 1 (Personal)'!$E$38="Menurun",'Spek Produk'!S97,'Spek Produk'!S155)</f>
        <v>35.840000000000003</v>
      </c>
      <c r="T39" s="26">
        <f>IF('Simulasi Premi 1 (Personal)'!$E$38="Menurun",'Spek Produk'!T97,'Spek Produk'!T155)</f>
        <v>41.17</v>
      </c>
      <c r="U39" s="26">
        <f>IF('Simulasi Premi 1 (Personal)'!$E$38="Menurun",'Spek Produk'!U97,'Spek Produk'!U155)</f>
        <v>46.13</v>
      </c>
      <c r="V39" s="26">
        <f>IF('Simulasi Premi 1 (Personal)'!$E$38="Menurun",'Spek Produk'!V97,'Spek Produk'!V155)</f>
        <v>51.48</v>
      </c>
      <c r="W39" s="26">
        <f>IF('Simulasi Premi 1 (Personal)'!$E$38="Menurun",'Spek Produk'!W97,'Spek Produk'!W155)</f>
        <v>57</v>
      </c>
      <c r="X39" s="26">
        <f>IF('Simulasi Premi 1 (Personal)'!$E$38="Menurun",'Spek Produk'!X97,'Spek Produk'!X155)</f>
        <v>62.61</v>
      </c>
      <c r="Y39" s="26">
        <f>IF('Simulasi Premi 1 (Personal)'!$E$38="Menurun",'Spek Produk'!Y97,'Spek Produk'!Y155)</f>
        <v>68.3</v>
      </c>
      <c r="Z39" s="26">
        <f>IF('Simulasi Premi 1 (Personal)'!$E$38="Menurun",'Spek Produk'!Z97,'Spek Produk'!Z155)</f>
        <v>74.05</v>
      </c>
      <c r="AA39" s="26">
        <f>IF('Simulasi Premi 1 (Personal)'!$E$38="Menurun",'Spek Produk'!AA97,'Spek Produk'!AA155)</f>
        <v>79.91</v>
      </c>
      <c r="AB39" s="26">
        <f>IF('Simulasi Premi 1 (Personal)'!$E$38="Menurun",'Spek Produk'!AB97,'Spek Produk'!AB155)</f>
        <v>86.5</v>
      </c>
      <c r="AC39" s="26">
        <f>IF('Simulasi Premi 1 (Personal)'!$E$38="Menurun",'Spek Produk'!AC97,'Spek Produk'!AC155)</f>
        <v>92.13</v>
      </c>
      <c r="AD39" s="26">
        <f>IF('Simulasi Premi 1 (Personal)'!$E$38="Menurun",'Spek Produk'!AD97,'Spek Produk'!AD155)</f>
        <v>97.7</v>
      </c>
      <c r="AE39" s="26">
        <f>IF('Simulasi Premi 1 (Personal)'!$E$38="Menurun",'Spek Produk'!AE97,'Spek Produk'!AE155)</f>
        <v>103.21</v>
      </c>
      <c r="AF39" s="26">
        <f>IF('Simulasi Premi 1 (Personal)'!$E$38="Menurun",'Spek Produk'!AF97,'Spek Produk'!AF155)</f>
        <v>108.64</v>
      </c>
      <c r="AG39" s="26">
        <f>IF('Simulasi Premi 1 (Personal)'!$E$38="Menurun",'Spek Produk'!AG97,'Spek Produk'!AG155)</f>
        <v>0</v>
      </c>
      <c r="AH39" s="26">
        <f>IF('Simulasi Premi 1 (Personal)'!$E$38="Menurun",'Spek Produk'!AH97,'Spek Produk'!AH155)</f>
        <v>0</v>
      </c>
      <c r="AI39" s="26">
        <f>IF('Simulasi Premi 1 (Personal)'!$E$38="Menurun",'Spek Produk'!AI97,'Spek Produk'!AI155)</f>
        <v>0</v>
      </c>
      <c r="AJ39" s="26">
        <f>IF('Simulasi Premi 1 (Personal)'!$E$38="Menurun",'Spek Produk'!AJ97,'Spek Produk'!AJ155)</f>
        <v>0</v>
      </c>
      <c r="AK39" s="26">
        <f>IF('Simulasi Premi 1 (Personal)'!$E$38="Menurun",'Spek Produk'!AK97,'Spek Produk'!AK155)</f>
        <v>0</v>
      </c>
      <c r="AL39" s="26">
        <f>IF('Simulasi Premi 1 (Personal)'!$E$38="Menurun",'Spek Produk'!AL97,'Spek Produk'!AL155)</f>
        <v>0</v>
      </c>
      <c r="AM39" s="26">
        <f>IF('Simulasi Premi 1 (Personal)'!$E$38="Menurun",'Spek Produk'!AM97,'Spek Produk'!AM155)</f>
        <v>0</v>
      </c>
      <c r="AN39" s="26">
        <f>IF('Simulasi Premi 1 (Personal)'!$E$38="Menurun",'Spek Produk'!AN97,'Spek Produk'!AN155)</f>
        <v>0</v>
      </c>
      <c r="AO39" s="26">
        <f>IF('Simulasi Premi 1 (Personal)'!$E$38="Menurun",'Spek Produk'!AO97,'Spek Produk'!AO155)</f>
        <v>0</v>
      </c>
      <c r="AP39" s="26">
        <f>IF('Simulasi Premi 1 (Personal)'!$E$38="Menurun",'Spek Produk'!AP97,'Spek Produk'!AP155)</f>
        <v>0</v>
      </c>
      <c r="AR39" t="s">
        <v>92</v>
      </c>
      <c r="AS39" t="b">
        <v>1</v>
      </c>
      <c r="AT39" t="str">
        <f>IF(AS39=TRUE,"Menurun","")</f>
        <v>Menurun</v>
      </c>
      <c r="AU39" t="str">
        <f>IF(AS39=TRUE,"Menurun","Tetap")</f>
        <v>Menurun</v>
      </c>
    </row>
    <row r="40" spans="2:64" x14ac:dyDescent="0.25">
      <c r="B40">
        <v>64</v>
      </c>
      <c r="C40">
        <v>70</v>
      </c>
      <c r="D40" s="106">
        <v>1000000000</v>
      </c>
      <c r="L40" s="24">
        <f t="shared" si="0"/>
        <v>52</v>
      </c>
      <c r="M40" s="26">
        <f>IF('Simulasi Premi 1 (Personal)'!$E$38="Menurun",'Spek Produk'!M98,'Spek Produk'!M156)</f>
        <v>6.19</v>
      </c>
      <c r="N40" s="26">
        <f>IF('Simulasi Premi 1 (Personal)'!$E$38="Menurun",'Spek Produk'!N98,'Spek Produk'!N156)</f>
        <v>11.91</v>
      </c>
      <c r="O40" s="26">
        <f>IF('Simulasi Premi 1 (Personal)'!$E$38="Menurun",'Spek Produk'!O98,'Spek Produk'!O156)</f>
        <v>16.95</v>
      </c>
      <c r="P40" s="26">
        <f>IF('Simulasi Premi 1 (Personal)'!$E$38="Menurun",'Spek Produk'!P98,'Spek Produk'!P156)</f>
        <v>22.25</v>
      </c>
      <c r="Q40" s="26">
        <f>IF('Simulasi Premi 1 (Personal)'!$E$38="Menurun",'Spek Produk'!Q98,'Spek Produk'!Q156)</f>
        <v>27.47</v>
      </c>
      <c r="R40" s="26">
        <f>IF('Simulasi Premi 1 (Personal)'!$E$38="Menurun",'Spek Produk'!R98,'Spek Produk'!R156)</f>
        <v>33.020000000000003</v>
      </c>
      <c r="S40" s="26">
        <f>IF('Simulasi Premi 1 (Personal)'!$E$38="Menurun",'Spek Produk'!S98,'Spek Produk'!S156)</f>
        <v>38.67</v>
      </c>
      <c r="T40" s="26">
        <f>IF('Simulasi Premi 1 (Personal)'!$E$38="Menurun",'Spek Produk'!T98,'Spek Produk'!T156)</f>
        <v>44.32</v>
      </c>
      <c r="U40" s="26">
        <f>IF('Simulasi Premi 1 (Personal)'!$E$38="Menurun",'Spek Produk'!U98,'Spek Produk'!U156)</f>
        <v>49.96</v>
      </c>
      <c r="V40" s="26">
        <f>IF('Simulasi Premi 1 (Personal)'!$E$38="Menurun",'Spek Produk'!V98,'Spek Produk'!V156)</f>
        <v>55.76</v>
      </c>
      <c r="W40" s="26">
        <f>IF('Simulasi Premi 1 (Personal)'!$E$38="Menurun",'Spek Produk'!W98,'Spek Produk'!W156)</f>
        <v>61.68</v>
      </c>
      <c r="X40" s="26">
        <f>IF('Simulasi Premi 1 (Personal)'!$E$38="Menurun",'Spek Produk'!X98,'Spek Produk'!X156)</f>
        <v>67.69</v>
      </c>
      <c r="Y40" s="26">
        <f>IF('Simulasi Premi 1 (Personal)'!$E$38="Menurun",'Spek Produk'!Y98,'Spek Produk'!Y156)</f>
        <v>73.8</v>
      </c>
      <c r="Z40" s="26">
        <f>IF('Simulasi Premi 1 (Personal)'!$E$38="Menurun",'Spek Produk'!Z98,'Spek Produk'!Z156)</f>
        <v>80</v>
      </c>
      <c r="AA40" s="26">
        <f>IF('Simulasi Premi 1 (Personal)'!$E$38="Menurun",'Spek Produk'!AA98,'Spek Produk'!AA156)</f>
        <v>86.28</v>
      </c>
      <c r="AB40" s="26">
        <f>IF('Simulasi Premi 1 (Personal)'!$E$38="Menurun",'Spek Produk'!AB98,'Spek Produk'!AB156)</f>
        <v>93.38</v>
      </c>
      <c r="AC40" s="26">
        <f>IF('Simulasi Premi 1 (Personal)'!$E$38="Menurun",'Spek Produk'!AC98,'Spek Produk'!AC156)</f>
        <v>99.45</v>
      </c>
      <c r="AD40" s="26">
        <f>IF('Simulasi Premi 1 (Personal)'!$E$38="Menurun",'Spek Produk'!AD98,'Spek Produk'!AD156)</f>
        <v>105.41</v>
      </c>
      <c r="AE40" s="26">
        <f>IF('Simulasi Premi 1 (Personal)'!$E$38="Menurun",'Spek Produk'!AE98,'Spek Produk'!AE156)</f>
        <v>111.32</v>
      </c>
      <c r="AF40" s="26">
        <f>IF('Simulasi Premi 1 (Personal)'!$E$38="Menurun",'Spek Produk'!AF98,'Spek Produk'!AF156)</f>
        <v>117.14</v>
      </c>
      <c r="AG40" s="26">
        <f>IF('Simulasi Premi 1 (Personal)'!$E$38="Menurun",'Spek Produk'!AG98,'Spek Produk'!AG156)</f>
        <v>0</v>
      </c>
      <c r="AH40" s="26">
        <f>IF('Simulasi Premi 1 (Personal)'!$E$38="Menurun",'Spek Produk'!AH98,'Spek Produk'!AH156)</f>
        <v>0</v>
      </c>
      <c r="AI40" s="26">
        <f>IF('Simulasi Premi 1 (Personal)'!$E$38="Menurun",'Spek Produk'!AI98,'Spek Produk'!AI156)</f>
        <v>0</v>
      </c>
      <c r="AJ40" s="26">
        <f>IF('Simulasi Premi 1 (Personal)'!$E$38="Menurun",'Spek Produk'!AJ98,'Spek Produk'!AJ156)</f>
        <v>0</v>
      </c>
      <c r="AK40" s="26">
        <f>IF('Simulasi Premi 1 (Personal)'!$E$38="Menurun",'Spek Produk'!AK98,'Spek Produk'!AK156)</f>
        <v>0</v>
      </c>
      <c r="AL40" s="26">
        <f>IF('Simulasi Premi 1 (Personal)'!$E$38="Menurun",'Spek Produk'!AL98,'Spek Produk'!AL156)</f>
        <v>0</v>
      </c>
      <c r="AM40" s="26">
        <f>IF('Simulasi Premi 1 (Personal)'!$E$38="Menurun",'Spek Produk'!AM98,'Spek Produk'!AM156)</f>
        <v>0</v>
      </c>
      <c r="AN40" s="26">
        <f>IF('Simulasi Premi 1 (Personal)'!$E$38="Menurun",'Spek Produk'!AN98,'Spek Produk'!AN156)</f>
        <v>0</v>
      </c>
      <c r="AO40" s="26">
        <f>IF('Simulasi Premi 1 (Personal)'!$E$38="Menurun",'Spek Produk'!AO98,'Spek Produk'!AO156)</f>
        <v>0</v>
      </c>
      <c r="AP40" s="26">
        <f>IF('Simulasi Premi 1 (Personal)'!$E$38="Menurun",'Spek Produk'!AP98,'Spek Produk'!AP156)</f>
        <v>0</v>
      </c>
      <c r="AR40" t="s">
        <v>93</v>
      </c>
      <c r="AS40" t="b">
        <v>0</v>
      </c>
      <c r="AT40" t="str">
        <f>IF(AS40=TRUE,"Tetap","")</f>
        <v/>
      </c>
    </row>
    <row r="41" spans="2:64" x14ac:dyDescent="0.25">
      <c r="C41">
        <v>75</v>
      </c>
      <c r="D41" s="106">
        <v>500000000</v>
      </c>
      <c r="L41" s="24">
        <f t="shared" si="0"/>
        <v>53</v>
      </c>
      <c r="M41" s="26">
        <f>IF('Simulasi Premi 1 (Personal)'!$E$38="Menurun",'Spek Produk'!M99,'Spek Produk'!M157)</f>
        <v>6.75</v>
      </c>
      <c r="N41" s="26">
        <f>IF('Simulasi Premi 1 (Personal)'!$E$38="Menurun",'Spek Produk'!N99,'Spek Produk'!N157)</f>
        <v>13.01</v>
      </c>
      <c r="O41" s="26">
        <f>IF('Simulasi Premi 1 (Personal)'!$E$38="Menurun",'Spek Produk'!O99,'Spek Produk'!O157)</f>
        <v>18.510000000000002</v>
      </c>
      <c r="P41" s="26">
        <f>IF('Simulasi Premi 1 (Personal)'!$E$38="Menurun",'Spek Produk'!P99,'Spek Produk'!P157)</f>
        <v>24.25</v>
      </c>
      <c r="Q41" s="26">
        <f>IF('Simulasi Premi 1 (Personal)'!$E$38="Menurun",'Spek Produk'!Q99,'Spek Produk'!Q157)</f>
        <v>29.9</v>
      </c>
      <c r="R41" s="26">
        <f>IF('Simulasi Premi 1 (Personal)'!$E$38="Menurun",'Spek Produk'!R99,'Spek Produk'!R157)</f>
        <v>35.86</v>
      </c>
      <c r="S41" s="26">
        <f>IF('Simulasi Premi 1 (Personal)'!$E$38="Menurun",'Spek Produk'!S99,'Spek Produk'!S157)</f>
        <v>41.86</v>
      </c>
      <c r="T41" s="26">
        <f>IF('Simulasi Premi 1 (Personal)'!$E$38="Menurun",'Spek Produk'!T99,'Spek Produk'!T157)</f>
        <v>47.9</v>
      </c>
      <c r="U41" s="26">
        <f>IF('Simulasi Premi 1 (Personal)'!$E$38="Menurun",'Spek Produk'!U99,'Spek Produk'!U157)</f>
        <v>54.01</v>
      </c>
      <c r="V41" s="26">
        <f>IF('Simulasi Premi 1 (Personal)'!$E$38="Menurun",'Spek Produk'!V99,'Spek Produk'!V157)</f>
        <v>60.23</v>
      </c>
      <c r="W41" s="26">
        <f>IF('Simulasi Premi 1 (Personal)'!$E$38="Menurun",'Spek Produk'!W99,'Spek Produk'!W157)</f>
        <v>66.56</v>
      </c>
      <c r="X41" s="26">
        <f>IF('Simulasi Premi 1 (Personal)'!$E$38="Menurun",'Spek Produk'!X99,'Spek Produk'!X157)</f>
        <v>73.02</v>
      </c>
      <c r="Y41" s="26">
        <f>IF('Simulasi Premi 1 (Personal)'!$E$38="Menurun",'Spek Produk'!Y99,'Spek Produk'!Y157)</f>
        <v>79.59</v>
      </c>
      <c r="Z41" s="26">
        <f>IF('Simulasi Premi 1 (Personal)'!$E$38="Menurun",'Spek Produk'!Z99,'Spek Produk'!Z157)</f>
        <v>86.26</v>
      </c>
      <c r="AA41" s="26">
        <f>IF('Simulasi Premi 1 (Personal)'!$E$38="Menurun",'Spek Produk'!AA99,'Spek Produk'!AA157)</f>
        <v>93.03</v>
      </c>
      <c r="AB41" s="26">
        <f>IF('Simulasi Premi 1 (Personal)'!$E$38="Menurun",'Spek Produk'!AB99,'Spek Produk'!AB157)</f>
        <v>100.65</v>
      </c>
      <c r="AC41" s="26">
        <f>IF('Simulasi Premi 1 (Personal)'!$E$38="Menurun",'Spek Produk'!AC99,'Spek Produk'!AC157)</f>
        <v>107.14</v>
      </c>
      <c r="AD41" s="26">
        <f>IF('Simulasi Premi 1 (Personal)'!$E$38="Menurun",'Spek Produk'!AD99,'Spek Produk'!AD157)</f>
        <v>113.53</v>
      </c>
      <c r="AE41" s="26">
        <f>IF('Simulasi Premi 1 (Personal)'!$E$38="Menurun",'Spek Produk'!AE99,'Spek Produk'!AE157)</f>
        <v>119.84</v>
      </c>
      <c r="AF41" s="26">
        <f>IF('Simulasi Premi 1 (Personal)'!$E$38="Menurun",'Spek Produk'!AF99,'Spek Produk'!AF157)</f>
        <v>126.05</v>
      </c>
      <c r="AG41" s="26">
        <f>IF('Simulasi Premi 1 (Personal)'!$E$38="Menurun",'Spek Produk'!AG99,'Spek Produk'!AG157)</f>
        <v>0</v>
      </c>
      <c r="AH41" s="26">
        <f>IF('Simulasi Premi 1 (Personal)'!$E$38="Menurun",'Spek Produk'!AH99,'Spek Produk'!AH157)</f>
        <v>0</v>
      </c>
      <c r="AI41" s="26">
        <f>IF('Simulasi Premi 1 (Personal)'!$E$38="Menurun",'Spek Produk'!AI99,'Spek Produk'!AI157)</f>
        <v>0</v>
      </c>
      <c r="AJ41" s="26">
        <f>IF('Simulasi Premi 1 (Personal)'!$E$38="Menurun",'Spek Produk'!AJ99,'Spek Produk'!AJ157)</f>
        <v>0</v>
      </c>
      <c r="AK41" s="26">
        <f>IF('Simulasi Premi 1 (Personal)'!$E$38="Menurun",'Spek Produk'!AK99,'Spek Produk'!AK157)</f>
        <v>0</v>
      </c>
      <c r="AL41" s="26">
        <f>IF('Simulasi Premi 1 (Personal)'!$E$38="Menurun",'Spek Produk'!AL99,'Spek Produk'!AL157)</f>
        <v>0</v>
      </c>
      <c r="AM41" s="26">
        <f>IF('Simulasi Premi 1 (Personal)'!$E$38="Menurun",'Spek Produk'!AM99,'Spek Produk'!AM157)</f>
        <v>0</v>
      </c>
      <c r="AN41" s="26">
        <f>IF('Simulasi Premi 1 (Personal)'!$E$38="Menurun",'Spek Produk'!AN99,'Spek Produk'!AN157)</f>
        <v>0</v>
      </c>
      <c r="AO41" s="26">
        <f>IF('Simulasi Premi 1 (Personal)'!$E$38="Menurun",'Spek Produk'!AO99,'Spek Produk'!AO157)</f>
        <v>0</v>
      </c>
      <c r="AP41" s="26">
        <f>IF('Simulasi Premi 1 (Personal)'!$E$38="Menurun",'Spek Produk'!AP99,'Spek Produk'!AP157)</f>
        <v>0</v>
      </c>
    </row>
    <row r="42" spans="2:64" x14ac:dyDescent="0.25">
      <c r="L42" s="24">
        <f t="shared" si="0"/>
        <v>54</v>
      </c>
      <c r="M42" s="26">
        <f>IF('Simulasi Premi 1 (Personal)'!$E$38="Menurun",'Spek Produk'!M100,'Spek Produk'!M158)</f>
        <v>7.39</v>
      </c>
      <c r="N42" s="26">
        <f>IF('Simulasi Premi 1 (Personal)'!$E$38="Menurun",'Spek Produk'!N100,'Spek Produk'!N158)</f>
        <v>14.18</v>
      </c>
      <c r="O42" s="26">
        <f>IF('Simulasi Premi 1 (Personal)'!$E$38="Menurun",'Spek Produk'!O100,'Spek Produk'!O158)</f>
        <v>20.14</v>
      </c>
      <c r="P42" s="26">
        <f>IF('Simulasi Premi 1 (Personal)'!$E$38="Menurun",'Spek Produk'!P100,'Spek Produk'!P158)</f>
        <v>26.35</v>
      </c>
      <c r="Q42" s="26">
        <f>IF('Simulasi Premi 1 (Personal)'!$E$38="Menurun",'Spek Produk'!Q100,'Spek Produk'!Q158)</f>
        <v>32.409999999999997</v>
      </c>
      <c r="R42" s="26">
        <f>IF('Simulasi Premi 1 (Personal)'!$E$38="Menurun",'Spek Produk'!R100,'Spek Produk'!R158)</f>
        <v>38.78</v>
      </c>
      <c r="S42" s="26">
        <f>IF('Simulasi Premi 1 (Personal)'!$E$38="Menurun",'Spek Produk'!S100,'Spek Produk'!S158)</f>
        <v>45.18</v>
      </c>
      <c r="T42" s="26">
        <f>IF('Simulasi Premi 1 (Personal)'!$E$38="Menurun",'Spek Produk'!T100,'Spek Produk'!T158)</f>
        <v>51.63</v>
      </c>
      <c r="U42" s="26">
        <f>IF('Simulasi Premi 1 (Personal)'!$E$38="Menurun",'Spek Produk'!U100,'Spek Produk'!U158)</f>
        <v>58.17</v>
      </c>
      <c r="V42" s="26">
        <f>IF('Simulasi Premi 1 (Personal)'!$E$38="Menurun",'Spek Produk'!V100,'Spek Produk'!V158)</f>
        <v>64.819999999999993</v>
      </c>
      <c r="W42" s="26">
        <f>IF('Simulasi Premi 1 (Personal)'!$E$38="Menurun",'Spek Produk'!W100,'Spek Produk'!W158)</f>
        <v>71.61</v>
      </c>
      <c r="X42" s="26">
        <f>IF('Simulasi Premi 1 (Personal)'!$E$38="Menurun",'Spek Produk'!X100,'Spek Produk'!X158)</f>
        <v>78.56</v>
      </c>
      <c r="Y42" s="26">
        <f>IF('Simulasi Premi 1 (Personal)'!$E$38="Menurun",'Spek Produk'!Y100,'Spek Produk'!Y158)</f>
        <v>85.65</v>
      </c>
      <c r="Z42" s="26">
        <f>IF('Simulasi Premi 1 (Personal)'!$E$38="Menurun",'Spek Produk'!Z100,'Spek Produk'!Z158)</f>
        <v>92.84</v>
      </c>
      <c r="AA42" s="26">
        <f>IF('Simulasi Premi 1 (Personal)'!$E$38="Menurun",'Spek Produk'!AA100,'Spek Produk'!AA158)</f>
        <v>100.1</v>
      </c>
      <c r="AB42" s="26">
        <f>IF('Simulasi Premi 1 (Personal)'!$E$38="Menurun",'Spek Produk'!AB100,'Spek Produk'!AB158)</f>
        <v>108.28</v>
      </c>
      <c r="AC42" s="26">
        <f>IF('Simulasi Premi 1 (Personal)'!$E$38="Menurun",'Spek Produk'!AC100,'Spek Produk'!AC158)</f>
        <v>115.2</v>
      </c>
      <c r="AD42" s="26">
        <f>IF('Simulasi Premi 1 (Personal)'!$E$38="Menurun",'Spek Produk'!AD100,'Spek Produk'!AD158)</f>
        <v>122.04</v>
      </c>
      <c r="AE42" s="26">
        <f>IF('Simulasi Premi 1 (Personal)'!$E$38="Menurun",'Spek Produk'!AE100,'Spek Produk'!AE158)</f>
        <v>128.77000000000001</v>
      </c>
      <c r="AF42" s="26">
        <f>IF('Simulasi Premi 1 (Personal)'!$E$38="Menurun",'Spek Produk'!AF100,'Spek Produk'!AF158)</f>
        <v>135.38999999999999</v>
      </c>
      <c r="AG42" s="26">
        <f>IF('Simulasi Premi 1 (Personal)'!$E$38="Menurun",'Spek Produk'!AG100,'Spek Produk'!AG158)</f>
        <v>0</v>
      </c>
      <c r="AH42" s="26">
        <f>IF('Simulasi Premi 1 (Personal)'!$E$38="Menurun",'Spek Produk'!AH100,'Spek Produk'!AH158)</f>
        <v>0</v>
      </c>
      <c r="AI42" s="26">
        <f>IF('Simulasi Premi 1 (Personal)'!$E$38="Menurun",'Spek Produk'!AI100,'Spek Produk'!AI158)</f>
        <v>0</v>
      </c>
      <c r="AJ42" s="26">
        <f>IF('Simulasi Premi 1 (Personal)'!$E$38="Menurun",'Spek Produk'!AJ100,'Spek Produk'!AJ158)</f>
        <v>0</v>
      </c>
      <c r="AK42" s="26">
        <f>IF('Simulasi Premi 1 (Personal)'!$E$38="Menurun",'Spek Produk'!AK100,'Spek Produk'!AK158)</f>
        <v>0</v>
      </c>
      <c r="AL42" s="26">
        <f>IF('Simulasi Premi 1 (Personal)'!$E$38="Menurun",'Spek Produk'!AL100,'Spek Produk'!AL158)</f>
        <v>0</v>
      </c>
      <c r="AM42" s="26">
        <f>IF('Simulasi Premi 1 (Personal)'!$E$38="Menurun",'Spek Produk'!AM100,'Spek Produk'!AM158)</f>
        <v>0</v>
      </c>
      <c r="AN42" s="26">
        <f>IF('Simulasi Premi 1 (Personal)'!$E$38="Menurun",'Spek Produk'!AN100,'Spek Produk'!AN158)</f>
        <v>0</v>
      </c>
      <c r="AO42" s="26">
        <f>IF('Simulasi Premi 1 (Personal)'!$E$38="Menurun",'Spek Produk'!AO100,'Spek Produk'!AO158)</f>
        <v>0</v>
      </c>
      <c r="AP42" s="26">
        <f>IF('Simulasi Premi 1 (Personal)'!$E$38="Menurun",'Spek Produk'!AP100,'Spek Produk'!AP158)</f>
        <v>0</v>
      </c>
      <c r="AR42" cm="1">
        <f t="array" ref="AR42:BL42">_xlfn.SEQUENCE(,I22-G22+1,G22,1)</f>
        <v>0</v>
      </c>
      <c r="AS42">
        <v>1</v>
      </c>
      <c r="AT42">
        <v>2</v>
      </c>
      <c r="AU42">
        <v>3</v>
      </c>
      <c r="AV42">
        <v>4</v>
      </c>
      <c r="AW42">
        <v>5</v>
      </c>
      <c r="AX42">
        <v>6</v>
      </c>
      <c r="AY42">
        <v>7</v>
      </c>
      <c r="AZ42">
        <v>8</v>
      </c>
      <c r="BA42">
        <v>9</v>
      </c>
      <c r="BB42">
        <v>10</v>
      </c>
      <c r="BC42">
        <v>11</v>
      </c>
      <c r="BD42">
        <v>12</v>
      </c>
      <c r="BE42">
        <v>13</v>
      </c>
      <c r="BF42">
        <v>14</v>
      </c>
      <c r="BG42">
        <v>15</v>
      </c>
      <c r="BH42">
        <v>16</v>
      </c>
      <c r="BI42">
        <v>17</v>
      </c>
      <c r="BJ42">
        <v>18</v>
      </c>
      <c r="BK42">
        <v>19</v>
      </c>
      <c r="BL42">
        <v>20</v>
      </c>
    </row>
    <row r="43" spans="2:64" x14ac:dyDescent="0.25">
      <c r="L43" s="24">
        <f t="shared" si="0"/>
        <v>55</v>
      </c>
      <c r="M43" s="26">
        <f>IF('Simulasi Premi 1 (Personal)'!$E$38="Menurun",'Spek Produk'!M101,'Spek Produk'!M159)</f>
        <v>8.08</v>
      </c>
      <c r="N43" s="26">
        <f>IF('Simulasi Premi 1 (Personal)'!$E$38="Menurun",'Spek Produk'!N101,'Spek Produk'!N159)</f>
        <v>15.39</v>
      </c>
      <c r="O43" s="26">
        <f>IF('Simulasi Premi 1 (Personal)'!$E$38="Menurun",'Spek Produk'!O101,'Spek Produk'!O159)</f>
        <v>21.81</v>
      </c>
      <c r="P43" s="26">
        <f>IF('Simulasi Premi 1 (Personal)'!$E$38="Menurun",'Spek Produk'!P101,'Spek Produk'!P159)</f>
        <v>28.46</v>
      </c>
      <c r="Q43" s="26">
        <f>IF('Simulasi Premi 1 (Personal)'!$E$38="Menurun",'Spek Produk'!Q101,'Spek Produk'!Q159)</f>
        <v>34.909999999999997</v>
      </c>
      <c r="R43" s="26">
        <f>IF('Simulasi Premi 1 (Personal)'!$E$38="Menurun",'Spek Produk'!R101,'Spek Produk'!R159)</f>
        <v>41.68</v>
      </c>
      <c r="S43" s="26">
        <f>IF('Simulasi Premi 1 (Personal)'!$E$38="Menurun",'Spek Produk'!S101,'Spek Produk'!S159)</f>
        <v>48.5</v>
      </c>
      <c r="T43" s="26">
        <f>IF('Simulasi Premi 1 (Personal)'!$E$38="Menurun",'Spek Produk'!T101,'Spek Produk'!T159)</f>
        <v>55.37</v>
      </c>
      <c r="U43" s="26">
        <f>IF('Simulasi Premi 1 (Personal)'!$E$38="Menurun",'Spek Produk'!U101,'Spek Produk'!U159)</f>
        <v>62.35</v>
      </c>
      <c r="V43" s="26">
        <f>IF('Simulasi Premi 1 (Personal)'!$E$38="Menurun",'Spek Produk'!V101,'Spek Produk'!V159)</f>
        <v>69.489999999999995</v>
      </c>
      <c r="W43" s="26">
        <f>IF('Simulasi Premi 1 (Personal)'!$E$38="Menurun",'Spek Produk'!W101,'Spek Produk'!W159)</f>
        <v>76.819999999999993</v>
      </c>
      <c r="X43" s="26">
        <f>IF('Simulasi Premi 1 (Personal)'!$E$38="Menurun",'Spek Produk'!X101,'Spek Produk'!X159)</f>
        <v>84.31</v>
      </c>
      <c r="Y43" s="26">
        <f>IF('Simulasi Premi 1 (Personal)'!$E$38="Menurun",'Spek Produk'!Y101,'Spek Produk'!Y159)</f>
        <v>91.95</v>
      </c>
      <c r="Z43" s="26">
        <f>IF('Simulasi Premi 1 (Personal)'!$E$38="Menurun",'Spek Produk'!Z101,'Spek Produk'!Z159)</f>
        <v>99.68</v>
      </c>
      <c r="AA43" s="26">
        <f>IF('Simulasi Premi 1 (Personal)'!$E$38="Menurun",'Spek Produk'!AA101,'Spek Produk'!AA159)</f>
        <v>107.5</v>
      </c>
      <c r="AB43" s="26">
        <f>IF('Simulasi Premi 1 (Personal)'!$E$38="Menurun",'Spek Produk'!AB101,'Spek Produk'!AB159)</f>
        <v>116.24</v>
      </c>
      <c r="AC43" s="26">
        <f>IF('Simulasi Premi 1 (Personal)'!$E$38="Menurun",'Spek Produk'!AC101,'Spek Produk'!AC159)</f>
        <v>123.62</v>
      </c>
      <c r="AD43" s="26">
        <f>IF('Simulasi Premi 1 (Personal)'!$E$38="Menurun",'Spek Produk'!AD101,'Spek Produk'!AD159)</f>
        <v>130.9</v>
      </c>
      <c r="AE43" s="26">
        <f>IF('Simulasi Premi 1 (Personal)'!$E$38="Menurun",'Spek Produk'!AE101,'Spek Produk'!AE159)</f>
        <v>138.07</v>
      </c>
      <c r="AF43" s="26">
        <f>IF('Simulasi Premi 1 (Personal)'!$E$38="Menurun",'Spek Produk'!AF101,'Spek Produk'!AF159)</f>
        <v>145.11000000000001</v>
      </c>
      <c r="AG43" s="26">
        <f>IF('Simulasi Premi 1 (Personal)'!$E$38="Menurun",'Spek Produk'!AG101,'Spek Produk'!AG159)</f>
        <v>0</v>
      </c>
      <c r="AH43" s="26">
        <f>IF('Simulasi Premi 1 (Personal)'!$E$38="Menurun",'Spek Produk'!AH101,'Spek Produk'!AH159)</f>
        <v>0</v>
      </c>
      <c r="AI43" s="26">
        <f>IF('Simulasi Premi 1 (Personal)'!$E$38="Menurun",'Spek Produk'!AI101,'Spek Produk'!AI159)</f>
        <v>0</v>
      </c>
      <c r="AJ43" s="26">
        <f>IF('Simulasi Premi 1 (Personal)'!$E$38="Menurun",'Spek Produk'!AJ101,'Spek Produk'!AJ159)</f>
        <v>0</v>
      </c>
      <c r="AK43" s="26">
        <f>IF('Simulasi Premi 1 (Personal)'!$E$38="Menurun",'Spek Produk'!AK101,'Spek Produk'!AK159)</f>
        <v>0</v>
      </c>
      <c r="AL43" s="26">
        <f>IF('Simulasi Premi 1 (Personal)'!$E$38="Menurun",'Spek Produk'!AL101,'Spek Produk'!AL159)</f>
        <v>0</v>
      </c>
      <c r="AM43" s="26">
        <f>IF('Simulasi Premi 1 (Personal)'!$E$38="Menurun",'Spek Produk'!AM101,'Spek Produk'!AM159)</f>
        <v>0</v>
      </c>
      <c r="AN43" s="26">
        <f>IF('Simulasi Premi 1 (Personal)'!$E$38="Menurun",'Spek Produk'!AN101,'Spek Produk'!AN159)</f>
        <v>0</v>
      </c>
      <c r="AO43" s="26">
        <f>IF('Simulasi Premi 1 (Personal)'!$E$38="Menurun",'Spek Produk'!AO101,'Spek Produk'!AO159)</f>
        <v>0</v>
      </c>
      <c r="AP43" s="26">
        <f>IF('Simulasi Premi 1 (Personal)'!$E$38="Menurun",'Spek Produk'!AP101,'Spek Produk'!AP159)</f>
        <v>0</v>
      </c>
      <c r="AR43" cm="1">
        <f t="array" ref="AR43:BL43">_xlfn.SEQUENCE(,I34-G34+1,G34,1)</f>
        <v>0</v>
      </c>
      <c r="AS43">
        <v>1</v>
      </c>
      <c r="AT43">
        <v>2</v>
      </c>
      <c r="AU43">
        <v>3</v>
      </c>
      <c r="AV43">
        <v>4</v>
      </c>
      <c r="AW43">
        <v>5</v>
      </c>
      <c r="AX43">
        <v>6</v>
      </c>
      <c r="AY43">
        <v>7</v>
      </c>
      <c r="AZ43">
        <v>8</v>
      </c>
      <c r="BA43">
        <v>9</v>
      </c>
      <c r="BB43">
        <v>10</v>
      </c>
      <c r="BC43">
        <v>11</v>
      </c>
      <c r="BD43">
        <v>12</v>
      </c>
      <c r="BE43">
        <v>13</v>
      </c>
      <c r="BF43">
        <v>14</v>
      </c>
      <c r="BG43">
        <v>15</v>
      </c>
      <c r="BH43">
        <v>16</v>
      </c>
      <c r="BI43">
        <v>17</v>
      </c>
      <c r="BJ43">
        <v>18</v>
      </c>
      <c r="BK43">
        <v>19</v>
      </c>
      <c r="BL43">
        <v>20</v>
      </c>
    </row>
    <row r="44" spans="2:64" x14ac:dyDescent="0.25">
      <c r="L44" s="24">
        <f t="shared" si="0"/>
        <v>56</v>
      </c>
      <c r="M44" s="26">
        <f>IF('Simulasi Premi 1 (Personal)'!$E$38="Menurun",'Spek Produk'!M102,'Spek Produk'!M160)</f>
        <v>8.84</v>
      </c>
      <c r="N44" s="26">
        <f>IF('Simulasi Premi 1 (Personal)'!$E$38="Menurun",'Spek Produk'!N102,'Spek Produk'!N160)</f>
        <v>16.59</v>
      </c>
      <c r="O44" s="26">
        <f>IF('Simulasi Premi 1 (Personal)'!$E$38="Menurun",'Spek Produk'!O102,'Spek Produk'!O160)</f>
        <v>23.44</v>
      </c>
      <c r="P44" s="26">
        <f>IF('Simulasi Premi 1 (Personal)'!$E$38="Menurun",'Spek Produk'!P102,'Spek Produk'!P160)</f>
        <v>30.51</v>
      </c>
      <c r="Q44" s="26">
        <f>IF('Simulasi Premi 1 (Personal)'!$E$38="Menurun",'Spek Produk'!Q102,'Spek Produk'!Q160)</f>
        <v>37.32</v>
      </c>
      <c r="R44" s="26">
        <f>IF('Simulasi Premi 1 (Personal)'!$E$38="Menurun",'Spek Produk'!R102,'Spek Produk'!R160)</f>
        <v>44.5</v>
      </c>
      <c r="S44" s="26">
        <f>IF('Simulasi Premi 1 (Personal)'!$E$38="Menurun",'Spek Produk'!S102,'Spek Produk'!S160)</f>
        <v>51.74</v>
      </c>
      <c r="T44" s="26">
        <f>IF('Simulasi Premi 1 (Personal)'!$E$38="Menurun",'Spek Produk'!T102,'Spek Produk'!T160)</f>
        <v>59.08</v>
      </c>
      <c r="U44" s="26">
        <f>IF('Simulasi Premi 1 (Personal)'!$E$38="Menurun",'Spek Produk'!U102,'Spek Produk'!U160)</f>
        <v>66.59</v>
      </c>
      <c r="V44" s="26">
        <f>IF('Simulasi Premi 1 (Personal)'!$E$38="Menurun",'Spek Produk'!V102,'Spek Produk'!V160)</f>
        <v>74.290000000000006</v>
      </c>
      <c r="W44" s="26">
        <f>IF('Simulasi Premi 1 (Personal)'!$E$38="Menurun",'Spek Produk'!W102,'Spek Produk'!W160)</f>
        <v>82.18</v>
      </c>
      <c r="X44" s="26">
        <f>IF('Simulasi Premi 1 (Personal)'!$E$38="Menurun",'Spek Produk'!X102,'Spek Produk'!X160)</f>
        <v>90.26</v>
      </c>
      <c r="Y44" s="26">
        <f>IF('Simulasi Premi 1 (Personal)'!$E$38="Menurun",'Spek Produk'!Y102,'Spek Produk'!Y160)</f>
        <v>98.49</v>
      </c>
      <c r="Z44" s="26">
        <f>IF('Simulasi Premi 1 (Personal)'!$E$38="Menurun",'Spek Produk'!Z102,'Spek Produk'!Z160)</f>
        <v>106.82</v>
      </c>
      <c r="AA44" s="26">
        <f>IF('Simulasi Premi 1 (Personal)'!$E$38="Menurun",'Spek Produk'!AA102,'Spek Produk'!AA160)</f>
        <v>115.08</v>
      </c>
      <c r="AB44" s="26">
        <f>IF('Simulasi Premi 1 (Personal)'!$E$38="Menurun",'Spek Produk'!AB102,'Spek Produk'!AB160)</f>
        <v>124.38</v>
      </c>
      <c r="AC44" s="26">
        <f>IF('Simulasi Premi 1 (Personal)'!$E$38="Menurun",'Spek Produk'!AC102,'Spek Produk'!AC160)</f>
        <v>132.24</v>
      </c>
      <c r="AD44" s="26">
        <f>IF('Simulasi Premi 1 (Personal)'!$E$38="Menurun",'Spek Produk'!AD102,'Spek Produk'!AD160)</f>
        <v>139.97999999999999</v>
      </c>
      <c r="AE44" s="26">
        <f>IF('Simulasi Premi 1 (Personal)'!$E$38="Menurun",'Spek Produk'!AE102,'Spek Produk'!AE160)</f>
        <v>147.59</v>
      </c>
      <c r="AF44" s="26">
        <f>IF('Simulasi Premi 1 (Personal)'!$E$38="Menurun",'Spek Produk'!AF102,'Spek Produk'!AF160)</f>
        <v>0</v>
      </c>
      <c r="AG44" s="26">
        <f>IF('Simulasi Premi 1 (Personal)'!$E$38="Menurun",'Spek Produk'!AG102,'Spek Produk'!AG160)</f>
        <v>0</v>
      </c>
      <c r="AH44" s="26">
        <f>IF('Simulasi Premi 1 (Personal)'!$E$38="Menurun",'Spek Produk'!AH102,'Spek Produk'!AH160)</f>
        <v>0</v>
      </c>
      <c r="AI44" s="26">
        <f>IF('Simulasi Premi 1 (Personal)'!$E$38="Menurun",'Spek Produk'!AI102,'Spek Produk'!AI160)</f>
        <v>0</v>
      </c>
      <c r="AJ44" s="26">
        <f>IF('Simulasi Premi 1 (Personal)'!$E$38="Menurun",'Spek Produk'!AJ102,'Spek Produk'!AJ160)</f>
        <v>0</v>
      </c>
      <c r="AK44" s="26">
        <f>IF('Simulasi Premi 1 (Personal)'!$E$38="Menurun",'Spek Produk'!AK102,'Spek Produk'!AK160)</f>
        <v>0</v>
      </c>
      <c r="AL44" s="26">
        <f>IF('Simulasi Premi 1 (Personal)'!$E$38="Menurun",'Spek Produk'!AL102,'Spek Produk'!AL160)</f>
        <v>0</v>
      </c>
      <c r="AM44" s="26">
        <f>IF('Simulasi Premi 1 (Personal)'!$E$38="Menurun",'Spek Produk'!AM102,'Spek Produk'!AM160)</f>
        <v>0</v>
      </c>
      <c r="AN44" s="26">
        <f>IF('Simulasi Premi 1 (Personal)'!$E$38="Menurun",'Spek Produk'!AN102,'Spek Produk'!AN160)</f>
        <v>0</v>
      </c>
      <c r="AO44" s="26">
        <f>IF('Simulasi Premi 1 (Personal)'!$E$38="Menurun",'Spek Produk'!AO102,'Spek Produk'!AO160)</f>
        <v>0</v>
      </c>
      <c r="AP44" s="26">
        <f>IF('Simulasi Premi 1 (Personal)'!$E$38="Menurun",'Spek Produk'!AP102,'Spek Produk'!AP160)</f>
        <v>0</v>
      </c>
    </row>
    <row r="45" spans="2:64" x14ac:dyDescent="0.25">
      <c r="L45" s="24">
        <f t="shared" si="0"/>
        <v>57</v>
      </c>
      <c r="M45" s="26">
        <f>IF('Simulasi Premi 1 (Personal)'!$E$38="Menurun",'Spek Produk'!M103,'Spek Produk'!M161)</f>
        <v>9.61</v>
      </c>
      <c r="N45" s="26">
        <f>IF('Simulasi Premi 1 (Personal)'!$E$38="Menurun",'Spek Produk'!N103,'Spek Produk'!N161)</f>
        <v>17.690000000000001</v>
      </c>
      <c r="O45" s="26">
        <f>IF('Simulasi Premi 1 (Personal)'!$E$38="Menurun",'Spek Produk'!O103,'Spek Produk'!O161)</f>
        <v>24.96</v>
      </c>
      <c r="P45" s="26">
        <f>IF('Simulasi Premi 1 (Personal)'!$E$38="Menurun",'Spek Produk'!P103,'Spek Produk'!P161)</f>
        <v>32.43</v>
      </c>
      <c r="Q45" s="26">
        <f>IF('Simulasi Premi 1 (Personal)'!$E$38="Menurun",'Spek Produk'!Q103,'Spek Produk'!Q161)</f>
        <v>39.6</v>
      </c>
      <c r="R45" s="26">
        <f>IF('Simulasi Premi 1 (Personal)'!$E$38="Menurun",'Spek Produk'!R103,'Spek Produk'!R161)</f>
        <v>47.2</v>
      </c>
      <c r="S45" s="26">
        <f>IF('Simulasi Premi 1 (Personal)'!$E$38="Menurun",'Spek Produk'!S103,'Spek Produk'!S161)</f>
        <v>54.92</v>
      </c>
      <c r="T45" s="26">
        <f>IF('Simulasi Premi 1 (Personal)'!$E$38="Menurun",'Spek Produk'!T103,'Spek Produk'!T161)</f>
        <v>62.81</v>
      </c>
      <c r="U45" s="26">
        <f>IF('Simulasi Premi 1 (Personal)'!$E$38="Menurun",'Spek Produk'!U103,'Spek Produk'!U161)</f>
        <v>70.91</v>
      </c>
      <c r="V45" s="26">
        <f>IF('Simulasi Premi 1 (Personal)'!$E$38="Menurun",'Spek Produk'!V103,'Spek Produk'!V161)</f>
        <v>79.23</v>
      </c>
      <c r="W45" s="26">
        <f>IF('Simulasi Premi 1 (Personal)'!$E$38="Menurun",'Spek Produk'!W103,'Spek Produk'!W161)</f>
        <v>87.78</v>
      </c>
      <c r="X45" s="26">
        <f>IF('Simulasi Premi 1 (Personal)'!$E$38="Menurun",'Spek Produk'!X103,'Spek Produk'!X161)</f>
        <v>96.49</v>
      </c>
      <c r="Y45" s="26">
        <f>IF('Simulasi Premi 1 (Personal)'!$E$38="Menurun",'Spek Produk'!Y103,'Spek Produk'!Y161)</f>
        <v>105.34</v>
      </c>
      <c r="Z45" s="26">
        <f>IF('Simulasi Premi 1 (Personal)'!$E$38="Menurun",'Spek Produk'!Z103,'Spek Produk'!Z161)</f>
        <v>114.27</v>
      </c>
      <c r="AA45" s="26">
        <f>IF('Simulasi Premi 1 (Personal)'!$E$38="Menurun",'Spek Produk'!AA103,'Spek Produk'!AA161)</f>
        <v>123.31</v>
      </c>
      <c r="AB45" s="26">
        <f>IF('Simulasi Premi 1 (Personal)'!$E$38="Menurun",'Spek Produk'!AB103,'Spek Produk'!AB161)</f>
        <v>133.21</v>
      </c>
      <c r="AC45" s="26">
        <f>IF('Simulasi Premi 1 (Personal)'!$E$38="Menurun",'Spek Produk'!AC103,'Spek Produk'!AC161)</f>
        <v>141.58000000000001</v>
      </c>
      <c r="AD45" s="26">
        <f>IF('Simulasi Premi 1 (Personal)'!$E$38="Menurun",'Spek Produk'!AD103,'Spek Produk'!AD161)</f>
        <v>149.80000000000001</v>
      </c>
      <c r="AE45" s="26">
        <f>IF('Simulasi Premi 1 (Personal)'!$E$38="Menurun",'Spek Produk'!AE103,'Spek Produk'!AE161)</f>
        <v>0</v>
      </c>
      <c r="AF45" s="26">
        <f>IF('Simulasi Premi 1 (Personal)'!$E$38="Menurun",'Spek Produk'!AF103,'Spek Produk'!AF161)</f>
        <v>0</v>
      </c>
      <c r="AG45" s="26">
        <f>IF('Simulasi Premi 1 (Personal)'!$E$38="Menurun",'Spek Produk'!AG103,'Spek Produk'!AG161)</f>
        <v>0</v>
      </c>
      <c r="AH45" s="26">
        <f>IF('Simulasi Premi 1 (Personal)'!$E$38="Menurun",'Spek Produk'!AH103,'Spek Produk'!AH161)</f>
        <v>0</v>
      </c>
      <c r="AI45" s="26">
        <f>IF('Simulasi Premi 1 (Personal)'!$E$38="Menurun",'Spek Produk'!AI103,'Spek Produk'!AI161)</f>
        <v>0</v>
      </c>
      <c r="AJ45" s="26">
        <f>IF('Simulasi Premi 1 (Personal)'!$E$38="Menurun",'Spek Produk'!AJ103,'Spek Produk'!AJ161)</f>
        <v>0</v>
      </c>
      <c r="AK45" s="26">
        <f>IF('Simulasi Premi 1 (Personal)'!$E$38="Menurun",'Spek Produk'!AK103,'Spek Produk'!AK161)</f>
        <v>0</v>
      </c>
      <c r="AL45" s="26">
        <f>IF('Simulasi Premi 1 (Personal)'!$E$38="Menurun",'Spek Produk'!AL103,'Spek Produk'!AL161)</f>
        <v>0</v>
      </c>
      <c r="AM45" s="26">
        <f>IF('Simulasi Premi 1 (Personal)'!$E$38="Menurun",'Spek Produk'!AM103,'Spek Produk'!AM161)</f>
        <v>0</v>
      </c>
      <c r="AN45" s="26">
        <f>IF('Simulasi Premi 1 (Personal)'!$E$38="Menurun",'Spek Produk'!AN103,'Spek Produk'!AN161)</f>
        <v>0</v>
      </c>
      <c r="AO45" s="26">
        <f>IF('Simulasi Premi 1 (Personal)'!$E$38="Menurun",'Spek Produk'!AO103,'Spek Produk'!AO161)</f>
        <v>0</v>
      </c>
      <c r="AP45" s="26">
        <f>IF('Simulasi Premi 1 (Personal)'!$E$38="Menurun",'Spek Produk'!AP103,'Spek Produk'!AP161)</f>
        <v>0</v>
      </c>
    </row>
    <row r="46" spans="2:64" x14ac:dyDescent="0.25">
      <c r="L46" s="24">
        <f t="shared" si="0"/>
        <v>58</v>
      </c>
      <c r="M46" s="26">
        <f>IF('Simulasi Premi 1 (Personal)'!$E$38="Menurun",'Spek Produk'!M104,'Spek Produk'!M162)</f>
        <v>10.45</v>
      </c>
      <c r="N46" s="26">
        <f>IF('Simulasi Premi 1 (Personal)'!$E$38="Menurun",'Spek Produk'!N104,'Spek Produk'!N162)</f>
        <v>18.71</v>
      </c>
      <c r="O46" s="26">
        <f>IF('Simulasi Premi 1 (Personal)'!$E$38="Menurun",'Spek Produk'!O104,'Spek Produk'!O162)</f>
        <v>26.37</v>
      </c>
      <c r="P46" s="26">
        <f>IF('Simulasi Premi 1 (Personal)'!$E$38="Menurun",'Spek Produk'!P104,'Spek Produk'!P162)</f>
        <v>34.229999999999997</v>
      </c>
      <c r="Q46" s="26">
        <f>IF('Simulasi Premi 1 (Personal)'!$E$38="Menurun",'Spek Produk'!Q104,'Spek Produk'!Q162)</f>
        <v>41.81</v>
      </c>
      <c r="R46" s="26">
        <f>IF('Simulasi Premi 1 (Personal)'!$E$38="Menurun",'Spek Produk'!R104,'Spek Produk'!R162)</f>
        <v>49.9</v>
      </c>
      <c r="S46" s="26">
        <f>IF('Simulasi Premi 1 (Personal)'!$E$38="Menurun",'Spek Produk'!S104,'Spek Produk'!S162)</f>
        <v>58.21</v>
      </c>
      <c r="T46" s="26">
        <f>IF('Simulasi Premi 1 (Personal)'!$E$38="Menurun",'Spek Produk'!T104,'Spek Produk'!T162)</f>
        <v>66.72</v>
      </c>
      <c r="U46" s="26">
        <f>IF('Simulasi Premi 1 (Personal)'!$E$38="Menurun",'Spek Produk'!U104,'Spek Produk'!U162)</f>
        <v>75.5</v>
      </c>
      <c r="V46" s="26">
        <f>IF('Simulasi Premi 1 (Personal)'!$E$38="Menurun",'Spek Produk'!V104,'Spek Produk'!V162)</f>
        <v>84.5</v>
      </c>
      <c r="W46" s="26">
        <f>IF('Simulasi Premi 1 (Personal)'!$E$38="Menurun",'Spek Produk'!W104,'Spek Produk'!W162)</f>
        <v>93.73</v>
      </c>
      <c r="X46" s="26">
        <f>IF('Simulasi Premi 1 (Personal)'!$E$38="Menurun",'Spek Produk'!X104,'Spek Produk'!X162)</f>
        <v>103.12</v>
      </c>
      <c r="Y46" s="26">
        <f>IF('Simulasi Premi 1 (Personal)'!$E$38="Menurun",'Spek Produk'!Y104,'Spek Produk'!Y162)</f>
        <v>112.66</v>
      </c>
      <c r="Z46" s="26">
        <f>IF('Simulasi Premi 1 (Personal)'!$E$38="Menurun",'Spek Produk'!Z104,'Spek Produk'!Z162)</f>
        <v>122.29</v>
      </c>
      <c r="AA46" s="26">
        <f>IF('Simulasi Premi 1 (Personal)'!$E$38="Menurun",'Spek Produk'!AA104,'Spek Produk'!AA162)</f>
        <v>131.97999999999999</v>
      </c>
      <c r="AB46" s="26">
        <f>IF('Simulasi Premi 1 (Personal)'!$E$38="Menurun",'Spek Produk'!AB104,'Spek Produk'!AB162)</f>
        <v>142.54</v>
      </c>
      <c r="AC46" s="26">
        <f>IF('Simulasi Premi 1 (Personal)'!$E$38="Menurun",'Spek Produk'!AC104,'Spek Produk'!AC162)</f>
        <v>151.44</v>
      </c>
      <c r="AD46" s="26">
        <f>IF('Simulasi Premi 1 (Personal)'!$E$38="Menurun",'Spek Produk'!AD104,'Spek Produk'!AD162)</f>
        <v>0</v>
      </c>
      <c r="AE46" s="26">
        <f>IF('Simulasi Premi 1 (Personal)'!$E$38="Menurun",'Spek Produk'!AE104,'Spek Produk'!AE162)</f>
        <v>0</v>
      </c>
      <c r="AF46" s="26">
        <f>IF('Simulasi Premi 1 (Personal)'!$E$38="Menurun",'Spek Produk'!AF104,'Spek Produk'!AF162)</f>
        <v>0</v>
      </c>
      <c r="AG46" s="26">
        <f>IF('Simulasi Premi 1 (Personal)'!$E$38="Menurun",'Spek Produk'!AG104,'Spek Produk'!AG162)</f>
        <v>0</v>
      </c>
      <c r="AH46" s="26">
        <f>IF('Simulasi Premi 1 (Personal)'!$E$38="Menurun",'Spek Produk'!AH104,'Spek Produk'!AH162)</f>
        <v>0</v>
      </c>
      <c r="AI46" s="26">
        <f>IF('Simulasi Premi 1 (Personal)'!$E$38="Menurun",'Spek Produk'!AI104,'Spek Produk'!AI162)</f>
        <v>0</v>
      </c>
      <c r="AJ46" s="26">
        <f>IF('Simulasi Premi 1 (Personal)'!$E$38="Menurun",'Spek Produk'!AJ104,'Spek Produk'!AJ162)</f>
        <v>0</v>
      </c>
      <c r="AK46" s="26">
        <f>IF('Simulasi Premi 1 (Personal)'!$E$38="Menurun",'Spek Produk'!AK104,'Spek Produk'!AK162)</f>
        <v>0</v>
      </c>
      <c r="AL46" s="26">
        <f>IF('Simulasi Premi 1 (Personal)'!$E$38="Menurun",'Spek Produk'!AL104,'Spek Produk'!AL162)</f>
        <v>0</v>
      </c>
      <c r="AM46" s="26">
        <f>IF('Simulasi Premi 1 (Personal)'!$E$38="Menurun",'Spek Produk'!AM104,'Spek Produk'!AM162)</f>
        <v>0</v>
      </c>
      <c r="AN46" s="26">
        <f>IF('Simulasi Premi 1 (Personal)'!$E$38="Menurun",'Spek Produk'!AN104,'Spek Produk'!AN162)</f>
        <v>0</v>
      </c>
      <c r="AO46" s="26">
        <f>IF('Simulasi Premi 1 (Personal)'!$E$38="Menurun",'Spek Produk'!AO104,'Spek Produk'!AO162)</f>
        <v>0</v>
      </c>
      <c r="AP46" s="26">
        <f>IF('Simulasi Premi 1 (Personal)'!$E$38="Menurun",'Spek Produk'!AP104,'Spek Produk'!AP162)</f>
        <v>0</v>
      </c>
    </row>
    <row r="47" spans="2:64" x14ac:dyDescent="0.25">
      <c r="L47" s="24">
        <f t="shared" si="0"/>
        <v>59</v>
      </c>
      <c r="M47" s="26">
        <f>IF('Simulasi Premi 1 (Personal)'!$E$38="Menurun",'Spek Produk'!M105,'Spek Produk'!M163)</f>
        <v>11.35</v>
      </c>
      <c r="N47" s="26">
        <f>IF('Simulasi Premi 1 (Personal)'!$E$38="Menurun",'Spek Produk'!N105,'Spek Produk'!N163)</f>
        <v>19.670000000000002</v>
      </c>
      <c r="O47" s="26">
        <f>IF('Simulasi Premi 1 (Personal)'!$E$38="Menurun",'Spek Produk'!O105,'Spek Produk'!O163)</f>
        <v>27.74</v>
      </c>
      <c r="P47" s="26">
        <f>IF('Simulasi Premi 1 (Personal)'!$E$38="Menurun",'Spek Produk'!P105,'Spek Produk'!P163)</f>
        <v>36.01</v>
      </c>
      <c r="Q47" s="26">
        <f>IF('Simulasi Premi 1 (Personal)'!$E$38="Menurun",'Spek Produk'!Q105,'Spek Produk'!Q163)</f>
        <v>44.1</v>
      </c>
      <c r="R47" s="26">
        <f>IF('Simulasi Premi 1 (Personal)'!$E$38="Menurun",'Spek Produk'!R105,'Spek Produk'!R163)</f>
        <v>52.81</v>
      </c>
      <c r="S47" s="26">
        <f>IF('Simulasi Premi 1 (Personal)'!$E$38="Menurun",'Spek Produk'!S105,'Spek Produk'!S163)</f>
        <v>61.78</v>
      </c>
      <c r="T47" s="26">
        <f>IF('Simulasi Premi 1 (Personal)'!$E$38="Menurun",'Spek Produk'!T105,'Spek Produk'!T163)</f>
        <v>71.02</v>
      </c>
      <c r="U47" s="26">
        <f>IF('Simulasi Premi 1 (Personal)'!$E$38="Menurun",'Spek Produk'!U105,'Spek Produk'!U163)</f>
        <v>80.52</v>
      </c>
      <c r="V47" s="26">
        <f>IF('Simulasi Premi 1 (Personal)'!$E$38="Menurun",'Spek Produk'!V105,'Spek Produk'!V163)</f>
        <v>90.27</v>
      </c>
      <c r="W47" s="26">
        <f>IF('Simulasi Premi 1 (Personal)'!$E$38="Menurun",'Spek Produk'!W105,'Spek Produk'!W163)</f>
        <v>100.23</v>
      </c>
      <c r="X47" s="26">
        <f>IF('Simulasi Premi 1 (Personal)'!$E$38="Menurun",'Spek Produk'!X105,'Spek Produk'!X163)</f>
        <v>110.37</v>
      </c>
      <c r="Y47" s="26">
        <f>IF('Simulasi Premi 1 (Personal)'!$E$38="Menurun",'Spek Produk'!Y105,'Spek Produk'!Y163)</f>
        <v>120.64</v>
      </c>
      <c r="Z47" s="26">
        <f>IF('Simulasi Premi 1 (Personal)'!$E$38="Menurun",'Spek Produk'!Z105,'Spek Produk'!Z163)</f>
        <v>130.99</v>
      </c>
      <c r="AA47" s="26">
        <f>IF('Simulasi Premi 1 (Personal)'!$E$38="Menurun",'Spek Produk'!AA105,'Spek Produk'!AA163)</f>
        <v>141.43</v>
      </c>
      <c r="AB47" s="26">
        <f>IF('Simulasi Premi 1 (Personal)'!$E$38="Menurun",'Spek Produk'!AB105,'Spek Produk'!AB163)</f>
        <v>152.68</v>
      </c>
      <c r="AC47" s="26">
        <f>IF('Simulasi Premi 1 (Personal)'!$E$38="Menurun",'Spek Produk'!AC105,'Spek Produk'!AC163)</f>
        <v>0</v>
      </c>
      <c r="AD47" s="26">
        <f>IF('Simulasi Premi 1 (Personal)'!$E$38="Menurun",'Spek Produk'!AD105,'Spek Produk'!AD163)</f>
        <v>0</v>
      </c>
      <c r="AE47" s="26">
        <f>IF('Simulasi Premi 1 (Personal)'!$E$38="Menurun",'Spek Produk'!AE105,'Spek Produk'!AE163)</f>
        <v>0</v>
      </c>
      <c r="AF47" s="26">
        <f>IF('Simulasi Premi 1 (Personal)'!$E$38="Menurun",'Spek Produk'!AF105,'Spek Produk'!AF163)</f>
        <v>0</v>
      </c>
      <c r="AG47" s="26">
        <f>IF('Simulasi Premi 1 (Personal)'!$E$38="Menurun",'Spek Produk'!AG105,'Spek Produk'!AG163)</f>
        <v>0</v>
      </c>
      <c r="AH47" s="26">
        <f>IF('Simulasi Premi 1 (Personal)'!$E$38="Menurun",'Spek Produk'!AH105,'Spek Produk'!AH163)</f>
        <v>0</v>
      </c>
      <c r="AI47" s="26">
        <f>IF('Simulasi Premi 1 (Personal)'!$E$38="Menurun",'Spek Produk'!AI105,'Spek Produk'!AI163)</f>
        <v>0</v>
      </c>
      <c r="AJ47" s="26">
        <f>IF('Simulasi Premi 1 (Personal)'!$E$38="Menurun",'Spek Produk'!AJ105,'Spek Produk'!AJ163)</f>
        <v>0</v>
      </c>
      <c r="AK47" s="26">
        <f>IF('Simulasi Premi 1 (Personal)'!$E$38="Menurun",'Spek Produk'!AK105,'Spek Produk'!AK163)</f>
        <v>0</v>
      </c>
      <c r="AL47" s="26">
        <f>IF('Simulasi Premi 1 (Personal)'!$E$38="Menurun",'Spek Produk'!AL105,'Spek Produk'!AL163)</f>
        <v>0</v>
      </c>
      <c r="AM47" s="26">
        <f>IF('Simulasi Premi 1 (Personal)'!$E$38="Menurun",'Spek Produk'!AM105,'Spek Produk'!AM163)</f>
        <v>0</v>
      </c>
      <c r="AN47" s="26">
        <f>IF('Simulasi Premi 1 (Personal)'!$E$38="Menurun",'Spek Produk'!AN105,'Spek Produk'!AN163)</f>
        <v>0</v>
      </c>
      <c r="AO47" s="26">
        <f>IF('Simulasi Premi 1 (Personal)'!$E$38="Menurun",'Spek Produk'!AO105,'Spek Produk'!AO163)</f>
        <v>0</v>
      </c>
      <c r="AP47" s="26">
        <f>IF('Simulasi Premi 1 (Personal)'!$E$38="Menurun",'Spek Produk'!AP105,'Spek Produk'!AP163)</f>
        <v>0</v>
      </c>
    </row>
    <row r="48" spans="2:64" x14ac:dyDescent="0.25">
      <c r="L48" s="24">
        <f t="shared" si="0"/>
        <v>60</v>
      </c>
      <c r="M48" s="26">
        <f>IF('Simulasi Premi 1 (Personal)'!$E$38="Menurun",'Spek Produk'!M106,'Spek Produk'!M164)</f>
        <v>12.34</v>
      </c>
      <c r="N48" s="26">
        <f>IF('Simulasi Premi 1 (Personal)'!$E$38="Menurun",'Spek Produk'!N106,'Spek Produk'!N164)</f>
        <v>20.64</v>
      </c>
      <c r="O48" s="26">
        <f>IF('Simulasi Premi 1 (Personal)'!$E$38="Menurun",'Spek Produk'!O106,'Spek Produk'!O164)</f>
        <v>29.13</v>
      </c>
      <c r="P48" s="26">
        <f>IF('Simulasi Premi 1 (Personal)'!$E$38="Menurun",'Spek Produk'!P106,'Spek Produk'!P164)</f>
        <v>37.979999999999997</v>
      </c>
      <c r="Q48" s="26">
        <f>IF('Simulasi Premi 1 (Personal)'!$E$38="Menurun",'Spek Produk'!Q106,'Spek Produk'!Q164)</f>
        <v>46.71</v>
      </c>
      <c r="R48" s="26">
        <f>IF('Simulasi Premi 1 (Personal)'!$E$38="Menurun",'Spek Produk'!R106,'Spek Produk'!R164)</f>
        <v>56.14</v>
      </c>
      <c r="S48" s="26">
        <f>IF('Simulasi Premi 1 (Personal)'!$E$38="Menurun",'Spek Produk'!S106,'Spek Produk'!S164)</f>
        <v>65.88</v>
      </c>
      <c r="T48" s="26">
        <f>IF('Simulasi Premi 1 (Personal)'!$E$38="Menurun",'Spek Produk'!T106,'Spek Produk'!T164)</f>
        <v>75.91</v>
      </c>
      <c r="U48" s="26">
        <f>IF('Simulasi Premi 1 (Personal)'!$E$38="Menurun",'Spek Produk'!U106,'Spek Produk'!U164)</f>
        <v>86.2</v>
      </c>
      <c r="V48" s="26">
        <f>IF('Simulasi Premi 1 (Personal)'!$E$38="Menurun",'Spek Produk'!V106,'Spek Produk'!V164)</f>
        <v>96.76</v>
      </c>
      <c r="W48" s="26">
        <f>IF('Simulasi Premi 1 (Personal)'!$E$38="Menurun",'Spek Produk'!W106,'Spek Produk'!W164)</f>
        <v>107.52</v>
      </c>
      <c r="X48" s="26">
        <f>IF('Simulasi Premi 1 (Personal)'!$E$38="Menurun",'Spek Produk'!X106,'Spek Produk'!X164)</f>
        <v>118.44</v>
      </c>
      <c r="Y48" s="26">
        <f>IF('Simulasi Premi 1 (Personal)'!$E$38="Menurun",'Spek Produk'!Y106,'Spek Produk'!Y164)</f>
        <v>129.5</v>
      </c>
      <c r="Z48" s="26">
        <f>IF('Simulasi Premi 1 (Personal)'!$E$38="Menurun",'Spek Produk'!Z106,'Spek Produk'!Z164)</f>
        <v>140.65</v>
      </c>
      <c r="AA48" s="26">
        <f>IF('Simulasi Premi 1 (Personal)'!$E$38="Menurun",'Spek Produk'!AA106,'Spek Produk'!AA164)</f>
        <v>151.87</v>
      </c>
      <c r="AB48" s="26">
        <f>IF('Simulasi Premi 1 (Personal)'!$E$38="Menurun",'Spek Produk'!AB106,'Spek Produk'!AB164)</f>
        <v>0</v>
      </c>
      <c r="AC48" s="26">
        <f>IF('Simulasi Premi 1 (Personal)'!$E$38="Menurun",'Spek Produk'!AC106,'Spek Produk'!AC164)</f>
        <v>0</v>
      </c>
      <c r="AD48" s="26">
        <f>IF('Simulasi Premi 1 (Personal)'!$E$38="Menurun",'Spek Produk'!AD106,'Spek Produk'!AD164)</f>
        <v>0</v>
      </c>
      <c r="AE48" s="26">
        <f>IF('Simulasi Premi 1 (Personal)'!$E$38="Menurun",'Spek Produk'!AE106,'Spek Produk'!AE164)</f>
        <v>0</v>
      </c>
      <c r="AF48" s="26">
        <f>IF('Simulasi Premi 1 (Personal)'!$E$38="Menurun",'Spek Produk'!AF106,'Spek Produk'!AF164)</f>
        <v>0</v>
      </c>
      <c r="AG48" s="26">
        <f>IF('Simulasi Premi 1 (Personal)'!$E$38="Menurun",'Spek Produk'!AG106,'Spek Produk'!AG164)</f>
        <v>0</v>
      </c>
      <c r="AH48" s="26">
        <f>IF('Simulasi Premi 1 (Personal)'!$E$38="Menurun",'Spek Produk'!AH106,'Spek Produk'!AH164)</f>
        <v>0</v>
      </c>
      <c r="AI48" s="26">
        <f>IF('Simulasi Premi 1 (Personal)'!$E$38="Menurun",'Spek Produk'!AI106,'Spek Produk'!AI164)</f>
        <v>0</v>
      </c>
      <c r="AJ48" s="26">
        <f>IF('Simulasi Premi 1 (Personal)'!$E$38="Menurun",'Spek Produk'!AJ106,'Spek Produk'!AJ164)</f>
        <v>0</v>
      </c>
      <c r="AK48" s="26">
        <f>IF('Simulasi Premi 1 (Personal)'!$E$38="Menurun",'Spek Produk'!AK106,'Spek Produk'!AK164)</f>
        <v>0</v>
      </c>
      <c r="AL48" s="26">
        <f>IF('Simulasi Premi 1 (Personal)'!$E$38="Menurun",'Spek Produk'!AL106,'Spek Produk'!AL164)</f>
        <v>0</v>
      </c>
      <c r="AM48" s="26">
        <f>IF('Simulasi Premi 1 (Personal)'!$E$38="Menurun",'Spek Produk'!AM106,'Spek Produk'!AM164)</f>
        <v>0</v>
      </c>
      <c r="AN48" s="26">
        <f>IF('Simulasi Premi 1 (Personal)'!$E$38="Menurun",'Spek Produk'!AN106,'Spek Produk'!AN164)</f>
        <v>0</v>
      </c>
      <c r="AO48" s="26">
        <f>IF('Simulasi Premi 1 (Personal)'!$E$38="Menurun",'Spek Produk'!AO106,'Spek Produk'!AO164)</f>
        <v>0</v>
      </c>
      <c r="AP48" s="26">
        <f>IF('Simulasi Premi 1 (Personal)'!$E$38="Menurun",'Spek Produk'!AP106,'Spek Produk'!AP164)</f>
        <v>0</v>
      </c>
    </row>
    <row r="49" spans="11:42" x14ac:dyDescent="0.25">
      <c r="L49" s="24">
        <f t="shared" si="0"/>
        <v>61</v>
      </c>
      <c r="M49" s="26">
        <f>IF('Simulasi Premi 1 (Personal)'!$E$38="Menurun",'Spek Produk'!M107,'Spek Produk'!M165)</f>
        <v>13.45</v>
      </c>
      <c r="N49" s="26">
        <f>IF('Simulasi Premi 1 (Personal)'!$E$38="Menurun",'Spek Produk'!N107,'Spek Produk'!N165)</f>
        <v>21.66</v>
      </c>
      <c r="O49" s="26">
        <f>IF('Simulasi Premi 1 (Personal)'!$E$38="Menurun",'Spek Produk'!O107,'Spek Produk'!O165)</f>
        <v>30.78</v>
      </c>
      <c r="P49" s="26">
        <f>IF('Simulasi Premi 1 (Personal)'!$E$38="Menurun",'Spek Produk'!P107,'Spek Produk'!P165)</f>
        <v>40.36</v>
      </c>
      <c r="Q49" s="26">
        <f>IF('Simulasi Premi 1 (Personal)'!$E$38="Menurun",'Spek Produk'!Q107,'Spek Produk'!Q165)</f>
        <v>49.86</v>
      </c>
      <c r="R49" s="26">
        <f>IF('Simulasi Premi 1 (Personal)'!$E$38="Menurun",'Spek Produk'!R107,'Spek Produk'!R165)</f>
        <v>60.12</v>
      </c>
      <c r="S49" s="26">
        <f>IF('Simulasi Premi 1 (Personal)'!$E$38="Menurun",'Spek Produk'!S107,'Spek Produk'!S165)</f>
        <v>70.69</v>
      </c>
      <c r="T49" s="26">
        <f>IF('Simulasi Premi 1 (Personal)'!$E$38="Menurun",'Spek Produk'!T107,'Spek Produk'!T165)</f>
        <v>81.58</v>
      </c>
      <c r="U49" s="26">
        <f>IF('Simulasi Premi 1 (Personal)'!$E$38="Menurun",'Spek Produk'!U107,'Spek Produk'!U165)</f>
        <v>92.75</v>
      </c>
      <c r="V49" s="26">
        <f>IF('Simulasi Premi 1 (Personal)'!$E$38="Menurun",'Spek Produk'!V107,'Spek Produk'!V165)</f>
        <v>104.16</v>
      </c>
      <c r="W49" s="26">
        <f>IF('Simulasi Premi 1 (Personal)'!$E$38="Menurun",'Spek Produk'!W107,'Spek Produk'!W165)</f>
        <v>115.78</v>
      </c>
      <c r="X49" s="26">
        <f>IF('Simulasi Premi 1 (Personal)'!$E$38="Menurun",'Spek Produk'!X107,'Spek Produk'!X165)</f>
        <v>127.56</v>
      </c>
      <c r="Y49" s="26">
        <f>IF('Simulasi Premi 1 (Personal)'!$E$38="Menurun",'Spek Produk'!Y107,'Spek Produk'!Y165)</f>
        <v>139.49</v>
      </c>
      <c r="Z49" s="26">
        <f>IF('Simulasi Premi 1 (Personal)'!$E$38="Menurun",'Spek Produk'!Z107,'Spek Produk'!Z165)</f>
        <v>151.49</v>
      </c>
      <c r="AA49" s="26">
        <f>IF('Simulasi Premi 1 (Personal)'!$E$38="Menurun",'Spek Produk'!AA107,'Spek Produk'!AA165)</f>
        <v>0</v>
      </c>
      <c r="AB49" s="26">
        <f>IF('Simulasi Premi 1 (Personal)'!$E$38="Menurun",'Spek Produk'!AB107,'Spek Produk'!AB165)</f>
        <v>0</v>
      </c>
      <c r="AC49" s="26">
        <f>IF('Simulasi Premi 1 (Personal)'!$E$38="Menurun",'Spek Produk'!AC107,'Spek Produk'!AC165)</f>
        <v>0</v>
      </c>
      <c r="AD49" s="26">
        <f>IF('Simulasi Premi 1 (Personal)'!$E$38="Menurun",'Spek Produk'!AD107,'Spek Produk'!AD165)</f>
        <v>0</v>
      </c>
      <c r="AE49" s="26">
        <f>IF('Simulasi Premi 1 (Personal)'!$E$38="Menurun",'Spek Produk'!AE107,'Spek Produk'!AE165)</f>
        <v>0</v>
      </c>
      <c r="AF49" s="26">
        <f>IF('Simulasi Premi 1 (Personal)'!$E$38="Menurun",'Spek Produk'!AF107,'Spek Produk'!AF165)</f>
        <v>0</v>
      </c>
      <c r="AG49" s="26">
        <f>IF('Simulasi Premi 1 (Personal)'!$E$38="Menurun",'Spek Produk'!AG107,'Spek Produk'!AG165)</f>
        <v>0</v>
      </c>
      <c r="AH49" s="26">
        <f>IF('Simulasi Premi 1 (Personal)'!$E$38="Menurun",'Spek Produk'!AH107,'Spek Produk'!AH165)</f>
        <v>0</v>
      </c>
      <c r="AI49" s="26">
        <f>IF('Simulasi Premi 1 (Personal)'!$E$38="Menurun",'Spek Produk'!AI107,'Spek Produk'!AI165)</f>
        <v>0</v>
      </c>
      <c r="AJ49" s="26">
        <f>IF('Simulasi Premi 1 (Personal)'!$E$38="Menurun",'Spek Produk'!AJ107,'Spek Produk'!AJ165)</f>
        <v>0</v>
      </c>
      <c r="AK49" s="26">
        <f>IF('Simulasi Premi 1 (Personal)'!$E$38="Menurun",'Spek Produk'!AK107,'Spek Produk'!AK165)</f>
        <v>0</v>
      </c>
      <c r="AL49" s="26">
        <f>IF('Simulasi Premi 1 (Personal)'!$E$38="Menurun",'Spek Produk'!AL107,'Spek Produk'!AL165)</f>
        <v>0</v>
      </c>
      <c r="AM49" s="26">
        <f>IF('Simulasi Premi 1 (Personal)'!$E$38="Menurun",'Spek Produk'!AM107,'Spek Produk'!AM165)</f>
        <v>0</v>
      </c>
      <c r="AN49" s="26">
        <f>IF('Simulasi Premi 1 (Personal)'!$E$38="Menurun",'Spek Produk'!AN107,'Spek Produk'!AN165)</f>
        <v>0</v>
      </c>
      <c r="AO49" s="26">
        <f>IF('Simulasi Premi 1 (Personal)'!$E$38="Menurun",'Spek Produk'!AO107,'Spek Produk'!AO165)</f>
        <v>0</v>
      </c>
      <c r="AP49" s="26">
        <f>IF('Simulasi Premi 1 (Personal)'!$E$38="Menurun",'Spek Produk'!AP107,'Spek Produk'!AP165)</f>
        <v>0</v>
      </c>
    </row>
    <row r="50" spans="11:42" x14ac:dyDescent="0.25">
      <c r="L50" s="24">
        <f t="shared" si="0"/>
        <v>62</v>
      </c>
      <c r="M50" s="26">
        <f>IF('Simulasi Premi 1 (Personal)'!$E$38="Menurun",'Spek Produk'!M108,'Spek Produk'!M166)</f>
        <v>14.7</v>
      </c>
      <c r="N50" s="26">
        <f>IF('Simulasi Premi 1 (Personal)'!$E$38="Menurun",'Spek Produk'!N108,'Spek Produk'!N166)</f>
        <v>23.02</v>
      </c>
      <c r="O50" s="26">
        <f>IF('Simulasi Premi 1 (Personal)'!$E$38="Menurun",'Spek Produk'!O108,'Spek Produk'!O166)</f>
        <v>32.979999999999997</v>
      </c>
      <c r="P50" s="26">
        <f>IF('Simulasi Premi 1 (Personal)'!$E$38="Menurun",'Spek Produk'!P108,'Spek Produk'!P166)</f>
        <v>43.42</v>
      </c>
      <c r="Q50" s="26">
        <f>IF('Simulasi Premi 1 (Personal)'!$E$38="Menurun",'Spek Produk'!Q108,'Spek Produk'!Q166)</f>
        <v>53.77</v>
      </c>
      <c r="R50" s="26">
        <f>IF('Simulasi Premi 1 (Personal)'!$E$38="Menurun",'Spek Produk'!R108,'Spek Produk'!R166)</f>
        <v>64.94</v>
      </c>
      <c r="S50" s="26">
        <f>IF('Simulasi Premi 1 (Personal)'!$E$38="Menurun",'Spek Produk'!S108,'Spek Produk'!S166)</f>
        <v>76.45</v>
      </c>
      <c r="T50" s="26">
        <f>IF('Simulasi Premi 1 (Personal)'!$E$38="Menurun",'Spek Produk'!T108,'Spek Produk'!T166)</f>
        <v>88.27</v>
      </c>
      <c r="U50" s="26">
        <f>IF('Simulasi Premi 1 (Personal)'!$E$38="Menurun",'Spek Produk'!U108,'Spek Produk'!U166)</f>
        <v>100.36</v>
      </c>
      <c r="V50" s="26">
        <f>IF('Simulasi Premi 1 (Personal)'!$E$38="Menurun",'Spek Produk'!V108,'Spek Produk'!V166)</f>
        <v>112.7</v>
      </c>
      <c r="W50" s="26">
        <f>IF('Simulasi Premi 1 (Personal)'!$E$38="Menurun",'Spek Produk'!W108,'Spek Produk'!W166)</f>
        <v>125.24</v>
      </c>
      <c r="X50" s="26">
        <f>IF('Simulasi Premi 1 (Personal)'!$E$38="Menurun",'Spek Produk'!X108,'Spek Produk'!X166)</f>
        <v>137.96</v>
      </c>
      <c r="Y50" s="26">
        <f>IF('Simulasi Premi 1 (Personal)'!$E$38="Menurun",'Spek Produk'!Y108,'Spek Produk'!Y166)</f>
        <v>150.82</v>
      </c>
      <c r="Z50" s="26">
        <f>IF('Simulasi Premi 1 (Personal)'!$E$38="Menurun",'Spek Produk'!Z108,'Spek Produk'!Z166)</f>
        <v>0</v>
      </c>
      <c r="AA50" s="26">
        <f>IF('Simulasi Premi 1 (Personal)'!$E$38="Menurun",'Spek Produk'!AA108,'Spek Produk'!AA166)</f>
        <v>0</v>
      </c>
      <c r="AB50" s="26">
        <f>IF('Simulasi Premi 1 (Personal)'!$E$38="Menurun",'Spek Produk'!AB108,'Spek Produk'!AB166)</f>
        <v>0</v>
      </c>
      <c r="AC50" s="26">
        <f>IF('Simulasi Premi 1 (Personal)'!$E$38="Menurun",'Spek Produk'!AC108,'Spek Produk'!AC166)</f>
        <v>0</v>
      </c>
      <c r="AD50" s="26">
        <f>IF('Simulasi Premi 1 (Personal)'!$E$38="Menurun",'Spek Produk'!AD108,'Spek Produk'!AD166)</f>
        <v>0</v>
      </c>
      <c r="AE50" s="26">
        <f>IF('Simulasi Premi 1 (Personal)'!$E$38="Menurun",'Spek Produk'!AE108,'Spek Produk'!AE166)</f>
        <v>0</v>
      </c>
      <c r="AF50" s="26">
        <f>IF('Simulasi Premi 1 (Personal)'!$E$38="Menurun",'Spek Produk'!AF108,'Spek Produk'!AF166)</f>
        <v>0</v>
      </c>
      <c r="AG50" s="26">
        <f>IF('Simulasi Premi 1 (Personal)'!$E$38="Menurun",'Spek Produk'!AG108,'Spek Produk'!AG166)</f>
        <v>0</v>
      </c>
      <c r="AH50" s="26">
        <f>IF('Simulasi Premi 1 (Personal)'!$E$38="Menurun",'Spek Produk'!AH108,'Spek Produk'!AH166)</f>
        <v>0</v>
      </c>
      <c r="AI50" s="26">
        <f>IF('Simulasi Premi 1 (Personal)'!$E$38="Menurun",'Spek Produk'!AI108,'Spek Produk'!AI166)</f>
        <v>0</v>
      </c>
      <c r="AJ50" s="26">
        <f>IF('Simulasi Premi 1 (Personal)'!$E$38="Menurun",'Spek Produk'!AJ108,'Spek Produk'!AJ166)</f>
        <v>0</v>
      </c>
      <c r="AK50" s="26">
        <f>IF('Simulasi Premi 1 (Personal)'!$E$38="Menurun",'Spek Produk'!AK108,'Spek Produk'!AK166)</f>
        <v>0</v>
      </c>
      <c r="AL50" s="26">
        <f>IF('Simulasi Premi 1 (Personal)'!$E$38="Menurun",'Spek Produk'!AL108,'Spek Produk'!AL166)</f>
        <v>0</v>
      </c>
      <c r="AM50" s="26">
        <f>IF('Simulasi Premi 1 (Personal)'!$E$38="Menurun",'Spek Produk'!AM108,'Spek Produk'!AM166)</f>
        <v>0</v>
      </c>
      <c r="AN50" s="26">
        <f>IF('Simulasi Premi 1 (Personal)'!$E$38="Menurun",'Spek Produk'!AN108,'Spek Produk'!AN166)</f>
        <v>0</v>
      </c>
      <c r="AO50" s="26">
        <f>IF('Simulasi Premi 1 (Personal)'!$E$38="Menurun",'Spek Produk'!AO108,'Spek Produk'!AO166)</f>
        <v>0</v>
      </c>
      <c r="AP50" s="26">
        <f>IF('Simulasi Premi 1 (Personal)'!$E$38="Menurun",'Spek Produk'!AP108,'Spek Produk'!AP166)</f>
        <v>0</v>
      </c>
    </row>
    <row r="51" spans="11:42" x14ac:dyDescent="0.25">
      <c r="L51" s="24">
        <f t="shared" si="0"/>
        <v>63</v>
      </c>
      <c r="M51" s="26">
        <f>IF('Simulasi Premi 1 (Personal)'!$E$38="Menurun",'Spek Produk'!M109,'Spek Produk'!M167)</f>
        <v>16.11</v>
      </c>
      <c r="N51" s="26">
        <f>IF('Simulasi Premi 1 (Personal)'!$E$38="Menurun",'Spek Produk'!N109,'Spek Produk'!N167)</f>
        <v>25.13</v>
      </c>
      <c r="O51" s="26">
        <f>IF('Simulasi Premi 1 (Personal)'!$E$38="Menurun",'Spek Produk'!O109,'Spek Produk'!O167)</f>
        <v>36.020000000000003</v>
      </c>
      <c r="P51" s="26">
        <f>IF('Simulasi Premi 1 (Personal)'!$E$38="Menurun",'Spek Produk'!P109,'Spek Produk'!P167)</f>
        <v>47.44</v>
      </c>
      <c r="Q51" s="26">
        <f>IF('Simulasi Premi 1 (Personal)'!$E$38="Menurun",'Spek Produk'!Q109,'Spek Produk'!Q167)</f>
        <v>58.73</v>
      </c>
      <c r="R51" s="26">
        <f>IF('Simulasi Premi 1 (Personal)'!$E$38="Menurun",'Spek Produk'!R109,'Spek Produk'!R167)</f>
        <v>70.88</v>
      </c>
      <c r="S51" s="26">
        <f>IF('Simulasi Premi 1 (Personal)'!$E$38="Menurun",'Spek Produk'!S109,'Spek Produk'!S167)</f>
        <v>83.37</v>
      </c>
      <c r="T51" s="26">
        <f>IF('Simulasi Premi 1 (Personal)'!$E$38="Menurun",'Spek Produk'!T109,'Spek Produk'!T167)</f>
        <v>96.17</v>
      </c>
      <c r="U51" s="26">
        <f>IF('Simulasi Premi 1 (Personal)'!$E$38="Menurun",'Spek Produk'!U109,'Spek Produk'!U167)</f>
        <v>109.26</v>
      </c>
      <c r="V51" s="26">
        <f>IF('Simulasi Premi 1 (Personal)'!$E$38="Menurun",'Spek Produk'!V109,'Spek Produk'!V167)</f>
        <v>122.6</v>
      </c>
      <c r="W51" s="26">
        <f>IF('Simulasi Premi 1 (Personal)'!$E$38="Menurun",'Spek Produk'!W109,'Spek Produk'!W167)</f>
        <v>136.15</v>
      </c>
      <c r="X51" s="26">
        <f>IF('Simulasi Premi 1 (Personal)'!$E$38="Menurun",'Spek Produk'!X109,'Spek Produk'!X167)</f>
        <v>149.88999999999999</v>
      </c>
      <c r="Y51" s="26">
        <f>IF('Simulasi Premi 1 (Personal)'!$E$38="Menurun",'Spek Produk'!Y109,'Spek Produk'!Y167)</f>
        <v>0</v>
      </c>
      <c r="Z51" s="26">
        <f>IF('Simulasi Premi 1 (Personal)'!$E$38="Menurun",'Spek Produk'!Z109,'Spek Produk'!Z167)</f>
        <v>0</v>
      </c>
      <c r="AA51" s="26">
        <f>IF('Simulasi Premi 1 (Personal)'!$E$38="Menurun",'Spek Produk'!AA109,'Spek Produk'!AA167)</f>
        <v>0</v>
      </c>
      <c r="AB51" s="26">
        <f>IF('Simulasi Premi 1 (Personal)'!$E$38="Menurun",'Spek Produk'!AB109,'Spek Produk'!AB167)</f>
        <v>0</v>
      </c>
      <c r="AC51" s="26">
        <f>IF('Simulasi Premi 1 (Personal)'!$E$38="Menurun",'Spek Produk'!AC109,'Spek Produk'!AC167)</f>
        <v>0</v>
      </c>
      <c r="AD51" s="26">
        <f>IF('Simulasi Premi 1 (Personal)'!$E$38="Menurun",'Spek Produk'!AD109,'Spek Produk'!AD167)</f>
        <v>0</v>
      </c>
      <c r="AE51" s="26">
        <f>IF('Simulasi Premi 1 (Personal)'!$E$38="Menurun",'Spek Produk'!AE109,'Spek Produk'!AE167)</f>
        <v>0</v>
      </c>
      <c r="AF51" s="26">
        <f>IF('Simulasi Premi 1 (Personal)'!$E$38="Menurun",'Spek Produk'!AF109,'Spek Produk'!AF167)</f>
        <v>0</v>
      </c>
      <c r="AG51" s="26">
        <f>IF('Simulasi Premi 1 (Personal)'!$E$38="Menurun",'Spek Produk'!AG109,'Spek Produk'!AG167)</f>
        <v>0</v>
      </c>
      <c r="AH51" s="26">
        <f>IF('Simulasi Premi 1 (Personal)'!$E$38="Menurun",'Spek Produk'!AH109,'Spek Produk'!AH167)</f>
        <v>0</v>
      </c>
      <c r="AI51" s="26">
        <f>IF('Simulasi Premi 1 (Personal)'!$E$38="Menurun",'Spek Produk'!AI109,'Spek Produk'!AI167)</f>
        <v>0</v>
      </c>
      <c r="AJ51" s="26">
        <f>IF('Simulasi Premi 1 (Personal)'!$E$38="Menurun",'Spek Produk'!AJ109,'Spek Produk'!AJ167)</f>
        <v>0</v>
      </c>
      <c r="AK51" s="26">
        <f>IF('Simulasi Premi 1 (Personal)'!$E$38="Menurun",'Spek Produk'!AK109,'Spek Produk'!AK167)</f>
        <v>0</v>
      </c>
      <c r="AL51" s="26">
        <f>IF('Simulasi Premi 1 (Personal)'!$E$38="Menurun",'Spek Produk'!AL109,'Spek Produk'!AL167)</f>
        <v>0</v>
      </c>
      <c r="AM51" s="26">
        <f>IF('Simulasi Premi 1 (Personal)'!$E$38="Menurun",'Spek Produk'!AM109,'Spek Produk'!AM167)</f>
        <v>0</v>
      </c>
      <c r="AN51" s="26">
        <f>IF('Simulasi Premi 1 (Personal)'!$E$38="Menurun",'Spek Produk'!AN109,'Spek Produk'!AN167)</f>
        <v>0</v>
      </c>
      <c r="AO51" s="26">
        <f>IF('Simulasi Premi 1 (Personal)'!$E$38="Menurun",'Spek Produk'!AO109,'Spek Produk'!AO167)</f>
        <v>0</v>
      </c>
      <c r="AP51" s="26">
        <f>IF('Simulasi Premi 1 (Personal)'!$E$38="Menurun",'Spek Produk'!AP109,'Spek Produk'!AP167)</f>
        <v>0</v>
      </c>
    </row>
    <row r="52" spans="11:42" x14ac:dyDescent="0.25">
      <c r="L52" s="24">
        <f t="shared" si="0"/>
        <v>64</v>
      </c>
      <c r="M52" s="26">
        <f>IF('Simulasi Premi 1 (Personal)'!$E$38="Menurun",'Spek Produk'!M110,'Spek Produk'!M168)</f>
        <v>17.690000000000001</v>
      </c>
      <c r="N52" s="26">
        <f>IF('Simulasi Premi 1 (Personal)'!$E$38="Menurun",'Spek Produk'!N110,'Spek Produk'!N168)</f>
        <v>27.78</v>
      </c>
      <c r="O52" s="26">
        <f>IF('Simulasi Premi 1 (Personal)'!$E$38="Menurun",'Spek Produk'!O110,'Spek Produk'!O168)</f>
        <v>39.78</v>
      </c>
      <c r="P52" s="26">
        <f>IF('Simulasi Premi 1 (Personal)'!$E$38="Menurun",'Spek Produk'!P110,'Spek Produk'!P168)</f>
        <v>51.92</v>
      </c>
      <c r="Q52" s="26">
        <f>IF('Simulasi Premi 1 (Personal)'!$E$38="Menurun",'Spek Produk'!Q110,'Spek Produk'!Q168)</f>
        <v>64.22</v>
      </c>
      <c r="R52" s="26">
        <f>IF('Simulasi Premi 1 (Personal)'!$E$38="Menurun",'Spek Produk'!R110,'Spek Produk'!R168)</f>
        <v>77.42</v>
      </c>
      <c r="S52" s="26">
        <f>IF('Simulasi Premi 1 (Personal)'!$E$38="Menurun",'Spek Produk'!S110,'Spek Produk'!S168)</f>
        <v>90.96</v>
      </c>
      <c r="T52" s="26">
        <f>IF('Simulasi Premi 1 (Personal)'!$E$38="Menurun",'Spek Produk'!T110,'Spek Produk'!T168)</f>
        <v>104.83</v>
      </c>
      <c r="U52" s="26">
        <f>IF('Simulasi Premi 1 (Personal)'!$E$38="Menurun",'Spek Produk'!U110,'Spek Produk'!U168)</f>
        <v>118.97</v>
      </c>
      <c r="V52" s="26">
        <f>IF('Simulasi Premi 1 (Personal)'!$E$38="Menurun",'Spek Produk'!V110,'Spek Produk'!V168)</f>
        <v>133.4</v>
      </c>
      <c r="W52" s="26">
        <f>IF('Simulasi Premi 1 (Personal)'!$E$38="Menurun",'Spek Produk'!W110,'Spek Produk'!W168)</f>
        <v>148.05000000000001</v>
      </c>
      <c r="X52" s="26">
        <f>IF('Simulasi Premi 1 (Personal)'!$E$38="Menurun",'Spek Produk'!X110,'Spek Produk'!X168)</f>
        <v>0</v>
      </c>
      <c r="Y52" s="26">
        <f>IF('Simulasi Premi 1 (Personal)'!$E$38="Menurun",'Spek Produk'!Y110,'Spek Produk'!Y168)</f>
        <v>0</v>
      </c>
      <c r="Z52" s="26">
        <f>IF('Simulasi Premi 1 (Personal)'!$E$38="Menurun",'Spek Produk'!Z110,'Spek Produk'!Z168)</f>
        <v>0</v>
      </c>
      <c r="AA52" s="26">
        <f>IF('Simulasi Premi 1 (Personal)'!$E$38="Menurun",'Spek Produk'!AA110,'Spek Produk'!AA168)</f>
        <v>0</v>
      </c>
      <c r="AB52" s="26">
        <f>IF('Simulasi Premi 1 (Personal)'!$E$38="Menurun",'Spek Produk'!AB110,'Spek Produk'!AB168)</f>
        <v>0</v>
      </c>
      <c r="AC52" s="26">
        <f>IF('Simulasi Premi 1 (Personal)'!$E$38="Menurun",'Spek Produk'!AC110,'Spek Produk'!AC168)</f>
        <v>0</v>
      </c>
      <c r="AD52" s="26">
        <f>IF('Simulasi Premi 1 (Personal)'!$E$38="Menurun",'Spek Produk'!AD110,'Spek Produk'!AD168)</f>
        <v>0</v>
      </c>
      <c r="AE52" s="26">
        <f>IF('Simulasi Premi 1 (Personal)'!$E$38="Menurun",'Spek Produk'!AE110,'Spek Produk'!AE168)</f>
        <v>0</v>
      </c>
      <c r="AF52" s="26">
        <f>IF('Simulasi Premi 1 (Personal)'!$E$38="Menurun",'Spek Produk'!AF110,'Spek Produk'!AF168)</f>
        <v>0</v>
      </c>
      <c r="AG52" s="26">
        <f>IF('Simulasi Premi 1 (Personal)'!$E$38="Menurun",'Spek Produk'!AG110,'Spek Produk'!AG168)</f>
        <v>0</v>
      </c>
      <c r="AH52" s="26">
        <f>IF('Simulasi Premi 1 (Personal)'!$E$38="Menurun",'Spek Produk'!AH110,'Spek Produk'!AH168)</f>
        <v>0</v>
      </c>
      <c r="AI52" s="26">
        <f>IF('Simulasi Premi 1 (Personal)'!$E$38="Menurun",'Spek Produk'!AI110,'Spek Produk'!AI168)</f>
        <v>0</v>
      </c>
      <c r="AJ52" s="26">
        <f>IF('Simulasi Premi 1 (Personal)'!$E$38="Menurun",'Spek Produk'!AJ110,'Spek Produk'!AJ168)</f>
        <v>0</v>
      </c>
      <c r="AK52" s="26">
        <f>IF('Simulasi Premi 1 (Personal)'!$E$38="Menurun",'Spek Produk'!AK110,'Spek Produk'!AK168)</f>
        <v>0</v>
      </c>
      <c r="AL52" s="26">
        <f>IF('Simulasi Premi 1 (Personal)'!$E$38="Menurun",'Spek Produk'!AL110,'Spek Produk'!AL168)</f>
        <v>0</v>
      </c>
      <c r="AM52" s="26">
        <f>IF('Simulasi Premi 1 (Personal)'!$E$38="Menurun",'Spek Produk'!AM110,'Spek Produk'!AM168)</f>
        <v>0</v>
      </c>
      <c r="AN52" s="26">
        <f>IF('Simulasi Premi 1 (Personal)'!$E$38="Menurun",'Spek Produk'!AN110,'Spek Produk'!AN168)</f>
        <v>0</v>
      </c>
      <c r="AO52" s="26">
        <f>IF('Simulasi Premi 1 (Personal)'!$E$38="Menurun",'Spek Produk'!AO110,'Spek Produk'!AO168)</f>
        <v>0</v>
      </c>
      <c r="AP52" s="26">
        <f>IF('Simulasi Premi 1 (Personal)'!$E$38="Menurun",'Spek Produk'!AP110,'Spek Produk'!AP168)</f>
        <v>0</v>
      </c>
    </row>
    <row r="53" spans="11:42" x14ac:dyDescent="0.25">
      <c r="L53" s="24">
        <f t="shared" si="0"/>
        <v>65</v>
      </c>
      <c r="M53" s="26">
        <f>IF('Simulasi Premi 1 (Personal)'!$E$38="Menurun",'Spek Produk'!M111,'Spek Produk'!M169)</f>
        <v>19.420000000000002</v>
      </c>
      <c r="N53" s="26">
        <f>IF('Simulasi Premi 1 (Personal)'!$E$38="Menurun",'Spek Produk'!N111,'Spek Produk'!N169)</f>
        <v>30.25</v>
      </c>
      <c r="O53" s="26">
        <f>IF('Simulasi Premi 1 (Personal)'!$E$38="Menurun",'Spek Produk'!O111,'Spek Produk'!O169)</f>
        <v>43.27</v>
      </c>
      <c r="P53" s="26">
        <f>IF('Simulasi Premi 1 (Personal)'!$E$38="Menurun",'Spek Produk'!P111,'Spek Produk'!P169)</f>
        <v>56.78</v>
      </c>
      <c r="Q53" s="26">
        <f>IF('Simulasi Premi 1 (Personal)'!$E$38="Menurun",'Spek Produk'!Q111,'Spek Produk'!Q169)</f>
        <v>70.14</v>
      </c>
      <c r="R53" s="26">
        <f>IF('Simulasi Premi 1 (Personal)'!$E$38="Menurun",'Spek Produk'!R111,'Spek Produk'!R169)</f>
        <v>84.45</v>
      </c>
      <c r="S53" s="26">
        <f>IF('Simulasi Premi 1 (Personal)'!$E$38="Menurun",'Spek Produk'!S111,'Spek Produk'!S169)</f>
        <v>99.12</v>
      </c>
      <c r="T53" s="26">
        <f>IF('Simulasi Premi 1 (Personal)'!$E$38="Menurun",'Spek Produk'!T111,'Spek Produk'!T169)</f>
        <v>114.12</v>
      </c>
      <c r="U53" s="26">
        <f>IF('Simulasi Premi 1 (Personal)'!$E$38="Menurun",'Spek Produk'!U111,'Spek Produk'!U169)</f>
        <v>129.44999999999999</v>
      </c>
      <c r="V53" s="26">
        <f>IF('Simulasi Premi 1 (Personal)'!$E$38="Menurun",'Spek Produk'!V111,'Spek Produk'!V169)</f>
        <v>145.05000000000001</v>
      </c>
      <c r="W53" s="26">
        <f>IF('Simulasi Premi 1 (Personal)'!$E$38="Menurun",'Spek Produk'!W111,'Spek Produk'!W169)</f>
        <v>0</v>
      </c>
      <c r="X53" s="26">
        <f>IF('Simulasi Premi 1 (Personal)'!$E$38="Menurun",'Spek Produk'!X111,'Spek Produk'!X169)</f>
        <v>0</v>
      </c>
      <c r="Y53" s="26">
        <f>IF('Simulasi Premi 1 (Personal)'!$E$38="Menurun",'Spek Produk'!Y111,'Spek Produk'!Y169)</f>
        <v>0</v>
      </c>
      <c r="Z53" s="26">
        <f>IF('Simulasi Premi 1 (Personal)'!$E$38="Menurun",'Spek Produk'!Z111,'Spek Produk'!Z169)</f>
        <v>0</v>
      </c>
      <c r="AA53" s="26">
        <f>IF('Simulasi Premi 1 (Personal)'!$E$38="Menurun",'Spek Produk'!AA111,'Spek Produk'!AA169)</f>
        <v>0</v>
      </c>
      <c r="AB53" s="26">
        <f>IF('Simulasi Premi 1 (Personal)'!$E$38="Menurun",'Spek Produk'!AB111,'Spek Produk'!AB169)</f>
        <v>0</v>
      </c>
      <c r="AC53" s="26">
        <f>IF('Simulasi Premi 1 (Personal)'!$E$38="Menurun",'Spek Produk'!AC111,'Spek Produk'!AC169)</f>
        <v>0</v>
      </c>
      <c r="AD53" s="26">
        <f>IF('Simulasi Premi 1 (Personal)'!$E$38="Menurun",'Spek Produk'!AD111,'Spek Produk'!AD169)</f>
        <v>0</v>
      </c>
      <c r="AE53" s="26">
        <f>IF('Simulasi Premi 1 (Personal)'!$E$38="Menurun",'Spek Produk'!AE111,'Spek Produk'!AE169)</f>
        <v>0</v>
      </c>
      <c r="AF53" s="26">
        <f>IF('Simulasi Premi 1 (Personal)'!$E$38="Menurun",'Spek Produk'!AF111,'Spek Produk'!AF169)</f>
        <v>0</v>
      </c>
      <c r="AG53" s="26">
        <f>IF('Simulasi Premi 1 (Personal)'!$E$38="Menurun",'Spek Produk'!AG111,'Spek Produk'!AG169)</f>
        <v>0</v>
      </c>
      <c r="AH53" s="26">
        <f>IF('Simulasi Premi 1 (Personal)'!$E$38="Menurun",'Spek Produk'!AH111,'Spek Produk'!AH169)</f>
        <v>0</v>
      </c>
      <c r="AI53" s="26">
        <f>IF('Simulasi Premi 1 (Personal)'!$E$38="Menurun",'Spek Produk'!AI111,'Spek Produk'!AI169)</f>
        <v>0</v>
      </c>
      <c r="AJ53" s="26">
        <f>IF('Simulasi Premi 1 (Personal)'!$E$38="Menurun",'Spek Produk'!AJ111,'Spek Produk'!AJ169)</f>
        <v>0</v>
      </c>
      <c r="AK53" s="26">
        <f>IF('Simulasi Premi 1 (Personal)'!$E$38="Menurun",'Spek Produk'!AK111,'Spek Produk'!AK169)</f>
        <v>0</v>
      </c>
      <c r="AL53" s="26">
        <f>IF('Simulasi Premi 1 (Personal)'!$E$38="Menurun",'Spek Produk'!AL111,'Spek Produk'!AL169)</f>
        <v>0</v>
      </c>
      <c r="AM53" s="26">
        <f>IF('Simulasi Premi 1 (Personal)'!$E$38="Menurun",'Spek Produk'!AM111,'Spek Produk'!AM169)</f>
        <v>0</v>
      </c>
      <c r="AN53" s="26">
        <f>IF('Simulasi Premi 1 (Personal)'!$E$38="Menurun",'Spek Produk'!AN111,'Spek Produk'!AN169)</f>
        <v>0</v>
      </c>
      <c r="AO53" s="26">
        <f>IF('Simulasi Premi 1 (Personal)'!$E$38="Menurun",'Spek Produk'!AO111,'Spek Produk'!AO169)</f>
        <v>0</v>
      </c>
      <c r="AP53" s="26">
        <f>IF('Simulasi Premi 1 (Personal)'!$E$38="Menurun",'Spek Produk'!AP111,'Spek Produk'!AP169)</f>
        <v>0</v>
      </c>
    </row>
    <row r="54" spans="11:42" x14ac:dyDescent="0.25">
      <c r="L54" s="24" t="str">
        <f t="shared" si="0"/>
        <v/>
      </c>
      <c r="M54" s="26">
        <f>IF('Simulasi Premi 1 (Personal)'!$E$38="Menurun",'Spek Produk'!M112,'Spek Produk'!M170)</f>
        <v>0</v>
      </c>
      <c r="N54" s="26">
        <f>IF('Simulasi Premi 1 (Personal)'!$E$38="Menurun",'Spek Produk'!N112,'Spek Produk'!N170)</f>
        <v>0</v>
      </c>
      <c r="O54" s="26">
        <f>IF('Simulasi Premi 1 (Personal)'!$E$38="Menurun",'Spek Produk'!O112,'Spek Produk'!O170)</f>
        <v>0</v>
      </c>
      <c r="P54" s="26">
        <f>IF('Simulasi Premi 1 (Personal)'!$E$38="Menurun",'Spek Produk'!P112,'Spek Produk'!P170)</f>
        <v>0</v>
      </c>
      <c r="Q54" s="26">
        <f>IF('Simulasi Premi 1 (Personal)'!$E$38="Menurun",'Spek Produk'!Q112,'Spek Produk'!Q170)</f>
        <v>0</v>
      </c>
      <c r="R54" s="26">
        <f>IF('Simulasi Premi 1 (Personal)'!$E$38="Menurun",'Spek Produk'!R112,'Spek Produk'!R170)</f>
        <v>0</v>
      </c>
      <c r="S54" s="26">
        <f>IF('Simulasi Premi 1 (Personal)'!$E$38="Menurun",'Spek Produk'!S112,'Spek Produk'!S170)</f>
        <v>0</v>
      </c>
      <c r="T54" s="26">
        <f>IF('Simulasi Premi 1 (Personal)'!$E$38="Menurun",'Spek Produk'!T112,'Spek Produk'!T170)</f>
        <v>0</v>
      </c>
      <c r="U54" s="26">
        <f>IF('Simulasi Premi 1 (Personal)'!$E$38="Menurun",'Spek Produk'!U112,'Spek Produk'!U170)</f>
        <v>0</v>
      </c>
      <c r="V54" s="26">
        <f>IF('Simulasi Premi 1 (Personal)'!$E$38="Menurun",'Spek Produk'!V112,'Spek Produk'!V170)</f>
        <v>0</v>
      </c>
      <c r="W54" s="26">
        <f>IF('Simulasi Premi 1 (Personal)'!$E$38="Menurun",'Spek Produk'!W112,'Spek Produk'!W170)</f>
        <v>0</v>
      </c>
      <c r="X54" s="26">
        <f>IF('Simulasi Premi 1 (Personal)'!$E$38="Menurun",'Spek Produk'!X112,'Spek Produk'!X170)</f>
        <v>0</v>
      </c>
      <c r="Y54" s="26">
        <f>IF('Simulasi Premi 1 (Personal)'!$E$38="Menurun",'Spek Produk'!Y112,'Spek Produk'!Y170)</f>
        <v>0</v>
      </c>
      <c r="Z54" s="26">
        <f>IF('Simulasi Premi 1 (Personal)'!$E$38="Menurun",'Spek Produk'!Z112,'Spek Produk'!Z170)</f>
        <v>0</v>
      </c>
      <c r="AA54" s="26">
        <f>IF('Simulasi Premi 1 (Personal)'!$E$38="Menurun",'Spek Produk'!AA112,'Spek Produk'!AA170)</f>
        <v>0</v>
      </c>
      <c r="AB54" s="26">
        <f>IF('Simulasi Premi 1 (Personal)'!$E$38="Menurun",'Spek Produk'!AB112,'Spek Produk'!AB170)</f>
        <v>0</v>
      </c>
      <c r="AC54" s="26">
        <f>IF('Simulasi Premi 1 (Personal)'!$E$38="Menurun",'Spek Produk'!AC112,'Spek Produk'!AC170)</f>
        <v>0</v>
      </c>
      <c r="AD54" s="26">
        <f>IF('Simulasi Premi 1 (Personal)'!$E$38="Menurun",'Spek Produk'!AD112,'Spek Produk'!AD170)</f>
        <v>0</v>
      </c>
      <c r="AE54" s="26">
        <f>IF('Simulasi Premi 1 (Personal)'!$E$38="Menurun",'Spek Produk'!AE112,'Spek Produk'!AE170)</f>
        <v>0</v>
      </c>
      <c r="AF54" s="26">
        <f>IF('Simulasi Premi 1 (Personal)'!$E$38="Menurun",'Spek Produk'!AF112,'Spek Produk'!AF170)</f>
        <v>0</v>
      </c>
      <c r="AG54" s="26">
        <f>IF('Simulasi Premi 1 (Personal)'!$E$38="Menurun",'Spek Produk'!AG112,'Spek Produk'!AG170)</f>
        <v>0</v>
      </c>
      <c r="AH54" s="26">
        <f>IF('Simulasi Premi 1 (Personal)'!$E$38="Menurun",'Spek Produk'!AH112,'Spek Produk'!AH170)</f>
        <v>0</v>
      </c>
      <c r="AI54" s="26">
        <f>IF('Simulasi Premi 1 (Personal)'!$E$38="Menurun",'Spek Produk'!AI112,'Spek Produk'!AI170)</f>
        <v>0</v>
      </c>
      <c r="AJ54" s="26">
        <f>IF('Simulasi Premi 1 (Personal)'!$E$38="Menurun",'Spek Produk'!AJ112,'Spek Produk'!AJ170)</f>
        <v>0</v>
      </c>
      <c r="AK54" s="26">
        <f>IF('Simulasi Premi 1 (Personal)'!$E$38="Menurun",'Spek Produk'!AK112,'Spek Produk'!AK170)</f>
        <v>0</v>
      </c>
      <c r="AL54" s="26">
        <f>IF('Simulasi Premi 1 (Personal)'!$E$38="Menurun",'Spek Produk'!AL112,'Spek Produk'!AL170)</f>
        <v>0</v>
      </c>
      <c r="AM54" s="26">
        <f>IF('Simulasi Premi 1 (Personal)'!$E$38="Menurun",'Spek Produk'!AM112,'Spek Produk'!AM170)</f>
        <v>0</v>
      </c>
      <c r="AN54" s="26">
        <f>IF('Simulasi Premi 1 (Personal)'!$E$38="Menurun",'Spek Produk'!AN112,'Spek Produk'!AN170)</f>
        <v>0</v>
      </c>
      <c r="AO54" s="26">
        <f>IF('Simulasi Premi 1 (Personal)'!$E$38="Menurun",'Spek Produk'!AO112,'Spek Produk'!AO170)</f>
        <v>0</v>
      </c>
      <c r="AP54" s="26">
        <f>IF('Simulasi Premi 1 (Personal)'!$E$38="Menurun",'Spek Produk'!AP112,'Spek Produk'!AP170)</f>
        <v>0</v>
      </c>
    </row>
    <row r="55" spans="11:42" x14ac:dyDescent="0.25">
      <c r="L55" s="24" t="str">
        <f t="shared" si="0"/>
        <v/>
      </c>
      <c r="M55" s="26">
        <f>IF('Simulasi Premi 1 (Personal)'!$E$38="Menurun",'Spek Produk'!M113,'Spek Produk'!M171)</f>
        <v>0</v>
      </c>
      <c r="N55" s="26">
        <f>IF('Simulasi Premi 1 (Personal)'!$E$38="Menurun",'Spek Produk'!N113,'Spek Produk'!N171)</f>
        <v>0</v>
      </c>
      <c r="O55" s="26">
        <f>IF('Simulasi Premi 1 (Personal)'!$E$38="Menurun",'Spek Produk'!O113,'Spek Produk'!O171)</f>
        <v>0</v>
      </c>
      <c r="P55" s="26">
        <f>IF('Simulasi Premi 1 (Personal)'!$E$38="Menurun",'Spek Produk'!P113,'Spek Produk'!P171)</f>
        <v>0</v>
      </c>
      <c r="Q55" s="26">
        <f>IF('Simulasi Premi 1 (Personal)'!$E$38="Menurun",'Spek Produk'!Q113,'Spek Produk'!Q171)</f>
        <v>0</v>
      </c>
      <c r="R55" s="26">
        <f>IF('Simulasi Premi 1 (Personal)'!$E$38="Menurun",'Spek Produk'!R113,'Spek Produk'!R171)</f>
        <v>0</v>
      </c>
      <c r="S55" s="26">
        <f>IF('Simulasi Premi 1 (Personal)'!$E$38="Menurun",'Spek Produk'!S113,'Spek Produk'!S171)</f>
        <v>0</v>
      </c>
      <c r="T55" s="26">
        <f>IF('Simulasi Premi 1 (Personal)'!$E$38="Menurun",'Spek Produk'!T113,'Spek Produk'!T171)</f>
        <v>0</v>
      </c>
      <c r="U55" s="26">
        <f>IF('Simulasi Premi 1 (Personal)'!$E$38="Menurun",'Spek Produk'!U113,'Spek Produk'!U171)</f>
        <v>0</v>
      </c>
      <c r="V55" s="26">
        <f>IF('Simulasi Premi 1 (Personal)'!$E$38="Menurun",'Spek Produk'!V113,'Spek Produk'!V171)</f>
        <v>0</v>
      </c>
      <c r="W55" s="26">
        <f>IF('Simulasi Premi 1 (Personal)'!$E$38="Menurun",'Spek Produk'!W113,'Spek Produk'!W171)</f>
        <v>0</v>
      </c>
      <c r="X55" s="26">
        <f>IF('Simulasi Premi 1 (Personal)'!$E$38="Menurun",'Spek Produk'!X113,'Spek Produk'!X171)</f>
        <v>0</v>
      </c>
      <c r="Y55" s="26">
        <f>IF('Simulasi Premi 1 (Personal)'!$E$38="Menurun",'Spek Produk'!Y113,'Spek Produk'!Y171)</f>
        <v>0</v>
      </c>
      <c r="Z55" s="26">
        <f>IF('Simulasi Premi 1 (Personal)'!$E$38="Menurun",'Spek Produk'!Z113,'Spek Produk'!Z171)</f>
        <v>0</v>
      </c>
      <c r="AA55" s="26">
        <f>IF('Simulasi Premi 1 (Personal)'!$E$38="Menurun",'Spek Produk'!AA113,'Spek Produk'!AA171)</f>
        <v>0</v>
      </c>
      <c r="AB55" s="26">
        <f>IF('Simulasi Premi 1 (Personal)'!$E$38="Menurun",'Spek Produk'!AB113,'Spek Produk'!AB171)</f>
        <v>0</v>
      </c>
      <c r="AC55" s="26">
        <f>IF('Simulasi Premi 1 (Personal)'!$E$38="Menurun",'Spek Produk'!AC113,'Spek Produk'!AC171)</f>
        <v>0</v>
      </c>
      <c r="AD55" s="26">
        <f>IF('Simulasi Premi 1 (Personal)'!$E$38="Menurun",'Spek Produk'!AD113,'Spek Produk'!AD171)</f>
        <v>0</v>
      </c>
      <c r="AE55" s="26">
        <f>IF('Simulasi Premi 1 (Personal)'!$E$38="Menurun",'Spek Produk'!AE113,'Spek Produk'!AE171)</f>
        <v>0</v>
      </c>
      <c r="AF55" s="26">
        <f>IF('Simulasi Premi 1 (Personal)'!$E$38="Menurun",'Spek Produk'!AF113,'Spek Produk'!AF171)</f>
        <v>0</v>
      </c>
      <c r="AG55" s="26">
        <f>IF('Simulasi Premi 1 (Personal)'!$E$38="Menurun",'Spek Produk'!AG113,'Spek Produk'!AG171)</f>
        <v>0</v>
      </c>
      <c r="AH55" s="26">
        <f>IF('Simulasi Premi 1 (Personal)'!$E$38="Menurun",'Spek Produk'!AH113,'Spek Produk'!AH171)</f>
        <v>0</v>
      </c>
      <c r="AI55" s="26">
        <f>IF('Simulasi Premi 1 (Personal)'!$E$38="Menurun",'Spek Produk'!AI113,'Spek Produk'!AI171)</f>
        <v>0</v>
      </c>
      <c r="AJ55" s="26">
        <f>IF('Simulasi Premi 1 (Personal)'!$E$38="Menurun",'Spek Produk'!AJ113,'Spek Produk'!AJ171)</f>
        <v>0</v>
      </c>
      <c r="AK55" s="26">
        <f>IF('Simulasi Premi 1 (Personal)'!$E$38="Menurun",'Spek Produk'!AK113,'Spek Produk'!AK171)</f>
        <v>0</v>
      </c>
      <c r="AL55" s="26">
        <f>IF('Simulasi Premi 1 (Personal)'!$E$38="Menurun",'Spek Produk'!AL113,'Spek Produk'!AL171)</f>
        <v>0</v>
      </c>
      <c r="AM55" s="26">
        <f>IF('Simulasi Premi 1 (Personal)'!$E$38="Menurun",'Spek Produk'!AM113,'Spek Produk'!AM171)</f>
        <v>0</v>
      </c>
      <c r="AN55" s="26">
        <f>IF('Simulasi Premi 1 (Personal)'!$E$38="Menurun",'Spek Produk'!AN113,'Spek Produk'!AN171)</f>
        <v>0</v>
      </c>
      <c r="AO55" s="26">
        <f>IF('Simulasi Premi 1 (Personal)'!$E$38="Menurun",'Spek Produk'!AO113,'Spek Produk'!AO171)</f>
        <v>0</v>
      </c>
      <c r="AP55" s="26">
        <f>IF('Simulasi Premi 1 (Personal)'!$E$38="Menurun",'Spek Produk'!AP113,'Spek Produk'!AP171)</f>
        <v>0</v>
      </c>
    </row>
    <row r="56" spans="11:42" x14ac:dyDescent="0.25">
      <c r="L56" s="24" t="str">
        <f t="shared" si="0"/>
        <v/>
      </c>
      <c r="M56" s="26">
        <f>IF('Simulasi Premi 1 (Personal)'!$E$38="Menurun",'Spek Produk'!M114,'Spek Produk'!M172)</f>
        <v>0</v>
      </c>
      <c r="N56" s="26">
        <f>IF('Simulasi Premi 1 (Personal)'!$E$38="Menurun",'Spek Produk'!N114,'Spek Produk'!N172)</f>
        <v>0</v>
      </c>
      <c r="O56" s="26">
        <f>IF('Simulasi Premi 1 (Personal)'!$E$38="Menurun",'Spek Produk'!O114,'Spek Produk'!O172)</f>
        <v>0</v>
      </c>
      <c r="P56" s="26">
        <f>IF('Simulasi Premi 1 (Personal)'!$E$38="Menurun",'Spek Produk'!P114,'Spek Produk'!P172)</f>
        <v>0</v>
      </c>
      <c r="Q56" s="26">
        <f>IF('Simulasi Premi 1 (Personal)'!$E$38="Menurun",'Spek Produk'!Q114,'Spek Produk'!Q172)</f>
        <v>0</v>
      </c>
      <c r="R56" s="26">
        <f>IF('Simulasi Premi 1 (Personal)'!$E$38="Menurun",'Spek Produk'!R114,'Spek Produk'!R172)</f>
        <v>0</v>
      </c>
      <c r="S56" s="26">
        <f>IF('Simulasi Premi 1 (Personal)'!$E$38="Menurun",'Spek Produk'!S114,'Spek Produk'!S172)</f>
        <v>0</v>
      </c>
      <c r="T56" s="26">
        <f>IF('Simulasi Premi 1 (Personal)'!$E$38="Menurun",'Spek Produk'!T114,'Spek Produk'!T172)</f>
        <v>0</v>
      </c>
      <c r="U56" s="26">
        <f>IF('Simulasi Premi 1 (Personal)'!$E$38="Menurun",'Spek Produk'!U114,'Spek Produk'!U172)</f>
        <v>0</v>
      </c>
      <c r="V56" s="26">
        <f>IF('Simulasi Premi 1 (Personal)'!$E$38="Menurun",'Spek Produk'!V114,'Spek Produk'!V172)</f>
        <v>0</v>
      </c>
      <c r="W56" s="26">
        <f>IF('Simulasi Premi 1 (Personal)'!$E$38="Menurun",'Spek Produk'!W114,'Spek Produk'!W172)</f>
        <v>0</v>
      </c>
      <c r="X56" s="26">
        <f>IF('Simulasi Premi 1 (Personal)'!$E$38="Menurun",'Spek Produk'!X114,'Spek Produk'!X172)</f>
        <v>0</v>
      </c>
      <c r="Y56" s="26">
        <f>IF('Simulasi Premi 1 (Personal)'!$E$38="Menurun",'Spek Produk'!Y114,'Spek Produk'!Y172)</f>
        <v>0</v>
      </c>
      <c r="Z56" s="26">
        <f>IF('Simulasi Premi 1 (Personal)'!$E$38="Menurun",'Spek Produk'!Z114,'Spek Produk'!Z172)</f>
        <v>0</v>
      </c>
      <c r="AA56" s="26">
        <f>IF('Simulasi Premi 1 (Personal)'!$E$38="Menurun",'Spek Produk'!AA114,'Spek Produk'!AA172)</f>
        <v>0</v>
      </c>
      <c r="AB56" s="26">
        <f>IF('Simulasi Premi 1 (Personal)'!$E$38="Menurun",'Spek Produk'!AB114,'Spek Produk'!AB172)</f>
        <v>0</v>
      </c>
      <c r="AC56" s="26">
        <f>IF('Simulasi Premi 1 (Personal)'!$E$38="Menurun",'Spek Produk'!AC114,'Spek Produk'!AC172)</f>
        <v>0</v>
      </c>
      <c r="AD56" s="26">
        <f>IF('Simulasi Premi 1 (Personal)'!$E$38="Menurun",'Spek Produk'!AD114,'Spek Produk'!AD172)</f>
        <v>0</v>
      </c>
      <c r="AE56" s="26">
        <f>IF('Simulasi Premi 1 (Personal)'!$E$38="Menurun",'Spek Produk'!AE114,'Spek Produk'!AE172)</f>
        <v>0</v>
      </c>
      <c r="AF56" s="26">
        <f>IF('Simulasi Premi 1 (Personal)'!$E$38="Menurun",'Spek Produk'!AF114,'Spek Produk'!AF172)</f>
        <v>0</v>
      </c>
      <c r="AG56" s="26">
        <f>IF('Simulasi Premi 1 (Personal)'!$E$38="Menurun",'Spek Produk'!AG114,'Spek Produk'!AG172)</f>
        <v>0</v>
      </c>
      <c r="AH56" s="26">
        <f>IF('Simulasi Premi 1 (Personal)'!$E$38="Menurun",'Spek Produk'!AH114,'Spek Produk'!AH172)</f>
        <v>0</v>
      </c>
      <c r="AI56" s="26">
        <f>IF('Simulasi Premi 1 (Personal)'!$E$38="Menurun",'Spek Produk'!AI114,'Spek Produk'!AI172)</f>
        <v>0</v>
      </c>
      <c r="AJ56" s="26">
        <f>IF('Simulasi Premi 1 (Personal)'!$E$38="Menurun",'Spek Produk'!AJ114,'Spek Produk'!AJ172)</f>
        <v>0</v>
      </c>
      <c r="AK56" s="26">
        <f>IF('Simulasi Premi 1 (Personal)'!$E$38="Menurun",'Spek Produk'!AK114,'Spek Produk'!AK172)</f>
        <v>0</v>
      </c>
      <c r="AL56" s="26">
        <f>IF('Simulasi Premi 1 (Personal)'!$E$38="Menurun",'Spek Produk'!AL114,'Spek Produk'!AL172)</f>
        <v>0</v>
      </c>
      <c r="AM56" s="26">
        <f>IF('Simulasi Premi 1 (Personal)'!$E$38="Menurun",'Spek Produk'!AM114,'Spek Produk'!AM172)</f>
        <v>0</v>
      </c>
      <c r="AN56" s="26">
        <f>IF('Simulasi Premi 1 (Personal)'!$E$38="Menurun",'Spek Produk'!AN114,'Spek Produk'!AN172)</f>
        <v>0</v>
      </c>
      <c r="AO56" s="26">
        <f>IF('Simulasi Premi 1 (Personal)'!$E$38="Menurun",'Spek Produk'!AO114,'Spek Produk'!AO172)</f>
        <v>0</v>
      </c>
      <c r="AP56" s="26">
        <f>IF('Simulasi Premi 1 (Personal)'!$E$38="Menurun",'Spek Produk'!AP114,'Spek Produk'!AP172)</f>
        <v>0</v>
      </c>
    </row>
    <row r="57" spans="11:42" x14ac:dyDescent="0.25">
      <c r="L57" s="24" t="str">
        <f t="shared" si="0"/>
        <v/>
      </c>
      <c r="M57" s="26">
        <f>IF('Simulasi Premi 1 (Personal)'!$E$38="Menurun",'Spek Produk'!M115,'Spek Produk'!M173)</f>
        <v>0</v>
      </c>
      <c r="N57" s="26">
        <f>IF('Simulasi Premi 1 (Personal)'!$E$38="Menurun",'Spek Produk'!N115,'Spek Produk'!N173)</f>
        <v>0</v>
      </c>
      <c r="O57" s="26">
        <f>IF('Simulasi Premi 1 (Personal)'!$E$38="Menurun",'Spek Produk'!O115,'Spek Produk'!O173)</f>
        <v>0</v>
      </c>
      <c r="P57" s="26">
        <f>IF('Simulasi Premi 1 (Personal)'!$E$38="Menurun",'Spek Produk'!P115,'Spek Produk'!P173)</f>
        <v>0</v>
      </c>
      <c r="Q57" s="26">
        <f>IF('Simulasi Premi 1 (Personal)'!$E$38="Menurun",'Spek Produk'!Q115,'Spek Produk'!Q173)</f>
        <v>0</v>
      </c>
      <c r="R57" s="26">
        <f>IF('Simulasi Premi 1 (Personal)'!$E$38="Menurun",'Spek Produk'!R115,'Spek Produk'!R173)</f>
        <v>0</v>
      </c>
      <c r="S57" s="26">
        <f>IF('Simulasi Premi 1 (Personal)'!$E$38="Menurun",'Spek Produk'!S115,'Spek Produk'!S173)</f>
        <v>0</v>
      </c>
      <c r="T57" s="26">
        <f>IF('Simulasi Premi 1 (Personal)'!$E$38="Menurun",'Spek Produk'!T115,'Spek Produk'!T173)</f>
        <v>0</v>
      </c>
      <c r="U57" s="26">
        <f>IF('Simulasi Premi 1 (Personal)'!$E$38="Menurun",'Spek Produk'!U115,'Spek Produk'!U173)</f>
        <v>0</v>
      </c>
      <c r="V57" s="26">
        <f>IF('Simulasi Premi 1 (Personal)'!$E$38="Menurun",'Spek Produk'!V115,'Spek Produk'!V173)</f>
        <v>0</v>
      </c>
      <c r="W57" s="26">
        <f>IF('Simulasi Premi 1 (Personal)'!$E$38="Menurun",'Spek Produk'!W115,'Spek Produk'!W173)</f>
        <v>0</v>
      </c>
      <c r="X57" s="26">
        <f>IF('Simulasi Premi 1 (Personal)'!$E$38="Menurun",'Spek Produk'!X115,'Spek Produk'!X173)</f>
        <v>0</v>
      </c>
      <c r="Y57" s="26">
        <f>IF('Simulasi Premi 1 (Personal)'!$E$38="Menurun",'Spek Produk'!Y115,'Spek Produk'!Y173)</f>
        <v>0</v>
      </c>
      <c r="Z57" s="26">
        <f>IF('Simulasi Premi 1 (Personal)'!$E$38="Menurun",'Spek Produk'!Z115,'Spek Produk'!Z173)</f>
        <v>0</v>
      </c>
      <c r="AA57" s="26">
        <f>IF('Simulasi Premi 1 (Personal)'!$E$38="Menurun",'Spek Produk'!AA115,'Spek Produk'!AA173)</f>
        <v>0</v>
      </c>
      <c r="AB57" s="26">
        <f>IF('Simulasi Premi 1 (Personal)'!$E$38="Menurun",'Spek Produk'!AB115,'Spek Produk'!AB173)</f>
        <v>0</v>
      </c>
      <c r="AC57" s="26">
        <f>IF('Simulasi Premi 1 (Personal)'!$E$38="Menurun",'Spek Produk'!AC115,'Spek Produk'!AC173)</f>
        <v>0</v>
      </c>
      <c r="AD57" s="26">
        <f>IF('Simulasi Premi 1 (Personal)'!$E$38="Menurun",'Spek Produk'!AD115,'Spek Produk'!AD173)</f>
        <v>0</v>
      </c>
      <c r="AE57" s="26">
        <f>IF('Simulasi Premi 1 (Personal)'!$E$38="Menurun",'Spek Produk'!AE115,'Spek Produk'!AE173)</f>
        <v>0</v>
      </c>
      <c r="AF57" s="26">
        <f>IF('Simulasi Premi 1 (Personal)'!$E$38="Menurun",'Spek Produk'!AF115,'Spek Produk'!AF173)</f>
        <v>0</v>
      </c>
      <c r="AG57" s="26">
        <f>IF('Simulasi Premi 1 (Personal)'!$E$38="Menurun",'Spek Produk'!AG115,'Spek Produk'!AG173)</f>
        <v>0</v>
      </c>
      <c r="AH57" s="26">
        <f>IF('Simulasi Premi 1 (Personal)'!$E$38="Menurun",'Spek Produk'!AH115,'Spek Produk'!AH173)</f>
        <v>0</v>
      </c>
      <c r="AI57" s="26">
        <f>IF('Simulasi Premi 1 (Personal)'!$E$38="Menurun",'Spek Produk'!AI115,'Spek Produk'!AI173)</f>
        <v>0</v>
      </c>
      <c r="AJ57" s="26">
        <f>IF('Simulasi Premi 1 (Personal)'!$E$38="Menurun",'Spek Produk'!AJ115,'Spek Produk'!AJ173)</f>
        <v>0</v>
      </c>
      <c r="AK57" s="26">
        <f>IF('Simulasi Premi 1 (Personal)'!$E$38="Menurun",'Spek Produk'!AK115,'Spek Produk'!AK173)</f>
        <v>0</v>
      </c>
      <c r="AL57" s="26">
        <f>IF('Simulasi Premi 1 (Personal)'!$E$38="Menurun",'Spek Produk'!AL115,'Spek Produk'!AL173)</f>
        <v>0</v>
      </c>
      <c r="AM57" s="26">
        <f>IF('Simulasi Premi 1 (Personal)'!$E$38="Menurun",'Spek Produk'!AM115,'Spek Produk'!AM173)</f>
        <v>0</v>
      </c>
      <c r="AN57" s="26">
        <f>IF('Simulasi Premi 1 (Personal)'!$E$38="Menurun",'Spek Produk'!AN115,'Spek Produk'!AN173)</f>
        <v>0</v>
      </c>
      <c r="AO57" s="26">
        <f>IF('Simulasi Premi 1 (Personal)'!$E$38="Menurun",'Spek Produk'!AO115,'Spek Produk'!AO173)</f>
        <v>0</v>
      </c>
      <c r="AP57" s="26">
        <f>IF('Simulasi Premi 1 (Personal)'!$E$38="Menurun",'Spek Produk'!AP115,'Spek Produk'!AP173)</f>
        <v>0</v>
      </c>
    </row>
    <row r="58" spans="11:42" x14ac:dyDescent="0.25">
      <c r="L58" s="24" t="str">
        <f t="shared" si="0"/>
        <v/>
      </c>
      <c r="M58" s="26">
        <f>IF('Simulasi Premi 1 (Personal)'!$E$38="Menurun",'Spek Produk'!M116,'Spek Produk'!M174)</f>
        <v>0</v>
      </c>
      <c r="N58" s="26">
        <f>IF('Simulasi Premi 1 (Personal)'!$E$38="Menurun",'Spek Produk'!N116,'Spek Produk'!N174)</f>
        <v>0</v>
      </c>
      <c r="O58" s="26">
        <f>IF('Simulasi Premi 1 (Personal)'!$E$38="Menurun",'Spek Produk'!O116,'Spek Produk'!O174)</f>
        <v>0</v>
      </c>
      <c r="P58" s="26">
        <f>IF('Simulasi Premi 1 (Personal)'!$E$38="Menurun",'Spek Produk'!P116,'Spek Produk'!P174)</f>
        <v>0</v>
      </c>
      <c r="Q58" s="26">
        <f>IF('Simulasi Premi 1 (Personal)'!$E$38="Menurun",'Spek Produk'!Q116,'Spek Produk'!Q174)</f>
        <v>0</v>
      </c>
      <c r="R58" s="26">
        <f>IF('Simulasi Premi 1 (Personal)'!$E$38="Menurun",'Spek Produk'!R116,'Spek Produk'!R174)</f>
        <v>0</v>
      </c>
      <c r="S58" s="26">
        <f>IF('Simulasi Premi 1 (Personal)'!$E$38="Menurun",'Spek Produk'!S116,'Spek Produk'!S174)</f>
        <v>0</v>
      </c>
      <c r="T58" s="26">
        <f>IF('Simulasi Premi 1 (Personal)'!$E$38="Menurun",'Spek Produk'!T116,'Spek Produk'!T174)</f>
        <v>0</v>
      </c>
      <c r="U58" s="26">
        <f>IF('Simulasi Premi 1 (Personal)'!$E$38="Menurun",'Spek Produk'!U116,'Spek Produk'!U174)</f>
        <v>0</v>
      </c>
      <c r="V58" s="26">
        <f>IF('Simulasi Premi 1 (Personal)'!$E$38="Menurun",'Spek Produk'!V116,'Spek Produk'!V174)</f>
        <v>0</v>
      </c>
      <c r="W58" s="26">
        <f>IF('Simulasi Premi 1 (Personal)'!$E$38="Menurun",'Spek Produk'!W116,'Spek Produk'!W174)</f>
        <v>0</v>
      </c>
      <c r="X58" s="26">
        <f>IF('Simulasi Premi 1 (Personal)'!$E$38="Menurun",'Spek Produk'!X116,'Spek Produk'!X174)</f>
        <v>0</v>
      </c>
      <c r="Y58" s="26">
        <f>IF('Simulasi Premi 1 (Personal)'!$E$38="Menurun",'Spek Produk'!Y116,'Spek Produk'!Y174)</f>
        <v>0</v>
      </c>
      <c r="Z58" s="26">
        <f>IF('Simulasi Premi 1 (Personal)'!$E$38="Menurun",'Spek Produk'!Z116,'Spek Produk'!Z174)</f>
        <v>0</v>
      </c>
      <c r="AA58" s="26">
        <f>IF('Simulasi Premi 1 (Personal)'!$E$38="Menurun",'Spek Produk'!AA116,'Spek Produk'!AA174)</f>
        <v>0</v>
      </c>
      <c r="AB58" s="26">
        <f>IF('Simulasi Premi 1 (Personal)'!$E$38="Menurun",'Spek Produk'!AB116,'Spek Produk'!AB174)</f>
        <v>0</v>
      </c>
      <c r="AC58" s="26">
        <f>IF('Simulasi Premi 1 (Personal)'!$E$38="Menurun",'Spek Produk'!AC116,'Spek Produk'!AC174)</f>
        <v>0</v>
      </c>
      <c r="AD58" s="26">
        <f>IF('Simulasi Premi 1 (Personal)'!$E$38="Menurun",'Spek Produk'!AD116,'Spek Produk'!AD174)</f>
        <v>0</v>
      </c>
      <c r="AE58" s="26">
        <f>IF('Simulasi Premi 1 (Personal)'!$E$38="Menurun",'Spek Produk'!AE116,'Spek Produk'!AE174)</f>
        <v>0</v>
      </c>
      <c r="AF58" s="26">
        <f>IF('Simulasi Premi 1 (Personal)'!$E$38="Menurun",'Spek Produk'!AF116,'Spek Produk'!AF174)</f>
        <v>0</v>
      </c>
      <c r="AG58" s="26">
        <f>IF('Simulasi Premi 1 (Personal)'!$E$38="Menurun",'Spek Produk'!AG116,'Spek Produk'!AG174)</f>
        <v>0</v>
      </c>
      <c r="AH58" s="26">
        <f>IF('Simulasi Premi 1 (Personal)'!$E$38="Menurun",'Spek Produk'!AH116,'Spek Produk'!AH174)</f>
        <v>0</v>
      </c>
      <c r="AI58" s="26">
        <f>IF('Simulasi Premi 1 (Personal)'!$E$38="Menurun",'Spek Produk'!AI116,'Spek Produk'!AI174)</f>
        <v>0</v>
      </c>
      <c r="AJ58" s="26">
        <f>IF('Simulasi Premi 1 (Personal)'!$E$38="Menurun",'Spek Produk'!AJ116,'Spek Produk'!AJ174)</f>
        <v>0</v>
      </c>
      <c r="AK58" s="26">
        <f>IF('Simulasi Premi 1 (Personal)'!$E$38="Menurun",'Spek Produk'!AK116,'Spek Produk'!AK174)</f>
        <v>0</v>
      </c>
      <c r="AL58" s="26">
        <f>IF('Simulasi Premi 1 (Personal)'!$E$38="Menurun",'Spek Produk'!AL116,'Spek Produk'!AL174)</f>
        <v>0</v>
      </c>
      <c r="AM58" s="26">
        <f>IF('Simulasi Premi 1 (Personal)'!$E$38="Menurun",'Spek Produk'!AM116,'Spek Produk'!AM174)</f>
        <v>0</v>
      </c>
      <c r="AN58" s="26">
        <f>IF('Simulasi Premi 1 (Personal)'!$E$38="Menurun",'Spek Produk'!AN116,'Spek Produk'!AN174)</f>
        <v>0</v>
      </c>
      <c r="AO58" s="26">
        <f>IF('Simulasi Premi 1 (Personal)'!$E$38="Menurun",'Spek Produk'!AO116,'Spek Produk'!AO174)</f>
        <v>0</v>
      </c>
      <c r="AP58" s="26">
        <f>IF('Simulasi Premi 1 (Personal)'!$E$38="Menurun",'Spek Produk'!AP116,'Spek Produk'!AP174)</f>
        <v>0</v>
      </c>
    </row>
    <row r="60" spans="11:42" x14ac:dyDescent="0.25">
      <c r="L60" s="90" t="s">
        <v>85</v>
      </c>
    </row>
    <row r="61" spans="11:42" x14ac:dyDescent="0.25">
      <c r="K61" s="89"/>
      <c r="L61" s="117" t="s">
        <v>42</v>
      </c>
      <c r="M61" s="118" t="s">
        <v>43</v>
      </c>
      <c r="N61" s="118"/>
      <c r="O61" s="118"/>
      <c r="P61" s="118"/>
      <c r="Q61" s="118"/>
      <c r="R61" s="118"/>
      <c r="S61" s="118"/>
      <c r="T61" s="118"/>
      <c r="U61" s="118"/>
      <c r="V61" s="118"/>
      <c r="W61" s="118"/>
      <c r="X61" s="118"/>
      <c r="Y61" s="118"/>
      <c r="Z61" s="118"/>
      <c r="AA61" s="118"/>
      <c r="AB61" s="118"/>
      <c r="AC61" s="118"/>
      <c r="AD61" s="118"/>
      <c r="AE61" s="118"/>
      <c r="AF61" s="118"/>
      <c r="AG61" s="118"/>
      <c r="AH61" s="118"/>
      <c r="AI61" s="118"/>
      <c r="AJ61" s="118"/>
      <c r="AK61" s="118"/>
      <c r="AL61" s="118"/>
      <c r="AM61" s="118"/>
      <c r="AN61" s="118"/>
      <c r="AO61" s="118"/>
      <c r="AP61" s="118"/>
    </row>
    <row r="62" spans="11:42" x14ac:dyDescent="0.25">
      <c r="L62" s="117"/>
      <c r="M62" s="23">
        <v>1</v>
      </c>
      <c r="N62" s="23">
        <v>2</v>
      </c>
      <c r="O62" s="23">
        <v>3</v>
      </c>
      <c r="P62" s="23">
        <v>4</v>
      </c>
      <c r="Q62" s="23">
        <v>5</v>
      </c>
      <c r="R62" s="23">
        <v>6</v>
      </c>
      <c r="S62" s="23">
        <v>7</v>
      </c>
      <c r="T62" s="23">
        <v>8</v>
      </c>
      <c r="U62" s="23">
        <v>9</v>
      </c>
      <c r="V62" s="23">
        <v>10</v>
      </c>
      <c r="W62" s="23">
        <v>11</v>
      </c>
      <c r="X62" s="23">
        <v>12</v>
      </c>
      <c r="Y62" s="23">
        <v>13</v>
      </c>
      <c r="Z62" s="23">
        <v>14</v>
      </c>
      <c r="AA62" s="23">
        <v>15</v>
      </c>
      <c r="AB62" s="23">
        <v>16</v>
      </c>
      <c r="AC62" s="23">
        <v>17</v>
      </c>
      <c r="AD62" s="23">
        <v>18</v>
      </c>
      <c r="AE62" s="23">
        <v>19</v>
      </c>
      <c r="AF62" s="23">
        <v>20</v>
      </c>
      <c r="AG62" s="23">
        <v>21</v>
      </c>
      <c r="AH62" s="23">
        <v>22</v>
      </c>
      <c r="AI62" s="23">
        <v>23</v>
      </c>
      <c r="AJ62" s="23">
        <v>24</v>
      </c>
      <c r="AK62" s="23">
        <v>25</v>
      </c>
      <c r="AL62" s="23">
        <v>26</v>
      </c>
      <c r="AM62" s="23">
        <v>27</v>
      </c>
      <c r="AN62" s="23">
        <v>28</v>
      </c>
      <c r="AO62" s="23">
        <v>29</v>
      </c>
      <c r="AP62" s="23">
        <v>30</v>
      </c>
    </row>
    <row r="63" spans="11:42" x14ac:dyDescent="0.25">
      <c r="L63" s="24" t="str">
        <f>IF(AND(ROW(K5)+12&gt;=$G$11,ROW(K5)+12&lt;=$I$11),ROW(K5)+12,"")</f>
        <v/>
      </c>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row>
    <row r="64" spans="11:42" x14ac:dyDescent="0.25">
      <c r="L64" s="24">
        <v>18</v>
      </c>
      <c r="M64" s="93"/>
      <c r="N64" s="93"/>
      <c r="O64" s="93"/>
      <c r="P64" s="93"/>
      <c r="Q64" s="93"/>
      <c r="R64" s="93"/>
      <c r="S64" s="93"/>
      <c r="T64" s="93"/>
      <c r="U64" s="93"/>
      <c r="V64" s="93"/>
      <c r="W64" s="93"/>
      <c r="X64" s="93"/>
      <c r="Y64" s="93"/>
      <c r="Z64" s="93"/>
      <c r="AA64" s="93"/>
      <c r="AB64" s="102"/>
      <c r="AC64" s="102"/>
      <c r="AD64" s="102"/>
      <c r="AE64" s="102"/>
      <c r="AF64" s="102"/>
      <c r="AG64" s="25"/>
      <c r="AH64" s="25"/>
      <c r="AI64" s="25"/>
      <c r="AJ64" s="25"/>
      <c r="AK64" s="25"/>
      <c r="AL64" s="25"/>
      <c r="AM64" s="25"/>
      <c r="AN64" s="25"/>
      <c r="AO64" s="25"/>
      <c r="AP64" s="25"/>
    </row>
    <row r="65" spans="12:42" x14ac:dyDescent="0.25">
      <c r="L65" s="24">
        <v>19</v>
      </c>
      <c r="M65" s="93"/>
      <c r="N65" s="93"/>
      <c r="O65" s="93"/>
      <c r="P65" s="93"/>
      <c r="Q65" s="93"/>
      <c r="R65" s="93"/>
      <c r="S65" s="93"/>
      <c r="T65" s="93"/>
      <c r="U65" s="93"/>
      <c r="V65" s="93"/>
      <c r="W65" s="93"/>
      <c r="X65" s="93"/>
      <c r="Y65" s="93"/>
      <c r="Z65" s="93"/>
      <c r="AA65" s="93"/>
      <c r="AB65" s="102"/>
      <c r="AC65" s="102"/>
      <c r="AD65" s="102"/>
      <c r="AE65" s="102"/>
      <c r="AF65" s="102"/>
      <c r="AG65" s="25"/>
      <c r="AH65" s="25"/>
      <c r="AI65" s="25"/>
      <c r="AJ65" s="25"/>
      <c r="AK65" s="25"/>
      <c r="AL65" s="25"/>
      <c r="AM65" s="25"/>
      <c r="AN65" s="25"/>
      <c r="AO65" s="25"/>
      <c r="AP65" s="25"/>
    </row>
    <row r="66" spans="12:42" x14ac:dyDescent="0.25">
      <c r="L66" s="24">
        <v>20</v>
      </c>
      <c r="M66" s="93"/>
      <c r="N66" s="93"/>
      <c r="O66" s="93"/>
      <c r="P66" s="93"/>
      <c r="Q66" s="93"/>
      <c r="R66" s="93"/>
      <c r="S66" s="93"/>
      <c r="T66" s="93"/>
      <c r="U66" s="93"/>
      <c r="V66" s="93"/>
      <c r="W66" s="93"/>
      <c r="X66" s="93"/>
      <c r="Y66" s="93"/>
      <c r="Z66" s="93"/>
      <c r="AA66" s="93"/>
      <c r="AB66" s="102"/>
      <c r="AC66" s="102"/>
      <c r="AD66" s="102"/>
      <c r="AE66" s="102"/>
      <c r="AF66" s="102"/>
      <c r="AG66" s="25"/>
      <c r="AH66" s="25"/>
      <c r="AI66" s="25"/>
      <c r="AJ66" s="25"/>
      <c r="AK66" s="25"/>
      <c r="AL66" s="25"/>
      <c r="AM66" s="25"/>
      <c r="AN66" s="25"/>
      <c r="AO66" s="25"/>
      <c r="AP66" s="25"/>
    </row>
    <row r="67" spans="12:42" x14ac:dyDescent="0.25">
      <c r="L67" s="24">
        <v>21</v>
      </c>
      <c r="M67" s="93"/>
      <c r="N67" s="93"/>
      <c r="O67" s="93"/>
      <c r="P67" s="93"/>
      <c r="Q67" s="93"/>
      <c r="R67" s="93"/>
      <c r="S67" s="93"/>
      <c r="T67" s="93"/>
      <c r="U67" s="93"/>
      <c r="V67" s="93"/>
      <c r="W67" s="93"/>
      <c r="X67" s="93"/>
      <c r="Y67" s="93"/>
      <c r="Z67" s="93"/>
      <c r="AA67" s="93"/>
      <c r="AB67" s="102"/>
      <c r="AC67" s="102"/>
      <c r="AD67" s="102"/>
      <c r="AE67" s="102"/>
      <c r="AF67" s="102"/>
      <c r="AG67" s="25"/>
      <c r="AH67" s="25"/>
      <c r="AI67" s="25"/>
      <c r="AJ67" s="25"/>
      <c r="AK67" s="25"/>
      <c r="AL67" s="25"/>
      <c r="AM67" s="25"/>
      <c r="AN67" s="25"/>
      <c r="AO67" s="25"/>
      <c r="AP67" s="25"/>
    </row>
    <row r="68" spans="12:42" x14ac:dyDescent="0.25">
      <c r="L68" s="24">
        <v>22</v>
      </c>
      <c r="M68" s="93"/>
      <c r="N68" s="93"/>
      <c r="O68" s="93"/>
      <c r="P68" s="93"/>
      <c r="Q68" s="93"/>
      <c r="R68" s="93"/>
      <c r="S68" s="93"/>
      <c r="T68" s="93"/>
      <c r="U68" s="93"/>
      <c r="V68" s="93"/>
      <c r="W68" s="93"/>
      <c r="X68" s="93"/>
      <c r="Y68" s="93"/>
      <c r="Z68" s="93"/>
      <c r="AA68" s="93"/>
      <c r="AB68" s="102"/>
      <c r="AC68" s="102"/>
      <c r="AD68" s="102"/>
      <c r="AE68" s="102"/>
      <c r="AF68" s="102"/>
      <c r="AG68" s="25"/>
      <c r="AH68" s="25"/>
      <c r="AI68" s="25"/>
      <c r="AJ68" s="25"/>
      <c r="AK68" s="25"/>
      <c r="AL68" s="25"/>
      <c r="AM68" s="25"/>
      <c r="AN68" s="25"/>
      <c r="AO68" s="25"/>
      <c r="AP68" s="25"/>
    </row>
    <row r="69" spans="12:42" x14ac:dyDescent="0.25">
      <c r="L69" s="24">
        <v>23</v>
      </c>
      <c r="M69" s="93"/>
      <c r="N69" s="93"/>
      <c r="O69" s="93"/>
      <c r="P69" s="93"/>
      <c r="Q69" s="93"/>
      <c r="R69" s="93"/>
      <c r="S69" s="93"/>
      <c r="T69" s="93"/>
      <c r="U69" s="93"/>
      <c r="V69" s="93"/>
      <c r="W69" s="93"/>
      <c r="X69" s="93"/>
      <c r="Y69" s="93"/>
      <c r="Z69" s="93"/>
      <c r="AA69" s="93"/>
      <c r="AB69" s="102"/>
      <c r="AC69" s="102"/>
      <c r="AD69" s="102"/>
      <c r="AE69" s="102"/>
      <c r="AF69" s="102"/>
      <c r="AG69" s="25"/>
      <c r="AH69" s="25"/>
      <c r="AI69" s="25"/>
      <c r="AJ69" s="25"/>
      <c r="AK69" s="25"/>
      <c r="AL69" s="25"/>
      <c r="AM69" s="25"/>
      <c r="AN69" s="25"/>
      <c r="AO69" s="25"/>
      <c r="AP69" s="25"/>
    </row>
    <row r="70" spans="12:42" x14ac:dyDescent="0.25">
      <c r="L70" s="24">
        <v>24</v>
      </c>
      <c r="M70" s="93"/>
      <c r="N70" s="93"/>
      <c r="O70" s="93"/>
      <c r="P70" s="93"/>
      <c r="Q70" s="93"/>
      <c r="R70" s="93"/>
      <c r="S70" s="93"/>
      <c r="T70" s="93"/>
      <c r="U70" s="93"/>
      <c r="V70" s="93"/>
      <c r="W70" s="93"/>
      <c r="X70" s="93"/>
      <c r="Y70" s="93"/>
      <c r="Z70" s="93"/>
      <c r="AA70" s="93"/>
      <c r="AB70" s="102"/>
      <c r="AC70" s="102"/>
      <c r="AD70" s="102"/>
      <c r="AE70" s="102"/>
      <c r="AF70" s="102"/>
      <c r="AG70" s="25"/>
      <c r="AH70" s="25"/>
      <c r="AI70" s="25"/>
      <c r="AJ70" s="25"/>
      <c r="AK70" s="25"/>
      <c r="AL70" s="25"/>
      <c r="AM70" s="25"/>
      <c r="AN70" s="25"/>
      <c r="AO70" s="25"/>
      <c r="AP70" s="25"/>
    </row>
    <row r="71" spans="12:42" x14ac:dyDescent="0.25">
      <c r="L71" s="24">
        <v>25</v>
      </c>
      <c r="M71" s="93"/>
      <c r="N71" s="93"/>
      <c r="O71" s="93"/>
      <c r="P71" s="93"/>
      <c r="Q71" s="93"/>
      <c r="R71" s="93"/>
      <c r="S71" s="93"/>
      <c r="T71" s="93"/>
      <c r="U71" s="93"/>
      <c r="V71" s="93"/>
      <c r="W71" s="93"/>
      <c r="X71" s="93"/>
      <c r="Y71" s="93"/>
      <c r="Z71" s="93"/>
      <c r="AA71" s="93"/>
      <c r="AB71" s="102"/>
      <c r="AC71" s="102"/>
      <c r="AD71" s="102"/>
      <c r="AE71" s="102"/>
      <c r="AF71" s="102"/>
      <c r="AG71" s="25"/>
      <c r="AH71" s="25"/>
      <c r="AI71" s="25"/>
      <c r="AJ71" s="25"/>
      <c r="AK71" s="25"/>
      <c r="AL71" s="25"/>
      <c r="AM71" s="25"/>
      <c r="AN71" s="25"/>
      <c r="AO71" s="25"/>
      <c r="AP71" s="25"/>
    </row>
    <row r="72" spans="12:42" x14ac:dyDescent="0.25">
      <c r="L72" s="24">
        <v>26</v>
      </c>
      <c r="M72" s="93"/>
      <c r="N72" s="93"/>
      <c r="O72" s="93"/>
      <c r="P72" s="93"/>
      <c r="Q72" s="93"/>
      <c r="R72" s="93"/>
      <c r="S72" s="93"/>
      <c r="T72" s="93"/>
      <c r="U72" s="93"/>
      <c r="V72" s="93"/>
      <c r="W72" s="93"/>
      <c r="X72" s="93"/>
      <c r="Y72" s="93"/>
      <c r="Z72" s="93"/>
      <c r="AA72" s="93"/>
      <c r="AB72" s="102"/>
      <c r="AC72" s="102"/>
      <c r="AD72" s="102"/>
      <c r="AE72" s="102"/>
      <c r="AF72" s="102"/>
      <c r="AG72" s="25"/>
      <c r="AH72" s="25"/>
      <c r="AI72" s="25"/>
      <c r="AJ72" s="25"/>
      <c r="AK72" s="25"/>
      <c r="AL72" s="25"/>
      <c r="AM72" s="25"/>
      <c r="AN72" s="25"/>
      <c r="AO72" s="25"/>
      <c r="AP72" s="25"/>
    </row>
    <row r="73" spans="12:42" x14ac:dyDescent="0.25">
      <c r="L73" s="24">
        <v>27</v>
      </c>
      <c r="M73" s="93"/>
      <c r="N73" s="93"/>
      <c r="O73" s="93"/>
      <c r="P73" s="93"/>
      <c r="Q73" s="93"/>
      <c r="R73" s="93"/>
      <c r="S73" s="93"/>
      <c r="T73" s="93"/>
      <c r="U73" s="93"/>
      <c r="V73" s="93"/>
      <c r="W73" s="93"/>
      <c r="X73" s="93"/>
      <c r="Y73" s="93"/>
      <c r="Z73" s="93"/>
      <c r="AA73" s="93"/>
      <c r="AB73" s="102"/>
      <c r="AC73" s="102"/>
      <c r="AD73" s="102"/>
      <c r="AE73" s="102"/>
      <c r="AF73" s="102"/>
      <c r="AG73" s="25"/>
      <c r="AH73" s="25"/>
      <c r="AI73" s="25"/>
      <c r="AJ73" s="25"/>
      <c r="AK73" s="25"/>
      <c r="AL73" s="25"/>
      <c r="AM73" s="25"/>
      <c r="AN73" s="25"/>
      <c r="AO73" s="25"/>
      <c r="AP73" s="25"/>
    </row>
    <row r="74" spans="12:42" x14ac:dyDescent="0.25">
      <c r="L74" s="24">
        <v>28</v>
      </c>
      <c r="M74" s="93"/>
      <c r="N74" s="93"/>
      <c r="O74" s="93"/>
      <c r="P74" s="93"/>
      <c r="Q74" s="93"/>
      <c r="R74" s="93"/>
      <c r="S74" s="93"/>
      <c r="T74" s="93"/>
      <c r="U74" s="93"/>
      <c r="V74" s="93"/>
      <c r="W74" s="93"/>
      <c r="X74" s="93"/>
      <c r="Y74" s="93"/>
      <c r="Z74" s="93"/>
      <c r="AA74" s="93"/>
      <c r="AB74" s="102"/>
      <c r="AC74" s="102"/>
      <c r="AD74" s="102"/>
      <c r="AE74" s="102"/>
      <c r="AF74" s="102"/>
      <c r="AG74" s="25"/>
      <c r="AH74" s="25"/>
      <c r="AI74" s="25"/>
      <c r="AJ74" s="25"/>
      <c r="AK74" s="25"/>
      <c r="AL74" s="25"/>
      <c r="AM74" s="25"/>
      <c r="AN74" s="25"/>
      <c r="AO74" s="25"/>
      <c r="AP74" s="25"/>
    </row>
    <row r="75" spans="12:42" x14ac:dyDescent="0.25">
      <c r="L75" s="24">
        <v>29</v>
      </c>
      <c r="M75" s="93"/>
      <c r="N75" s="93"/>
      <c r="O75" s="93"/>
      <c r="P75" s="93"/>
      <c r="Q75" s="93"/>
      <c r="R75" s="93"/>
      <c r="S75" s="93"/>
      <c r="T75" s="93"/>
      <c r="U75" s="93"/>
      <c r="V75" s="93"/>
      <c r="W75" s="93"/>
      <c r="X75" s="93"/>
      <c r="Y75" s="93"/>
      <c r="Z75" s="93"/>
      <c r="AA75" s="93"/>
      <c r="AB75" s="102"/>
      <c r="AC75" s="102"/>
      <c r="AD75" s="102"/>
      <c r="AE75" s="102"/>
      <c r="AF75" s="102"/>
      <c r="AG75" s="25"/>
      <c r="AH75" s="25"/>
      <c r="AI75" s="25"/>
      <c r="AJ75" s="25"/>
      <c r="AK75" s="25"/>
      <c r="AL75" s="25"/>
      <c r="AM75" s="25"/>
      <c r="AN75" s="25"/>
      <c r="AO75" s="25"/>
      <c r="AP75" s="25"/>
    </row>
    <row r="76" spans="12:42" x14ac:dyDescent="0.25">
      <c r="L76" s="24">
        <v>30</v>
      </c>
      <c r="M76" s="93"/>
      <c r="N76" s="93"/>
      <c r="O76" s="93"/>
      <c r="P76" s="93"/>
      <c r="Q76" s="93"/>
      <c r="R76" s="93"/>
      <c r="S76" s="93"/>
      <c r="T76" s="93"/>
      <c r="U76" s="93"/>
      <c r="V76" s="93"/>
      <c r="W76" s="93"/>
      <c r="X76" s="93"/>
      <c r="Y76" s="93"/>
      <c r="Z76" s="93"/>
      <c r="AA76" s="93"/>
      <c r="AB76" s="102"/>
      <c r="AC76" s="102"/>
      <c r="AD76" s="102"/>
      <c r="AE76" s="102"/>
      <c r="AF76" s="102"/>
      <c r="AG76" s="25"/>
      <c r="AH76" s="25"/>
      <c r="AI76" s="25"/>
      <c r="AJ76" s="25"/>
      <c r="AK76" s="25"/>
      <c r="AL76" s="25"/>
      <c r="AM76" s="25"/>
      <c r="AN76" s="25"/>
      <c r="AO76" s="25"/>
      <c r="AP76" s="25"/>
    </row>
    <row r="77" spans="12:42" x14ac:dyDescent="0.25">
      <c r="L77" s="24">
        <v>31</v>
      </c>
      <c r="M77" s="93"/>
      <c r="N77" s="93"/>
      <c r="O77" s="93"/>
      <c r="P77" s="93"/>
      <c r="Q77" s="93"/>
      <c r="R77" s="93"/>
      <c r="S77" s="93"/>
      <c r="T77" s="93"/>
      <c r="U77" s="93"/>
      <c r="V77" s="93"/>
      <c r="W77" s="93"/>
      <c r="X77" s="93"/>
      <c r="Y77" s="93"/>
      <c r="Z77" s="93"/>
      <c r="AA77" s="93"/>
      <c r="AB77" s="102"/>
      <c r="AC77" s="102"/>
      <c r="AD77" s="102"/>
      <c r="AE77" s="102"/>
      <c r="AF77" s="102"/>
      <c r="AG77" s="25"/>
      <c r="AH77" s="25"/>
      <c r="AI77" s="25"/>
      <c r="AJ77" s="25"/>
      <c r="AK77" s="25"/>
      <c r="AL77" s="25"/>
      <c r="AM77" s="25"/>
      <c r="AN77" s="25"/>
      <c r="AO77" s="25"/>
      <c r="AP77" s="25"/>
    </row>
    <row r="78" spans="12:42" x14ac:dyDescent="0.25">
      <c r="L78" s="24">
        <v>32</v>
      </c>
      <c r="M78" s="93"/>
      <c r="N78" s="93"/>
      <c r="O78" s="93"/>
      <c r="P78" s="93"/>
      <c r="Q78" s="93"/>
      <c r="R78" s="93"/>
      <c r="S78" s="93"/>
      <c r="T78" s="93"/>
      <c r="U78" s="93"/>
      <c r="V78" s="93"/>
      <c r="W78" s="93"/>
      <c r="X78" s="93"/>
      <c r="Y78" s="93"/>
      <c r="Z78" s="93"/>
      <c r="AA78" s="93"/>
      <c r="AB78" s="102"/>
      <c r="AC78" s="102"/>
      <c r="AD78" s="102"/>
      <c r="AE78" s="102"/>
      <c r="AF78" s="102"/>
      <c r="AG78" s="25"/>
      <c r="AH78" s="25"/>
      <c r="AI78" s="25"/>
      <c r="AJ78" s="25"/>
      <c r="AK78" s="25"/>
      <c r="AL78" s="25"/>
      <c r="AM78" s="25"/>
      <c r="AN78" s="25"/>
      <c r="AO78" s="25"/>
      <c r="AP78" s="25"/>
    </row>
    <row r="79" spans="12:42" x14ac:dyDescent="0.25">
      <c r="L79" s="24">
        <v>33</v>
      </c>
      <c r="M79" s="93"/>
      <c r="N79" s="93"/>
      <c r="O79" s="93"/>
      <c r="P79" s="93"/>
      <c r="Q79" s="93"/>
      <c r="R79" s="93"/>
      <c r="S79" s="93"/>
      <c r="T79" s="93"/>
      <c r="U79" s="93"/>
      <c r="V79" s="93"/>
      <c r="W79" s="93"/>
      <c r="X79" s="93"/>
      <c r="Y79" s="93"/>
      <c r="Z79" s="93"/>
      <c r="AA79" s="93"/>
      <c r="AB79" s="102"/>
      <c r="AC79" s="102"/>
      <c r="AD79" s="102"/>
      <c r="AE79" s="102"/>
      <c r="AF79" s="102"/>
      <c r="AG79" s="25"/>
      <c r="AH79" s="25"/>
      <c r="AI79" s="25"/>
      <c r="AJ79" s="25"/>
      <c r="AK79" s="25"/>
      <c r="AL79" s="25"/>
      <c r="AM79" s="25"/>
      <c r="AN79" s="25"/>
      <c r="AO79" s="25"/>
      <c r="AP79" s="25"/>
    </row>
    <row r="80" spans="12:42" x14ac:dyDescent="0.25">
      <c r="L80" s="24">
        <v>34</v>
      </c>
      <c r="M80" s="93"/>
      <c r="N80" s="93"/>
      <c r="O80" s="93"/>
      <c r="P80" s="93"/>
      <c r="Q80" s="93"/>
      <c r="R80" s="93"/>
      <c r="S80" s="93"/>
      <c r="T80" s="93"/>
      <c r="U80" s="93"/>
      <c r="V80" s="93"/>
      <c r="W80" s="93"/>
      <c r="X80" s="93"/>
      <c r="Y80" s="93"/>
      <c r="Z80" s="93"/>
      <c r="AA80" s="93"/>
      <c r="AB80" s="102"/>
      <c r="AC80" s="102"/>
      <c r="AD80" s="102"/>
      <c r="AE80" s="102"/>
      <c r="AF80" s="102"/>
      <c r="AG80" s="25"/>
      <c r="AH80" s="25"/>
      <c r="AI80" s="25"/>
      <c r="AJ80" s="25"/>
      <c r="AK80" s="25"/>
      <c r="AL80" s="25"/>
      <c r="AM80" s="25"/>
      <c r="AN80" s="25"/>
      <c r="AO80" s="25"/>
      <c r="AP80" s="25"/>
    </row>
    <row r="81" spans="12:42" x14ac:dyDescent="0.25">
      <c r="L81" s="24">
        <v>35</v>
      </c>
      <c r="M81" s="93"/>
      <c r="N81" s="93"/>
      <c r="O81" s="93"/>
      <c r="P81" s="93"/>
      <c r="Q81" s="93"/>
      <c r="R81" s="93"/>
      <c r="S81" s="93"/>
      <c r="T81" s="93"/>
      <c r="U81" s="93"/>
      <c r="V81" s="93"/>
      <c r="W81" s="93"/>
      <c r="X81" s="93"/>
      <c r="Y81" s="93"/>
      <c r="Z81" s="93"/>
      <c r="AA81" s="93"/>
      <c r="AB81" s="102"/>
      <c r="AC81" s="102"/>
      <c r="AD81" s="102"/>
      <c r="AE81" s="102"/>
      <c r="AF81" s="102"/>
      <c r="AG81" s="25"/>
      <c r="AH81" s="25"/>
      <c r="AI81" s="25"/>
      <c r="AJ81" s="25"/>
      <c r="AK81" s="25"/>
      <c r="AL81" s="25"/>
      <c r="AM81" s="25"/>
      <c r="AN81" s="25"/>
      <c r="AO81" s="25"/>
      <c r="AP81" s="25"/>
    </row>
    <row r="82" spans="12:42" x14ac:dyDescent="0.25">
      <c r="L82" s="24">
        <v>36</v>
      </c>
      <c r="M82" s="93"/>
      <c r="N82" s="93"/>
      <c r="O82" s="93"/>
      <c r="P82" s="93"/>
      <c r="Q82" s="93"/>
      <c r="R82" s="93"/>
      <c r="S82" s="93"/>
      <c r="T82" s="93"/>
      <c r="U82" s="93"/>
      <c r="V82" s="93"/>
      <c r="W82" s="93"/>
      <c r="X82" s="93"/>
      <c r="Y82" s="93"/>
      <c r="Z82" s="93"/>
      <c r="AA82" s="93"/>
      <c r="AB82" s="102"/>
      <c r="AC82" s="102"/>
      <c r="AD82" s="102"/>
      <c r="AE82" s="102"/>
      <c r="AF82" s="102"/>
      <c r="AG82" s="25"/>
      <c r="AH82" s="25"/>
      <c r="AI82" s="25"/>
      <c r="AJ82" s="25"/>
      <c r="AK82" s="25"/>
      <c r="AL82" s="25"/>
      <c r="AM82" s="25"/>
      <c r="AN82" s="25"/>
      <c r="AO82" s="25"/>
      <c r="AP82" s="25"/>
    </row>
    <row r="83" spans="12:42" x14ac:dyDescent="0.25">
      <c r="L83" s="24">
        <v>37</v>
      </c>
      <c r="M83" s="93"/>
      <c r="N83" s="93"/>
      <c r="O83" s="93"/>
      <c r="P83" s="93"/>
      <c r="Q83" s="93"/>
      <c r="R83" s="93"/>
      <c r="S83" s="93"/>
      <c r="T83" s="93"/>
      <c r="U83" s="93"/>
      <c r="V83" s="93"/>
      <c r="W83" s="93"/>
      <c r="X83" s="93"/>
      <c r="Y83" s="93"/>
      <c r="Z83" s="93"/>
      <c r="AA83" s="93"/>
      <c r="AB83" s="102"/>
      <c r="AC83" s="102"/>
      <c r="AD83" s="102"/>
      <c r="AE83" s="102"/>
      <c r="AF83" s="102"/>
      <c r="AG83" s="25"/>
      <c r="AH83" s="25"/>
      <c r="AI83" s="25"/>
      <c r="AJ83" s="25"/>
      <c r="AK83" s="25"/>
      <c r="AL83" s="25"/>
      <c r="AM83" s="25"/>
      <c r="AN83" s="25"/>
      <c r="AO83" s="25"/>
      <c r="AP83" s="25"/>
    </row>
    <row r="84" spans="12:42" x14ac:dyDescent="0.25">
      <c r="L84" s="24">
        <v>38</v>
      </c>
      <c r="M84" s="93"/>
      <c r="N84" s="93"/>
      <c r="O84" s="93"/>
      <c r="P84" s="93"/>
      <c r="Q84" s="93"/>
      <c r="R84" s="93"/>
      <c r="S84" s="93"/>
      <c r="T84" s="93"/>
      <c r="U84" s="93"/>
      <c r="V84" s="93"/>
      <c r="W84" s="93"/>
      <c r="X84" s="93"/>
      <c r="Y84" s="93"/>
      <c r="Z84" s="93"/>
      <c r="AA84" s="93"/>
      <c r="AB84" s="102"/>
      <c r="AC84" s="102"/>
      <c r="AD84" s="102"/>
      <c r="AE84" s="102"/>
      <c r="AF84" s="102"/>
      <c r="AG84" s="25"/>
      <c r="AH84" s="25"/>
      <c r="AI84" s="25"/>
      <c r="AJ84" s="25"/>
      <c r="AK84" s="25"/>
      <c r="AL84" s="25"/>
      <c r="AM84" s="25"/>
      <c r="AN84" s="25"/>
      <c r="AO84" s="25"/>
      <c r="AP84" s="25"/>
    </row>
    <row r="85" spans="12:42" x14ac:dyDescent="0.25">
      <c r="L85" s="24">
        <v>39</v>
      </c>
      <c r="M85" s="93"/>
      <c r="N85" s="93"/>
      <c r="O85" s="93"/>
      <c r="P85" s="93"/>
      <c r="Q85" s="93"/>
      <c r="R85" s="93"/>
      <c r="S85" s="93"/>
      <c r="T85" s="93"/>
      <c r="U85" s="93"/>
      <c r="V85" s="93"/>
      <c r="W85" s="93"/>
      <c r="X85" s="93"/>
      <c r="Y85" s="93"/>
      <c r="Z85" s="93"/>
      <c r="AA85" s="93"/>
      <c r="AB85" s="102"/>
      <c r="AC85" s="102"/>
      <c r="AD85" s="102"/>
      <c r="AE85" s="102"/>
      <c r="AF85" s="102"/>
      <c r="AG85" s="25"/>
      <c r="AH85" s="25"/>
      <c r="AI85" s="25"/>
      <c r="AJ85" s="25"/>
      <c r="AK85" s="25"/>
      <c r="AL85" s="25"/>
      <c r="AM85" s="25"/>
      <c r="AN85" s="25"/>
      <c r="AO85" s="25"/>
      <c r="AP85" s="25"/>
    </row>
    <row r="86" spans="12:42" x14ac:dyDescent="0.25">
      <c r="L86" s="24">
        <v>40</v>
      </c>
      <c r="M86" s="93"/>
      <c r="N86" s="93"/>
      <c r="O86" s="93"/>
      <c r="P86" s="93"/>
      <c r="Q86" s="93"/>
      <c r="R86" s="93"/>
      <c r="S86" s="93"/>
      <c r="T86" s="93"/>
      <c r="U86" s="93"/>
      <c r="V86" s="93"/>
      <c r="W86" s="93"/>
      <c r="X86" s="93"/>
      <c r="Y86" s="93"/>
      <c r="Z86" s="93"/>
      <c r="AA86" s="93"/>
      <c r="AB86" s="102"/>
      <c r="AC86" s="102"/>
      <c r="AD86" s="102"/>
      <c r="AE86" s="102"/>
      <c r="AF86" s="102"/>
      <c r="AG86" s="25"/>
      <c r="AH86" s="25"/>
      <c r="AI86" s="25"/>
      <c r="AJ86" s="25"/>
      <c r="AK86" s="25"/>
      <c r="AL86" s="25"/>
      <c r="AM86" s="25"/>
      <c r="AN86" s="25"/>
      <c r="AO86" s="25"/>
      <c r="AP86" s="25"/>
    </row>
    <row r="87" spans="12:42" x14ac:dyDescent="0.25">
      <c r="L87" s="24">
        <v>41</v>
      </c>
      <c r="M87" s="93"/>
      <c r="N87" s="93"/>
      <c r="O87" s="93"/>
      <c r="P87" s="93"/>
      <c r="Q87" s="93"/>
      <c r="R87" s="93"/>
      <c r="S87" s="93"/>
      <c r="T87" s="93"/>
      <c r="U87" s="93"/>
      <c r="V87" s="93"/>
      <c r="W87" s="93"/>
      <c r="X87" s="93"/>
      <c r="Y87" s="93"/>
      <c r="Z87" s="93"/>
      <c r="AA87" s="93"/>
      <c r="AB87" s="102"/>
      <c r="AC87" s="102"/>
      <c r="AD87" s="102"/>
      <c r="AE87" s="102"/>
      <c r="AF87" s="102"/>
      <c r="AG87" s="25"/>
      <c r="AH87" s="25"/>
      <c r="AI87" s="25"/>
      <c r="AJ87" s="25"/>
      <c r="AK87" s="25"/>
      <c r="AL87" s="25"/>
      <c r="AM87" s="25"/>
      <c r="AN87" s="25"/>
      <c r="AO87" s="25"/>
      <c r="AP87" s="25"/>
    </row>
    <row r="88" spans="12:42" x14ac:dyDescent="0.25">
      <c r="L88" s="24">
        <v>42</v>
      </c>
      <c r="M88" s="93"/>
      <c r="N88" s="93"/>
      <c r="O88" s="93"/>
      <c r="P88" s="93"/>
      <c r="Q88" s="93"/>
      <c r="R88" s="93"/>
      <c r="S88" s="93"/>
      <c r="T88" s="93"/>
      <c r="U88" s="93"/>
      <c r="V88" s="93"/>
      <c r="W88" s="93"/>
      <c r="X88" s="93"/>
      <c r="Y88" s="93"/>
      <c r="Z88" s="93"/>
      <c r="AA88" s="93"/>
      <c r="AB88" s="102"/>
      <c r="AC88" s="102"/>
      <c r="AD88" s="102"/>
      <c r="AE88" s="102"/>
      <c r="AF88" s="102"/>
      <c r="AG88" s="25"/>
      <c r="AH88" s="25"/>
      <c r="AI88" s="25"/>
      <c r="AJ88" s="25"/>
      <c r="AK88" s="25"/>
      <c r="AL88" s="25"/>
      <c r="AM88" s="25"/>
      <c r="AN88" s="25"/>
      <c r="AO88" s="25"/>
      <c r="AP88" s="25"/>
    </row>
    <row r="89" spans="12:42" x14ac:dyDescent="0.25">
      <c r="L89" s="24">
        <v>43</v>
      </c>
      <c r="M89" s="93"/>
      <c r="N89" s="93"/>
      <c r="O89" s="93"/>
      <c r="P89" s="93"/>
      <c r="Q89" s="93"/>
      <c r="R89" s="93"/>
      <c r="S89" s="93"/>
      <c r="T89" s="93"/>
      <c r="U89" s="93"/>
      <c r="V89" s="93"/>
      <c r="W89" s="93"/>
      <c r="X89" s="93"/>
      <c r="Y89" s="93"/>
      <c r="Z89" s="93"/>
      <c r="AA89" s="93"/>
      <c r="AB89" s="102"/>
      <c r="AC89" s="102"/>
      <c r="AD89" s="102"/>
      <c r="AE89" s="102"/>
      <c r="AF89" s="102"/>
      <c r="AG89" s="25"/>
      <c r="AH89" s="25"/>
      <c r="AI89" s="25"/>
      <c r="AJ89" s="25"/>
      <c r="AK89" s="25"/>
      <c r="AL89" s="25"/>
      <c r="AM89" s="25"/>
      <c r="AN89" s="25"/>
      <c r="AO89" s="25"/>
      <c r="AP89" s="25"/>
    </row>
    <row r="90" spans="12:42" x14ac:dyDescent="0.25">
      <c r="L90" s="24">
        <v>44</v>
      </c>
      <c r="M90" s="93"/>
      <c r="N90" s="93"/>
      <c r="O90" s="93"/>
      <c r="P90" s="93"/>
      <c r="Q90" s="93"/>
      <c r="R90" s="93"/>
      <c r="S90" s="93"/>
      <c r="T90" s="93"/>
      <c r="U90" s="93"/>
      <c r="V90" s="93"/>
      <c r="W90" s="93"/>
      <c r="X90" s="93"/>
      <c r="Y90" s="93"/>
      <c r="Z90" s="93"/>
      <c r="AA90" s="93"/>
      <c r="AB90" s="102"/>
      <c r="AC90" s="102"/>
      <c r="AD90" s="102"/>
      <c r="AE90" s="102"/>
      <c r="AF90" s="102"/>
      <c r="AG90" s="25"/>
      <c r="AH90" s="25"/>
      <c r="AI90" s="25"/>
      <c r="AJ90" s="25"/>
      <c r="AK90" s="25"/>
      <c r="AL90" s="25"/>
      <c r="AM90" s="25"/>
      <c r="AN90" s="25"/>
      <c r="AO90" s="25"/>
      <c r="AP90" s="25"/>
    </row>
    <row r="91" spans="12:42" x14ac:dyDescent="0.25">
      <c r="L91" s="24">
        <v>45</v>
      </c>
      <c r="M91" s="93">
        <v>3.6</v>
      </c>
      <c r="N91" s="93">
        <v>6.52</v>
      </c>
      <c r="O91" s="93">
        <v>9.2799999999999994</v>
      </c>
      <c r="P91" s="93">
        <v>12.08</v>
      </c>
      <c r="Q91" s="93">
        <v>15.03</v>
      </c>
      <c r="R91" s="93">
        <v>18.239999999999998</v>
      </c>
      <c r="S91" s="93">
        <v>21.35</v>
      </c>
      <c r="T91" s="93">
        <v>24.37</v>
      </c>
      <c r="U91" s="93">
        <v>28.02</v>
      </c>
      <c r="V91" s="93">
        <v>31.59</v>
      </c>
      <c r="W91" s="93">
        <v>35.15</v>
      </c>
      <c r="X91" s="93">
        <v>38.24</v>
      </c>
      <c r="Y91" s="93">
        <v>41.92</v>
      </c>
      <c r="Z91" s="93">
        <v>45.74</v>
      </c>
      <c r="AA91" s="93">
        <v>49.54</v>
      </c>
      <c r="AB91" s="102">
        <v>53.6</v>
      </c>
      <c r="AC91" s="102">
        <v>57.11</v>
      </c>
      <c r="AD91" s="102">
        <v>60.6</v>
      </c>
      <c r="AE91" s="102">
        <v>64.08</v>
      </c>
      <c r="AF91" s="102">
        <v>67.56</v>
      </c>
      <c r="AG91" s="25"/>
      <c r="AH91" s="25"/>
      <c r="AI91" s="25"/>
      <c r="AJ91" s="25"/>
      <c r="AK91" s="25"/>
      <c r="AL91" s="25"/>
      <c r="AM91" s="25"/>
      <c r="AN91" s="25"/>
      <c r="AO91" s="25"/>
      <c r="AP91" s="25"/>
    </row>
    <row r="92" spans="12:42" x14ac:dyDescent="0.25">
      <c r="L92" s="24">
        <v>46</v>
      </c>
      <c r="M92" s="93">
        <v>3.87</v>
      </c>
      <c r="N92" s="93">
        <v>7.08</v>
      </c>
      <c r="O92" s="93">
        <v>10.09</v>
      </c>
      <c r="P92" s="93">
        <v>13.18</v>
      </c>
      <c r="Q92" s="93">
        <v>16.350000000000001</v>
      </c>
      <c r="R92" s="93">
        <v>19.79</v>
      </c>
      <c r="S92" s="93">
        <v>23.11</v>
      </c>
      <c r="T92" s="93">
        <v>26.73</v>
      </c>
      <c r="U92" s="93">
        <v>30.37</v>
      </c>
      <c r="V92" s="93">
        <v>34.19</v>
      </c>
      <c r="W92" s="93">
        <v>38.03</v>
      </c>
      <c r="X92" s="93">
        <v>41.6</v>
      </c>
      <c r="Y92" s="93">
        <v>45.57</v>
      </c>
      <c r="Z92" s="93">
        <v>49.64</v>
      </c>
      <c r="AA92" s="93">
        <v>53.72</v>
      </c>
      <c r="AB92" s="102">
        <v>58.12</v>
      </c>
      <c r="AC92" s="102">
        <v>61.93</v>
      </c>
      <c r="AD92" s="102">
        <v>65.72</v>
      </c>
      <c r="AE92" s="102">
        <v>69.489999999999995</v>
      </c>
      <c r="AF92" s="102">
        <v>73.239999999999995</v>
      </c>
      <c r="AG92" s="25"/>
      <c r="AH92" s="25"/>
      <c r="AI92" s="25"/>
      <c r="AJ92" s="25"/>
      <c r="AK92" s="25"/>
      <c r="AL92" s="25"/>
      <c r="AM92" s="25"/>
      <c r="AN92" s="25"/>
      <c r="AO92" s="25"/>
      <c r="AP92" s="25"/>
    </row>
    <row r="93" spans="12:42" x14ac:dyDescent="0.25">
      <c r="L93" s="24">
        <v>47</v>
      </c>
      <c r="M93" s="93">
        <v>4.18</v>
      </c>
      <c r="N93" s="93">
        <v>7.73</v>
      </c>
      <c r="O93" s="93">
        <v>11.01</v>
      </c>
      <c r="P93" s="93">
        <v>14.38</v>
      </c>
      <c r="Q93" s="93">
        <v>17.829999999999998</v>
      </c>
      <c r="R93" s="93">
        <v>21.57</v>
      </c>
      <c r="S93" s="93">
        <v>25.16</v>
      </c>
      <c r="T93" s="93">
        <v>28.87</v>
      </c>
      <c r="U93" s="93">
        <v>33.36</v>
      </c>
      <c r="V93" s="93">
        <v>37.15</v>
      </c>
      <c r="W93" s="93">
        <v>41.29</v>
      </c>
      <c r="X93" s="93">
        <v>45.16</v>
      </c>
      <c r="Y93" s="93">
        <v>49.43</v>
      </c>
      <c r="Z93" s="93">
        <v>53.79</v>
      </c>
      <c r="AA93" s="93">
        <v>58.17</v>
      </c>
      <c r="AB93" s="102">
        <v>62.94</v>
      </c>
      <c r="AC93" s="102">
        <v>67.06</v>
      </c>
      <c r="AD93" s="102">
        <v>71.150000000000006</v>
      </c>
      <c r="AE93" s="102">
        <v>75.22</v>
      </c>
      <c r="AF93" s="102">
        <v>79.27</v>
      </c>
      <c r="AG93" s="25"/>
      <c r="AH93" s="25"/>
      <c r="AI93" s="25"/>
      <c r="AJ93" s="25"/>
      <c r="AK93" s="25"/>
      <c r="AL93" s="25"/>
      <c r="AM93" s="25"/>
      <c r="AN93" s="25"/>
      <c r="AO93" s="25"/>
      <c r="AP93" s="25"/>
    </row>
    <row r="94" spans="12:42" x14ac:dyDescent="0.25">
      <c r="L94" s="24">
        <v>48</v>
      </c>
      <c r="M94" s="93">
        <v>4.5199999999999996</v>
      </c>
      <c r="N94" s="93">
        <v>8.43</v>
      </c>
      <c r="O94" s="93">
        <v>12</v>
      </c>
      <c r="P94" s="93">
        <v>15.69</v>
      </c>
      <c r="Q94" s="93">
        <v>19.46</v>
      </c>
      <c r="R94" s="93">
        <v>23.52</v>
      </c>
      <c r="S94" s="93">
        <v>27.67</v>
      </c>
      <c r="T94" s="93">
        <v>31.68</v>
      </c>
      <c r="U94" s="93">
        <v>35.950000000000003</v>
      </c>
      <c r="V94" s="93">
        <v>40.33</v>
      </c>
      <c r="W94" s="93">
        <v>44.76</v>
      </c>
      <c r="X94" s="93">
        <v>48.93</v>
      </c>
      <c r="Y94" s="93">
        <v>53.5</v>
      </c>
      <c r="Z94" s="93">
        <v>58.2</v>
      </c>
      <c r="AA94" s="93">
        <v>62.92</v>
      </c>
      <c r="AB94" s="102">
        <v>68.09</v>
      </c>
      <c r="AC94" s="102">
        <v>72.53</v>
      </c>
      <c r="AD94" s="102">
        <v>76.94</v>
      </c>
      <c r="AE94" s="102">
        <v>81.319999999999993</v>
      </c>
      <c r="AF94" s="102">
        <v>85.67</v>
      </c>
      <c r="AG94" s="25"/>
      <c r="AH94" s="25"/>
      <c r="AI94" s="25"/>
      <c r="AJ94" s="25"/>
      <c r="AK94" s="25"/>
      <c r="AL94" s="25"/>
      <c r="AM94" s="25"/>
      <c r="AN94" s="25"/>
      <c r="AO94" s="25"/>
      <c r="AP94" s="25"/>
    </row>
    <row r="95" spans="12:42" x14ac:dyDescent="0.25">
      <c r="L95" s="24">
        <v>49</v>
      </c>
      <c r="M95" s="93">
        <v>4.87</v>
      </c>
      <c r="N95" s="93">
        <v>9.16</v>
      </c>
      <c r="O95" s="93">
        <v>13.05</v>
      </c>
      <c r="P95" s="93">
        <v>17.12</v>
      </c>
      <c r="Q95" s="93">
        <v>21.17</v>
      </c>
      <c r="R95" s="93">
        <v>25.52</v>
      </c>
      <c r="S95" s="93">
        <v>29.94</v>
      </c>
      <c r="T95" s="93">
        <v>34.74</v>
      </c>
      <c r="U95" s="93">
        <v>38.96</v>
      </c>
      <c r="V95" s="93">
        <v>43.63</v>
      </c>
      <c r="W95" s="93">
        <v>48.43</v>
      </c>
      <c r="X95" s="93">
        <v>53.23</v>
      </c>
      <c r="Y95" s="93">
        <v>58.17</v>
      </c>
      <c r="Z95" s="93">
        <v>63.16</v>
      </c>
      <c r="AA95" s="93">
        <v>68.23</v>
      </c>
      <c r="AB95" s="102">
        <v>73.83</v>
      </c>
      <c r="AC95" s="102">
        <v>78.66</v>
      </c>
      <c r="AD95" s="102">
        <v>83.44</v>
      </c>
      <c r="AE95" s="102">
        <v>88.19</v>
      </c>
      <c r="AF95" s="102">
        <v>92.88</v>
      </c>
      <c r="AG95" s="25"/>
      <c r="AH95" s="25"/>
      <c r="AI95" s="25"/>
      <c r="AJ95" s="25"/>
      <c r="AK95" s="25"/>
      <c r="AL95" s="25"/>
      <c r="AM95" s="25"/>
      <c r="AN95" s="25"/>
      <c r="AO95" s="25"/>
      <c r="AP95" s="25"/>
    </row>
    <row r="96" spans="12:42" x14ac:dyDescent="0.25">
      <c r="L96" s="24">
        <v>50</v>
      </c>
      <c r="M96" s="93">
        <v>5.25</v>
      </c>
      <c r="N96" s="93">
        <v>10</v>
      </c>
      <c r="O96" s="93">
        <v>14.24</v>
      </c>
      <c r="P96" s="93">
        <v>18.68</v>
      </c>
      <c r="Q96" s="93">
        <v>23.09</v>
      </c>
      <c r="R96" s="93">
        <v>27.81</v>
      </c>
      <c r="S96" s="93">
        <v>32.6</v>
      </c>
      <c r="T96" s="93">
        <v>37.53</v>
      </c>
      <c r="U96" s="93">
        <v>42.8</v>
      </c>
      <c r="V96" s="93">
        <v>47.42</v>
      </c>
      <c r="W96" s="93">
        <v>52.57</v>
      </c>
      <c r="X96" s="93">
        <v>57.78</v>
      </c>
      <c r="Y96" s="93">
        <v>63.09</v>
      </c>
      <c r="Z96" s="93">
        <v>68.430000000000007</v>
      </c>
      <c r="AA96" s="93">
        <v>73.88</v>
      </c>
      <c r="AB96" s="102">
        <v>79.959999999999994</v>
      </c>
      <c r="AC96" s="102">
        <v>85.17</v>
      </c>
      <c r="AD96" s="102">
        <v>90.34</v>
      </c>
      <c r="AE96" s="102">
        <v>95.46</v>
      </c>
      <c r="AF96" s="102">
        <v>100.52</v>
      </c>
      <c r="AG96" s="25"/>
      <c r="AH96" s="25"/>
      <c r="AI96" s="25"/>
      <c r="AJ96" s="25"/>
      <c r="AK96" s="25"/>
      <c r="AL96" s="25"/>
      <c r="AM96" s="25"/>
      <c r="AN96" s="25"/>
      <c r="AO96" s="25"/>
      <c r="AP96" s="25"/>
    </row>
    <row r="97" spans="12:42" x14ac:dyDescent="0.25">
      <c r="L97" s="24">
        <v>51</v>
      </c>
      <c r="M97" s="93">
        <v>5.69</v>
      </c>
      <c r="N97" s="93">
        <v>10.91</v>
      </c>
      <c r="O97" s="93">
        <v>15.53</v>
      </c>
      <c r="P97" s="93">
        <v>20.39</v>
      </c>
      <c r="Q97" s="93">
        <v>25.2</v>
      </c>
      <c r="R97" s="93">
        <v>30.32</v>
      </c>
      <c r="S97" s="93">
        <v>35.840000000000003</v>
      </c>
      <c r="T97" s="93">
        <v>41.17</v>
      </c>
      <c r="U97" s="93">
        <v>46.13</v>
      </c>
      <c r="V97" s="93">
        <v>51.48</v>
      </c>
      <c r="W97" s="93">
        <v>57</v>
      </c>
      <c r="X97" s="93">
        <v>62.61</v>
      </c>
      <c r="Y97" s="93">
        <v>68.3</v>
      </c>
      <c r="Z97" s="93">
        <v>74.05</v>
      </c>
      <c r="AA97" s="93">
        <v>79.91</v>
      </c>
      <c r="AB97" s="102">
        <v>86.5</v>
      </c>
      <c r="AC97" s="102">
        <v>92.13</v>
      </c>
      <c r="AD97" s="102">
        <v>97.7</v>
      </c>
      <c r="AE97" s="102">
        <v>103.21</v>
      </c>
      <c r="AF97" s="102">
        <v>108.64</v>
      </c>
      <c r="AG97" s="25"/>
      <c r="AH97" s="25"/>
      <c r="AI97" s="25"/>
      <c r="AJ97" s="25"/>
      <c r="AK97" s="25"/>
      <c r="AL97" s="25"/>
      <c r="AM97" s="25"/>
      <c r="AN97" s="25"/>
      <c r="AO97" s="25"/>
      <c r="AP97" s="25"/>
    </row>
    <row r="98" spans="12:42" x14ac:dyDescent="0.25">
      <c r="L98" s="24">
        <v>52</v>
      </c>
      <c r="M98" s="93">
        <v>6.19</v>
      </c>
      <c r="N98" s="93">
        <v>11.91</v>
      </c>
      <c r="O98" s="93">
        <v>16.95</v>
      </c>
      <c r="P98" s="93">
        <v>22.25</v>
      </c>
      <c r="Q98" s="93">
        <v>27.47</v>
      </c>
      <c r="R98" s="93">
        <v>33.020000000000003</v>
      </c>
      <c r="S98" s="93">
        <v>38.67</v>
      </c>
      <c r="T98" s="93">
        <v>44.32</v>
      </c>
      <c r="U98" s="93">
        <v>49.96</v>
      </c>
      <c r="V98" s="93">
        <v>55.76</v>
      </c>
      <c r="W98" s="93">
        <v>61.68</v>
      </c>
      <c r="X98" s="93">
        <v>67.69</v>
      </c>
      <c r="Y98" s="93">
        <v>73.8</v>
      </c>
      <c r="Z98" s="93">
        <v>80</v>
      </c>
      <c r="AA98" s="93">
        <v>86.28</v>
      </c>
      <c r="AB98" s="102">
        <v>93.38</v>
      </c>
      <c r="AC98" s="102">
        <v>99.45</v>
      </c>
      <c r="AD98" s="102">
        <v>105.41</v>
      </c>
      <c r="AE98" s="102">
        <v>111.32</v>
      </c>
      <c r="AF98" s="102">
        <v>117.14</v>
      </c>
      <c r="AG98" s="25"/>
      <c r="AH98" s="25"/>
      <c r="AI98" s="25"/>
      <c r="AJ98" s="25"/>
      <c r="AK98" s="25"/>
      <c r="AL98" s="25"/>
      <c r="AM98" s="25"/>
      <c r="AN98" s="25"/>
      <c r="AO98" s="25"/>
      <c r="AP98" s="25"/>
    </row>
    <row r="99" spans="12:42" x14ac:dyDescent="0.25">
      <c r="L99" s="24">
        <v>53</v>
      </c>
      <c r="M99" s="93">
        <v>6.75</v>
      </c>
      <c r="N99" s="93">
        <v>13.01</v>
      </c>
      <c r="O99" s="93">
        <v>18.510000000000002</v>
      </c>
      <c r="P99" s="93">
        <v>24.25</v>
      </c>
      <c r="Q99" s="93">
        <v>29.9</v>
      </c>
      <c r="R99" s="93">
        <v>35.86</v>
      </c>
      <c r="S99" s="93">
        <v>41.86</v>
      </c>
      <c r="T99" s="93">
        <v>47.9</v>
      </c>
      <c r="U99" s="93">
        <v>54.01</v>
      </c>
      <c r="V99" s="93">
        <v>60.23</v>
      </c>
      <c r="W99" s="93">
        <v>66.56</v>
      </c>
      <c r="X99" s="93">
        <v>73.02</v>
      </c>
      <c r="Y99" s="93">
        <v>79.59</v>
      </c>
      <c r="Z99" s="93">
        <v>86.26</v>
      </c>
      <c r="AA99" s="93">
        <v>93.03</v>
      </c>
      <c r="AB99" s="102">
        <v>100.65</v>
      </c>
      <c r="AC99" s="102">
        <v>107.14</v>
      </c>
      <c r="AD99" s="102">
        <v>113.53</v>
      </c>
      <c r="AE99" s="102">
        <v>119.84</v>
      </c>
      <c r="AF99" s="102">
        <v>126.05</v>
      </c>
      <c r="AG99" s="25"/>
      <c r="AH99" s="25"/>
      <c r="AI99" s="25"/>
      <c r="AJ99" s="25"/>
      <c r="AK99" s="25"/>
      <c r="AL99" s="25"/>
      <c r="AM99" s="25"/>
      <c r="AN99" s="25"/>
      <c r="AO99" s="25"/>
      <c r="AP99" s="25"/>
    </row>
    <row r="100" spans="12:42" x14ac:dyDescent="0.25">
      <c r="L100" s="24">
        <v>54</v>
      </c>
      <c r="M100" s="93">
        <v>7.39</v>
      </c>
      <c r="N100" s="93">
        <v>14.18</v>
      </c>
      <c r="O100" s="93">
        <v>20.14</v>
      </c>
      <c r="P100" s="93">
        <v>26.35</v>
      </c>
      <c r="Q100" s="93">
        <v>32.409999999999997</v>
      </c>
      <c r="R100" s="93">
        <v>38.78</v>
      </c>
      <c r="S100" s="93">
        <v>45.18</v>
      </c>
      <c r="T100" s="93">
        <v>51.63</v>
      </c>
      <c r="U100" s="93">
        <v>58.17</v>
      </c>
      <c r="V100" s="93">
        <v>64.819999999999993</v>
      </c>
      <c r="W100" s="93">
        <v>71.61</v>
      </c>
      <c r="X100" s="93">
        <v>78.56</v>
      </c>
      <c r="Y100" s="93">
        <v>85.65</v>
      </c>
      <c r="Z100" s="93">
        <v>92.84</v>
      </c>
      <c r="AA100" s="93">
        <v>100.1</v>
      </c>
      <c r="AB100" s="102">
        <v>108.28</v>
      </c>
      <c r="AC100" s="102">
        <v>115.2</v>
      </c>
      <c r="AD100" s="102">
        <v>122.04</v>
      </c>
      <c r="AE100" s="102">
        <v>128.77000000000001</v>
      </c>
      <c r="AF100" s="102">
        <v>135.38999999999999</v>
      </c>
      <c r="AG100" s="25"/>
      <c r="AH100" s="25"/>
      <c r="AI100" s="25"/>
      <c r="AJ100" s="25"/>
      <c r="AK100" s="25"/>
      <c r="AL100" s="25"/>
      <c r="AM100" s="25"/>
      <c r="AN100" s="25"/>
      <c r="AO100" s="25"/>
      <c r="AP100" s="25"/>
    </row>
    <row r="101" spans="12:42" x14ac:dyDescent="0.25">
      <c r="L101" s="24">
        <v>55</v>
      </c>
      <c r="M101" s="93">
        <v>8.08</v>
      </c>
      <c r="N101" s="93">
        <v>15.39</v>
      </c>
      <c r="O101" s="93">
        <v>21.81</v>
      </c>
      <c r="P101" s="93">
        <v>28.46</v>
      </c>
      <c r="Q101" s="93">
        <v>34.909999999999997</v>
      </c>
      <c r="R101" s="93">
        <v>41.68</v>
      </c>
      <c r="S101" s="93">
        <v>48.5</v>
      </c>
      <c r="T101" s="93">
        <v>55.37</v>
      </c>
      <c r="U101" s="93">
        <v>62.35</v>
      </c>
      <c r="V101" s="93">
        <v>69.489999999999995</v>
      </c>
      <c r="W101" s="93">
        <v>76.819999999999993</v>
      </c>
      <c r="X101" s="93">
        <v>84.31</v>
      </c>
      <c r="Y101" s="93">
        <v>91.95</v>
      </c>
      <c r="Z101" s="93">
        <v>99.68</v>
      </c>
      <c r="AA101" s="93">
        <v>107.5</v>
      </c>
      <c r="AB101" s="102">
        <v>116.24</v>
      </c>
      <c r="AC101" s="102">
        <v>123.62</v>
      </c>
      <c r="AD101" s="102">
        <v>130.9</v>
      </c>
      <c r="AE101" s="102">
        <v>138.07</v>
      </c>
      <c r="AF101" s="102">
        <v>145.11000000000001</v>
      </c>
      <c r="AG101" s="25"/>
      <c r="AH101" s="25"/>
      <c r="AI101" s="25"/>
      <c r="AJ101" s="25"/>
      <c r="AK101" s="25"/>
      <c r="AL101" s="25"/>
      <c r="AM101" s="25"/>
      <c r="AN101" s="25"/>
      <c r="AO101" s="25"/>
      <c r="AP101" s="25"/>
    </row>
    <row r="102" spans="12:42" x14ac:dyDescent="0.25">
      <c r="L102" s="24">
        <v>56</v>
      </c>
      <c r="M102" s="93">
        <v>8.84</v>
      </c>
      <c r="N102" s="93">
        <v>16.59</v>
      </c>
      <c r="O102" s="93">
        <v>23.44</v>
      </c>
      <c r="P102" s="93">
        <v>30.51</v>
      </c>
      <c r="Q102" s="93">
        <v>37.32</v>
      </c>
      <c r="R102" s="93">
        <v>44.5</v>
      </c>
      <c r="S102" s="93">
        <v>51.74</v>
      </c>
      <c r="T102" s="93">
        <v>59.08</v>
      </c>
      <c r="U102" s="93">
        <v>66.59</v>
      </c>
      <c r="V102" s="93">
        <v>74.290000000000006</v>
      </c>
      <c r="W102" s="93">
        <v>82.18</v>
      </c>
      <c r="X102" s="93">
        <v>90.26</v>
      </c>
      <c r="Y102" s="93">
        <v>98.49</v>
      </c>
      <c r="Z102" s="93">
        <v>106.82</v>
      </c>
      <c r="AA102" s="93">
        <v>115.08</v>
      </c>
      <c r="AB102" s="102">
        <v>124.38</v>
      </c>
      <c r="AC102" s="102">
        <v>132.24</v>
      </c>
      <c r="AD102" s="102">
        <v>139.97999999999999</v>
      </c>
      <c r="AE102" s="102">
        <v>147.59</v>
      </c>
      <c r="AF102" s="102"/>
      <c r="AG102" s="25"/>
      <c r="AH102" s="25"/>
      <c r="AI102" s="25"/>
      <c r="AJ102" s="25"/>
      <c r="AK102" s="25"/>
      <c r="AL102" s="25"/>
      <c r="AM102" s="25"/>
      <c r="AN102" s="25"/>
      <c r="AO102" s="25"/>
      <c r="AP102" s="25"/>
    </row>
    <row r="103" spans="12:42" x14ac:dyDescent="0.25">
      <c r="L103" s="24">
        <v>57</v>
      </c>
      <c r="M103" s="93">
        <v>9.61</v>
      </c>
      <c r="N103" s="93">
        <v>17.690000000000001</v>
      </c>
      <c r="O103" s="93">
        <v>24.96</v>
      </c>
      <c r="P103" s="93">
        <v>32.43</v>
      </c>
      <c r="Q103" s="93">
        <v>39.6</v>
      </c>
      <c r="R103" s="93">
        <v>47.2</v>
      </c>
      <c r="S103" s="93">
        <v>54.92</v>
      </c>
      <c r="T103" s="93">
        <v>62.81</v>
      </c>
      <c r="U103" s="93">
        <v>70.91</v>
      </c>
      <c r="V103" s="93">
        <v>79.23</v>
      </c>
      <c r="W103" s="93">
        <v>87.78</v>
      </c>
      <c r="X103" s="93">
        <v>96.49</v>
      </c>
      <c r="Y103" s="93">
        <v>105.34</v>
      </c>
      <c r="Z103" s="93">
        <v>114.27</v>
      </c>
      <c r="AA103" s="93">
        <v>123.31</v>
      </c>
      <c r="AB103" s="102">
        <v>133.21</v>
      </c>
      <c r="AC103" s="102">
        <v>141.58000000000001</v>
      </c>
      <c r="AD103" s="102">
        <v>149.80000000000001</v>
      </c>
      <c r="AE103" s="102"/>
      <c r="AF103" s="102"/>
      <c r="AG103" s="25"/>
      <c r="AH103" s="25"/>
      <c r="AI103" s="25"/>
      <c r="AJ103" s="25"/>
      <c r="AK103" s="25"/>
      <c r="AL103" s="25"/>
      <c r="AM103" s="25"/>
      <c r="AN103" s="25"/>
      <c r="AO103" s="25"/>
      <c r="AP103" s="25"/>
    </row>
    <row r="104" spans="12:42" x14ac:dyDescent="0.25">
      <c r="L104" s="24">
        <v>58</v>
      </c>
      <c r="M104" s="93">
        <v>10.45</v>
      </c>
      <c r="N104" s="93">
        <v>18.71</v>
      </c>
      <c r="O104" s="93">
        <v>26.37</v>
      </c>
      <c r="P104" s="93">
        <v>34.229999999999997</v>
      </c>
      <c r="Q104" s="93">
        <v>41.81</v>
      </c>
      <c r="R104" s="93">
        <v>49.9</v>
      </c>
      <c r="S104" s="93">
        <v>58.21</v>
      </c>
      <c r="T104" s="93">
        <v>66.72</v>
      </c>
      <c r="U104" s="93">
        <v>75.5</v>
      </c>
      <c r="V104" s="93">
        <v>84.5</v>
      </c>
      <c r="W104" s="93">
        <v>93.73</v>
      </c>
      <c r="X104" s="93">
        <v>103.12</v>
      </c>
      <c r="Y104" s="93">
        <v>112.66</v>
      </c>
      <c r="Z104" s="93">
        <v>122.29</v>
      </c>
      <c r="AA104" s="93">
        <v>131.97999999999999</v>
      </c>
      <c r="AB104" s="102">
        <v>142.54</v>
      </c>
      <c r="AC104" s="102">
        <v>151.44</v>
      </c>
      <c r="AD104" s="102"/>
      <c r="AE104" s="102"/>
      <c r="AF104" s="102"/>
      <c r="AG104" s="25"/>
      <c r="AH104" s="25"/>
      <c r="AI104" s="25"/>
      <c r="AJ104" s="25"/>
      <c r="AK104" s="25"/>
      <c r="AL104" s="25"/>
      <c r="AM104" s="25"/>
      <c r="AN104" s="25"/>
      <c r="AO104" s="25"/>
      <c r="AP104" s="25"/>
    </row>
    <row r="105" spans="12:42" x14ac:dyDescent="0.25">
      <c r="L105" s="24">
        <v>59</v>
      </c>
      <c r="M105" s="93">
        <v>11.35</v>
      </c>
      <c r="N105" s="93">
        <v>19.670000000000002</v>
      </c>
      <c r="O105" s="93">
        <v>27.74</v>
      </c>
      <c r="P105" s="93">
        <v>36.01</v>
      </c>
      <c r="Q105" s="93">
        <v>44.1</v>
      </c>
      <c r="R105" s="93">
        <v>52.81</v>
      </c>
      <c r="S105" s="93">
        <v>61.78</v>
      </c>
      <c r="T105" s="93">
        <v>71.02</v>
      </c>
      <c r="U105" s="93">
        <v>80.52</v>
      </c>
      <c r="V105" s="93">
        <v>90.27</v>
      </c>
      <c r="W105" s="93">
        <v>100.23</v>
      </c>
      <c r="X105" s="93">
        <v>110.37</v>
      </c>
      <c r="Y105" s="93">
        <v>120.64</v>
      </c>
      <c r="Z105" s="93">
        <v>130.99</v>
      </c>
      <c r="AA105" s="93">
        <v>141.43</v>
      </c>
      <c r="AB105" s="102">
        <v>152.68</v>
      </c>
      <c r="AC105" s="102"/>
      <c r="AD105" s="102"/>
      <c r="AE105" s="102"/>
      <c r="AF105" s="102"/>
      <c r="AG105" s="25"/>
      <c r="AH105" s="25"/>
      <c r="AI105" s="25"/>
      <c r="AJ105" s="25"/>
      <c r="AK105" s="25"/>
      <c r="AL105" s="25"/>
      <c r="AM105" s="25"/>
      <c r="AN105" s="25"/>
      <c r="AO105" s="25"/>
      <c r="AP105" s="25"/>
    </row>
    <row r="106" spans="12:42" x14ac:dyDescent="0.25">
      <c r="L106" s="24">
        <v>60</v>
      </c>
      <c r="M106" s="93">
        <v>12.34</v>
      </c>
      <c r="N106" s="93">
        <v>20.64</v>
      </c>
      <c r="O106" s="93">
        <v>29.13</v>
      </c>
      <c r="P106" s="93">
        <v>37.979999999999997</v>
      </c>
      <c r="Q106" s="93">
        <v>46.71</v>
      </c>
      <c r="R106" s="93">
        <v>56.14</v>
      </c>
      <c r="S106" s="93">
        <v>65.88</v>
      </c>
      <c r="T106" s="93">
        <v>75.91</v>
      </c>
      <c r="U106" s="93">
        <v>86.2</v>
      </c>
      <c r="V106" s="93">
        <v>96.76</v>
      </c>
      <c r="W106" s="93">
        <v>107.52</v>
      </c>
      <c r="X106" s="93">
        <v>118.44</v>
      </c>
      <c r="Y106" s="93">
        <v>129.5</v>
      </c>
      <c r="Z106" s="93">
        <v>140.65</v>
      </c>
      <c r="AA106" s="93">
        <v>151.87</v>
      </c>
      <c r="AB106" s="102"/>
      <c r="AC106" s="102"/>
      <c r="AD106" s="102"/>
      <c r="AE106" s="102"/>
      <c r="AF106" s="102"/>
      <c r="AG106" s="25"/>
      <c r="AH106" s="25"/>
      <c r="AI106" s="25"/>
      <c r="AJ106" s="25"/>
      <c r="AK106" s="25"/>
      <c r="AL106" s="25"/>
      <c r="AM106" s="25"/>
      <c r="AN106" s="25"/>
      <c r="AO106" s="25"/>
      <c r="AP106" s="25"/>
    </row>
    <row r="107" spans="12:42" x14ac:dyDescent="0.25">
      <c r="L107" s="24">
        <v>61</v>
      </c>
      <c r="M107" s="93">
        <v>13.45</v>
      </c>
      <c r="N107" s="113">
        <v>21.66</v>
      </c>
      <c r="O107" s="113">
        <v>30.78</v>
      </c>
      <c r="P107" s="113">
        <v>40.36</v>
      </c>
      <c r="Q107" s="113">
        <v>49.86</v>
      </c>
      <c r="R107" s="113">
        <v>60.12</v>
      </c>
      <c r="S107" s="113">
        <v>70.69</v>
      </c>
      <c r="T107" s="113">
        <v>81.58</v>
      </c>
      <c r="U107" s="113">
        <v>92.75</v>
      </c>
      <c r="V107" s="113">
        <v>104.16</v>
      </c>
      <c r="W107" s="93">
        <v>115.78</v>
      </c>
      <c r="X107" s="93">
        <v>127.56</v>
      </c>
      <c r="Y107" s="93">
        <v>139.49</v>
      </c>
      <c r="Z107" s="93">
        <v>151.49</v>
      </c>
      <c r="AA107" s="93"/>
      <c r="AB107" s="104"/>
      <c r="AC107" s="104"/>
      <c r="AD107" s="104"/>
      <c r="AE107" s="104"/>
      <c r="AF107" s="104"/>
      <c r="AG107" s="25"/>
      <c r="AH107" s="25"/>
      <c r="AI107" s="25"/>
      <c r="AJ107" s="25"/>
      <c r="AK107" s="25"/>
      <c r="AL107" s="25"/>
      <c r="AM107" s="25"/>
      <c r="AN107" s="25"/>
      <c r="AO107" s="25"/>
      <c r="AP107" s="25"/>
    </row>
    <row r="108" spans="12:42" x14ac:dyDescent="0.25">
      <c r="L108" s="24">
        <v>62</v>
      </c>
      <c r="M108" s="93">
        <v>14.7</v>
      </c>
      <c r="N108" s="113">
        <v>23.02</v>
      </c>
      <c r="O108" s="113">
        <v>32.979999999999997</v>
      </c>
      <c r="P108" s="113">
        <v>43.42</v>
      </c>
      <c r="Q108" s="113">
        <v>53.77</v>
      </c>
      <c r="R108" s="113">
        <v>64.94</v>
      </c>
      <c r="S108" s="113">
        <v>76.45</v>
      </c>
      <c r="T108" s="113">
        <v>88.27</v>
      </c>
      <c r="U108" s="113">
        <v>100.36</v>
      </c>
      <c r="V108" s="113">
        <v>112.7</v>
      </c>
      <c r="W108" s="93">
        <v>125.24</v>
      </c>
      <c r="X108" s="93">
        <v>137.96</v>
      </c>
      <c r="Y108" s="93">
        <v>150.82</v>
      </c>
      <c r="Z108" s="93"/>
      <c r="AA108" s="93"/>
      <c r="AB108" s="104"/>
      <c r="AC108" s="104"/>
      <c r="AD108" s="104"/>
      <c r="AE108" s="104"/>
      <c r="AF108" s="104"/>
      <c r="AG108" s="25"/>
      <c r="AH108" s="25"/>
      <c r="AI108" s="25"/>
      <c r="AJ108" s="25"/>
      <c r="AK108" s="25"/>
      <c r="AL108" s="25"/>
      <c r="AM108" s="25"/>
      <c r="AN108" s="25"/>
      <c r="AO108" s="25"/>
      <c r="AP108" s="25"/>
    </row>
    <row r="109" spans="12:42" x14ac:dyDescent="0.25">
      <c r="L109" s="24">
        <v>63</v>
      </c>
      <c r="M109" s="93">
        <v>16.11</v>
      </c>
      <c r="N109" s="113">
        <v>25.13</v>
      </c>
      <c r="O109" s="113">
        <v>36.020000000000003</v>
      </c>
      <c r="P109" s="113">
        <v>47.44</v>
      </c>
      <c r="Q109" s="113">
        <v>58.73</v>
      </c>
      <c r="R109" s="113">
        <v>70.88</v>
      </c>
      <c r="S109" s="113">
        <v>83.37</v>
      </c>
      <c r="T109" s="113">
        <v>96.17</v>
      </c>
      <c r="U109" s="113">
        <v>109.26</v>
      </c>
      <c r="V109" s="113">
        <v>122.6</v>
      </c>
      <c r="W109" s="93">
        <v>136.15</v>
      </c>
      <c r="X109" s="93">
        <v>149.88999999999999</v>
      </c>
      <c r="Y109" s="93"/>
      <c r="Z109" s="93"/>
      <c r="AA109" s="93"/>
      <c r="AB109" s="104"/>
      <c r="AC109" s="104"/>
      <c r="AD109" s="104"/>
      <c r="AE109" s="104"/>
      <c r="AF109" s="104"/>
      <c r="AG109" s="25"/>
      <c r="AH109" s="25"/>
      <c r="AI109" s="25"/>
      <c r="AJ109" s="25"/>
      <c r="AK109" s="25"/>
      <c r="AL109" s="25"/>
      <c r="AM109" s="25"/>
      <c r="AN109" s="25"/>
      <c r="AO109" s="25"/>
      <c r="AP109" s="25"/>
    </row>
    <row r="110" spans="12:42" x14ac:dyDescent="0.25">
      <c r="L110" s="24">
        <v>64</v>
      </c>
      <c r="M110" s="93">
        <v>17.690000000000001</v>
      </c>
      <c r="N110" s="113">
        <v>27.78</v>
      </c>
      <c r="O110" s="113">
        <v>39.78</v>
      </c>
      <c r="P110" s="113">
        <v>51.92</v>
      </c>
      <c r="Q110" s="113">
        <v>64.22</v>
      </c>
      <c r="R110" s="113">
        <v>77.42</v>
      </c>
      <c r="S110" s="113">
        <v>90.96</v>
      </c>
      <c r="T110" s="113">
        <v>104.83</v>
      </c>
      <c r="U110" s="113">
        <v>118.97</v>
      </c>
      <c r="V110" s="113">
        <v>133.4</v>
      </c>
      <c r="W110" s="93">
        <v>148.05000000000001</v>
      </c>
      <c r="X110" s="93"/>
      <c r="Y110" s="93"/>
      <c r="Z110" s="93"/>
      <c r="AA110" s="93"/>
      <c r="AB110" s="104"/>
      <c r="AC110" s="104"/>
      <c r="AD110" s="104"/>
      <c r="AE110" s="104"/>
      <c r="AF110" s="104"/>
      <c r="AG110" s="25"/>
      <c r="AH110" s="25"/>
      <c r="AI110" s="25"/>
      <c r="AJ110" s="25"/>
      <c r="AK110" s="25"/>
      <c r="AL110" s="25"/>
      <c r="AM110" s="25"/>
      <c r="AN110" s="25"/>
      <c r="AO110" s="25"/>
      <c r="AP110" s="25"/>
    </row>
    <row r="111" spans="12:42" x14ac:dyDescent="0.25">
      <c r="L111" s="24">
        <v>65</v>
      </c>
      <c r="M111" s="93">
        <v>19.420000000000002</v>
      </c>
      <c r="N111" s="113">
        <v>30.25</v>
      </c>
      <c r="O111" s="113">
        <v>43.27</v>
      </c>
      <c r="P111" s="113">
        <v>56.78</v>
      </c>
      <c r="Q111" s="113">
        <v>70.14</v>
      </c>
      <c r="R111" s="102">
        <v>84.45</v>
      </c>
      <c r="S111" s="102">
        <v>99.12</v>
      </c>
      <c r="T111" s="102">
        <v>114.12</v>
      </c>
      <c r="U111" s="102">
        <v>129.44999999999999</v>
      </c>
      <c r="V111" s="102">
        <v>145.05000000000001</v>
      </c>
      <c r="W111" s="102"/>
      <c r="X111" s="102"/>
      <c r="Y111" s="102"/>
      <c r="Z111" s="102"/>
      <c r="AA111" s="102"/>
      <c r="AB111" s="104"/>
      <c r="AC111" s="104"/>
      <c r="AD111" s="104"/>
      <c r="AE111" s="104"/>
      <c r="AF111" s="104"/>
      <c r="AG111" s="25"/>
      <c r="AH111" s="25"/>
      <c r="AI111" s="25"/>
      <c r="AJ111" s="25"/>
      <c r="AK111" s="25"/>
      <c r="AL111" s="25"/>
      <c r="AM111" s="25"/>
      <c r="AN111" s="25"/>
      <c r="AO111" s="25"/>
      <c r="AP111" s="25"/>
    </row>
    <row r="112" spans="12:42" x14ac:dyDescent="0.25">
      <c r="L112" s="24" t="str">
        <f t="shared" ref="L112:L116" si="2">IF(AND(ROW(K54)+12&gt;=$G$11,ROW(K54)+12&lt;=$I$11),ROW(K54)+12,"")</f>
        <v/>
      </c>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row>
    <row r="113" spans="11:42" x14ac:dyDescent="0.25">
      <c r="L113" s="24" t="str">
        <f t="shared" si="2"/>
        <v/>
      </c>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row>
    <row r="114" spans="11:42" x14ac:dyDescent="0.25">
      <c r="L114" s="24" t="str">
        <f t="shared" si="2"/>
        <v/>
      </c>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row>
    <row r="115" spans="11:42" x14ac:dyDescent="0.25">
      <c r="L115" s="24" t="str">
        <f t="shared" si="2"/>
        <v/>
      </c>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row>
    <row r="116" spans="11:42" x14ac:dyDescent="0.25">
      <c r="L116" s="24" t="str">
        <f t="shared" si="2"/>
        <v/>
      </c>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row>
    <row r="118" spans="11:42" x14ac:dyDescent="0.25">
      <c r="L118" s="90" t="s">
        <v>84</v>
      </c>
    </row>
    <row r="119" spans="11:42" x14ac:dyDescent="0.25">
      <c r="K119" s="89"/>
      <c r="L119" s="117" t="s">
        <v>42</v>
      </c>
      <c r="M119" s="118" t="s">
        <v>43</v>
      </c>
      <c r="N119" s="118"/>
      <c r="O119" s="118"/>
      <c r="P119" s="118"/>
      <c r="Q119" s="118"/>
      <c r="R119" s="118"/>
      <c r="S119" s="118"/>
      <c r="T119" s="118"/>
      <c r="U119" s="118"/>
      <c r="V119" s="118"/>
      <c r="W119" s="118"/>
      <c r="X119" s="118"/>
      <c r="Y119" s="118"/>
      <c r="Z119" s="118"/>
      <c r="AA119" s="118"/>
      <c r="AB119" s="118"/>
      <c r="AC119" s="118"/>
      <c r="AD119" s="118"/>
      <c r="AE119" s="118"/>
      <c r="AF119" s="118"/>
      <c r="AG119" s="118"/>
      <c r="AH119" s="118"/>
      <c r="AI119" s="118"/>
      <c r="AJ119" s="118"/>
      <c r="AK119" s="118"/>
      <c r="AL119" s="118"/>
      <c r="AM119" s="118"/>
      <c r="AN119" s="118"/>
      <c r="AO119" s="118"/>
      <c r="AP119" s="118"/>
    </row>
    <row r="120" spans="11:42" x14ac:dyDescent="0.25">
      <c r="L120" s="117"/>
      <c r="M120" s="23">
        <v>1</v>
      </c>
      <c r="N120" s="23">
        <v>2</v>
      </c>
      <c r="O120" s="23">
        <v>3</v>
      </c>
      <c r="P120" s="23">
        <v>4</v>
      </c>
      <c r="Q120" s="23">
        <v>5</v>
      </c>
      <c r="R120" s="23">
        <v>6</v>
      </c>
      <c r="S120" s="23">
        <v>7</v>
      </c>
      <c r="T120" s="23">
        <v>8</v>
      </c>
      <c r="U120" s="23">
        <v>9</v>
      </c>
      <c r="V120" s="23">
        <v>10</v>
      </c>
      <c r="W120" s="23">
        <v>11</v>
      </c>
      <c r="X120" s="23">
        <v>12</v>
      </c>
      <c r="Y120" s="23">
        <v>13</v>
      </c>
      <c r="Z120" s="23">
        <v>14</v>
      </c>
      <c r="AA120" s="23">
        <v>15</v>
      </c>
      <c r="AB120" s="23">
        <v>16</v>
      </c>
      <c r="AC120" s="23">
        <v>17</v>
      </c>
      <c r="AD120" s="23">
        <v>18</v>
      </c>
      <c r="AE120" s="23">
        <v>19</v>
      </c>
      <c r="AF120" s="23">
        <v>20</v>
      </c>
      <c r="AG120" s="23">
        <v>21</v>
      </c>
      <c r="AH120" s="23">
        <v>22</v>
      </c>
      <c r="AI120" s="23">
        <v>23</v>
      </c>
      <c r="AJ120" s="23">
        <v>24</v>
      </c>
      <c r="AK120" s="23">
        <v>25</v>
      </c>
      <c r="AL120" s="23">
        <v>26</v>
      </c>
      <c r="AM120" s="23">
        <v>27</v>
      </c>
      <c r="AN120" s="23">
        <v>28</v>
      </c>
      <c r="AO120" s="23">
        <v>29</v>
      </c>
      <c r="AP120" s="23">
        <v>30</v>
      </c>
    </row>
    <row r="121" spans="11:42" x14ac:dyDescent="0.25">
      <c r="L121" s="24" t="str">
        <f>IF(AND(ROW(K5)+12&gt;=$G$11,ROW(K5)+12&lt;=$I$11),ROW(K5)+12,"")</f>
        <v/>
      </c>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row>
    <row r="122" spans="11:42" x14ac:dyDescent="0.25">
      <c r="L122" s="24">
        <v>18</v>
      </c>
      <c r="M122" s="93"/>
      <c r="N122" s="93"/>
      <c r="O122" s="93"/>
      <c r="P122" s="93"/>
      <c r="Q122" s="93"/>
      <c r="R122" s="93"/>
      <c r="S122" s="93"/>
      <c r="T122" s="93"/>
      <c r="U122" s="93"/>
      <c r="V122" s="93"/>
      <c r="W122" s="93"/>
      <c r="X122" s="93"/>
      <c r="Y122" s="93"/>
      <c r="Z122" s="93"/>
      <c r="AA122" s="93"/>
      <c r="AB122" s="102"/>
      <c r="AC122" s="102"/>
      <c r="AD122" s="102"/>
      <c r="AE122" s="102"/>
      <c r="AF122" s="102"/>
      <c r="AG122" s="25"/>
      <c r="AH122" s="25"/>
      <c r="AI122" s="25"/>
      <c r="AJ122" s="25"/>
      <c r="AK122" s="25"/>
      <c r="AL122" s="25"/>
      <c r="AM122" s="25"/>
      <c r="AN122" s="25"/>
      <c r="AO122" s="25"/>
      <c r="AP122" s="25"/>
    </row>
    <row r="123" spans="11:42" x14ac:dyDescent="0.25">
      <c r="L123" s="24">
        <v>19</v>
      </c>
      <c r="M123" s="93"/>
      <c r="N123" s="93"/>
      <c r="O123" s="93"/>
      <c r="P123" s="93"/>
      <c r="Q123" s="93"/>
      <c r="R123" s="93"/>
      <c r="S123" s="93"/>
      <c r="T123" s="93"/>
      <c r="U123" s="93"/>
      <c r="V123" s="93"/>
      <c r="W123" s="93"/>
      <c r="X123" s="93"/>
      <c r="Y123" s="93"/>
      <c r="Z123" s="93"/>
      <c r="AA123" s="93"/>
      <c r="AB123" s="102"/>
      <c r="AC123" s="102"/>
      <c r="AD123" s="102"/>
      <c r="AE123" s="102"/>
      <c r="AF123" s="102"/>
      <c r="AG123" s="25"/>
      <c r="AH123" s="25"/>
      <c r="AI123" s="25"/>
      <c r="AJ123" s="25"/>
      <c r="AK123" s="25"/>
      <c r="AL123" s="25"/>
      <c r="AM123" s="25"/>
      <c r="AN123" s="25"/>
      <c r="AO123" s="25"/>
      <c r="AP123" s="25"/>
    </row>
    <row r="124" spans="11:42" x14ac:dyDescent="0.25">
      <c r="L124" s="24">
        <v>20</v>
      </c>
      <c r="M124" s="93"/>
      <c r="N124" s="93"/>
      <c r="O124" s="93"/>
      <c r="P124" s="93"/>
      <c r="Q124" s="93"/>
      <c r="R124" s="93"/>
      <c r="S124" s="93"/>
      <c r="T124" s="93"/>
      <c r="U124" s="93"/>
      <c r="V124" s="93"/>
      <c r="W124" s="93"/>
      <c r="X124" s="93"/>
      <c r="Y124" s="93"/>
      <c r="Z124" s="93"/>
      <c r="AA124" s="93"/>
      <c r="AB124" s="102"/>
      <c r="AC124" s="102"/>
      <c r="AD124" s="102"/>
      <c r="AE124" s="102"/>
      <c r="AF124" s="102"/>
      <c r="AG124" s="25"/>
      <c r="AH124" s="25"/>
      <c r="AI124" s="25"/>
      <c r="AJ124" s="25"/>
      <c r="AK124" s="25"/>
      <c r="AL124" s="25"/>
      <c r="AM124" s="25"/>
      <c r="AN124" s="25"/>
      <c r="AO124" s="25"/>
      <c r="AP124" s="25"/>
    </row>
    <row r="125" spans="11:42" x14ac:dyDescent="0.25">
      <c r="L125" s="24">
        <v>21</v>
      </c>
      <c r="M125" s="93"/>
      <c r="N125" s="93"/>
      <c r="O125" s="93"/>
      <c r="P125" s="93"/>
      <c r="Q125" s="93"/>
      <c r="R125" s="93"/>
      <c r="S125" s="93"/>
      <c r="T125" s="93"/>
      <c r="U125" s="93"/>
      <c r="V125" s="93"/>
      <c r="W125" s="93"/>
      <c r="X125" s="93"/>
      <c r="Y125" s="93"/>
      <c r="Z125" s="93"/>
      <c r="AA125" s="93"/>
      <c r="AB125" s="102"/>
      <c r="AC125" s="102"/>
      <c r="AD125" s="102"/>
      <c r="AE125" s="102"/>
      <c r="AF125" s="102"/>
      <c r="AG125" s="25"/>
      <c r="AH125" s="25"/>
      <c r="AI125" s="25"/>
      <c r="AJ125" s="25"/>
      <c r="AK125" s="25"/>
      <c r="AL125" s="25"/>
      <c r="AM125" s="25"/>
      <c r="AN125" s="25"/>
      <c r="AO125" s="25"/>
      <c r="AP125" s="25"/>
    </row>
    <row r="126" spans="11:42" x14ac:dyDescent="0.25">
      <c r="L126" s="24">
        <v>22</v>
      </c>
      <c r="M126" s="93"/>
      <c r="N126" s="93"/>
      <c r="O126" s="93"/>
      <c r="P126" s="93"/>
      <c r="Q126" s="93"/>
      <c r="R126" s="93"/>
      <c r="S126" s="93"/>
      <c r="T126" s="93"/>
      <c r="U126" s="93"/>
      <c r="V126" s="93"/>
      <c r="W126" s="93"/>
      <c r="X126" s="93"/>
      <c r="Y126" s="93"/>
      <c r="Z126" s="93"/>
      <c r="AA126" s="93"/>
      <c r="AB126" s="102"/>
      <c r="AC126" s="102"/>
      <c r="AD126" s="102"/>
      <c r="AE126" s="102"/>
      <c r="AF126" s="102"/>
      <c r="AG126" s="25"/>
      <c r="AH126" s="25"/>
      <c r="AI126" s="25"/>
      <c r="AJ126" s="25"/>
      <c r="AK126" s="25"/>
      <c r="AL126" s="25"/>
      <c r="AM126" s="25"/>
      <c r="AN126" s="25"/>
      <c r="AO126" s="25"/>
      <c r="AP126" s="25"/>
    </row>
    <row r="127" spans="11:42" x14ac:dyDescent="0.25">
      <c r="L127" s="24">
        <v>23</v>
      </c>
      <c r="M127" s="93"/>
      <c r="N127" s="93"/>
      <c r="O127" s="93"/>
      <c r="P127" s="93"/>
      <c r="Q127" s="93"/>
      <c r="R127" s="93"/>
      <c r="S127" s="93"/>
      <c r="T127" s="93"/>
      <c r="U127" s="93"/>
      <c r="V127" s="93"/>
      <c r="W127" s="93"/>
      <c r="X127" s="93"/>
      <c r="Y127" s="93"/>
      <c r="Z127" s="93"/>
      <c r="AA127" s="93"/>
      <c r="AB127" s="102"/>
      <c r="AC127" s="102"/>
      <c r="AD127" s="102"/>
      <c r="AE127" s="102"/>
      <c r="AF127" s="102"/>
      <c r="AG127" s="25"/>
      <c r="AH127" s="25"/>
      <c r="AI127" s="25"/>
      <c r="AJ127" s="25"/>
      <c r="AK127" s="25"/>
      <c r="AL127" s="25"/>
      <c r="AM127" s="25"/>
      <c r="AN127" s="25"/>
      <c r="AO127" s="25"/>
      <c r="AP127" s="25"/>
    </row>
    <row r="128" spans="11:42" x14ac:dyDescent="0.25">
      <c r="L128" s="24">
        <v>24</v>
      </c>
      <c r="M128" s="93"/>
      <c r="N128" s="93"/>
      <c r="O128" s="93"/>
      <c r="P128" s="93"/>
      <c r="Q128" s="93"/>
      <c r="R128" s="93"/>
      <c r="S128" s="93"/>
      <c r="T128" s="93"/>
      <c r="U128" s="93"/>
      <c r="V128" s="93"/>
      <c r="W128" s="93"/>
      <c r="X128" s="93"/>
      <c r="Y128" s="93"/>
      <c r="Z128" s="93"/>
      <c r="AA128" s="93"/>
      <c r="AB128" s="102"/>
      <c r="AC128" s="102"/>
      <c r="AD128" s="102"/>
      <c r="AE128" s="102"/>
      <c r="AF128" s="102"/>
      <c r="AG128" s="25"/>
      <c r="AH128" s="25"/>
      <c r="AI128" s="25"/>
      <c r="AJ128" s="25"/>
      <c r="AK128" s="25"/>
      <c r="AL128" s="25"/>
      <c r="AM128" s="25"/>
      <c r="AN128" s="25"/>
      <c r="AO128" s="25"/>
      <c r="AP128" s="25"/>
    </row>
    <row r="129" spans="12:42" x14ac:dyDescent="0.25">
      <c r="L129" s="24">
        <v>25</v>
      </c>
      <c r="M129" s="93"/>
      <c r="N129" s="93"/>
      <c r="O129" s="93"/>
      <c r="P129" s="93"/>
      <c r="Q129" s="93"/>
      <c r="R129" s="93"/>
      <c r="S129" s="93"/>
      <c r="T129" s="93"/>
      <c r="U129" s="93"/>
      <c r="V129" s="93"/>
      <c r="W129" s="93"/>
      <c r="X129" s="93"/>
      <c r="Y129" s="93"/>
      <c r="Z129" s="93"/>
      <c r="AA129" s="93"/>
      <c r="AB129" s="102"/>
      <c r="AC129" s="102"/>
      <c r="AD129" s="102"/>
      <c r="AE129" s="102"/>
      <c r="AF129" s="102"/>
      <c r="AG129" s="25"/>
      <c r="AH129" s="25"/>
      <c r="AI129" s="25"/>
      <c r="AJ129" s="25"/>
      <c r="AK129" s="25"/>
      <c r="AL129" s="25"/>
      <c r="AM129" s="25"/>
      <c r="AN129" s="25"/>
      <c r="AO129" s="25"/>
      <c r="AP129" s="25"/>
    </row>
    <row r="130" spans="12:42" x14ac:dyDescent="0.25">
      <c r="L130" s="24">
        <v>26</v>
      </c>
      <c r="M130" s="93"/>
      <c r="N130" s="93"/>
      <c r="O130" s="93"/>
      <c r="P130" s="93"/>
      <c r="Q130" s="93"/>
      <c r="R130" s="93"/>
      <c r="S130" s="93"/>
      <c r="T130" s="93"/>
      <c r="U130" s="93"/>
      <c r="V130" s="93"/>
      <c r="W130" s="93"/>
      <c r="X130" s="93"/>
      <c r="Y130" s="93"/>
      <c r="Z130" s="93"/>
      <c r="AA130" s="93"/>
      <c r="AB130" s="102"/>
      <c r="AC130" s="102"/>
      <c r="AD130" s="102"/>
      <c r="AE130" s="102"/>
      <c r="AF130" s="102"/>
      <c r="AG130" s="25"/>
      <c r="AH130" s="25"/>
      <c r="AI130" s="25"/>
      <c r="AJ130" s="25"/>
      <c r="AK130" s="25"/>
      <c r="AL130" s="25"/>
      <c r="AM130" s="25"/>
      <c r="AN130" s="25"/>
      <c r="AO130" s="25"/>
      <c r="AP130" s="25"/>
    </row>
    <row r="131" spans="12:42" x14ac:dyDescent="0.25">
      <c r="L131" s="24">
        <v>27</v>
      </c>
      <c r="M131" s="93"/>
      <c r="N131" s="93"/>
      <c r="O131" s="93"/>
      <c r="P131" s="93"/>
      <c r="Q131" s="93"/>
      <c r="R131" s="93"/>
      <c r="S131" s="93"/>
      <c r="T131" s="93"/>
      <c r="U131" s="93"/>
      <c r="V131" s="93"/>
      <c r="W131" s="93"/>
      <c r="X131" s="93"/>
      <c r="Y131" s="93"/>
      <c r="Z131" s="93"/>
      <c r="AA131" s="93"/>
      <c r="AB131" s="102"/>
      <c r="AC131" s="102"/>
      <c r="AD131" s="102"/>
      <c r="AE131" s="102"/>
      <c r="AF131" s="102"/>
      <c r="AG131" s="25"/>
      <c r="AH131" s="25"/>
      <c r="AI131" s="25"/>
      <c r="AJ131" s="25"/>
      <c r="AK131" s="25"/>
      <c r="AL131" s="25"/>
      <c r="AM131" s="25"/>
      <c r="AN131" s="25"/>
      <c r="AO131" s="25"/>
      <c r="AP131" s="25"/>
    </row>
    <row r="132" spans="12:42" x14ac:dyDescent="0.25">
      <c r="L132" s="24">
        <v>28</v>
      </c>
      <c r="M132" s="93"/>
      <c r="N132" s="93"/>
      <c r="O132" s="93"/>
      <c r="P132" s="93"/>
      <c r="Q132" s="93"/>
      <c r="R132" s="93"/>
      <c r="S132" s="93"/>
      <c r="T132" s="93"/>
      <c r="U132" s="93"/>
      <c r="V132" s="93"/>
      <c r="W132" s="93"/>
      <c r="X132" s="93"/>
      <c r="Y132" s="93"/>
      <c r="Z132" s="93"/>
      <c r="AA132" s="93"/>
      <c r="AB132" s="102"/>
      <c r="AC132" s="102"/>
      <c r="AD132" s="102"/>
      <c r="AE132" s="102"/>
      <c r="AF132" s="102"/>
      <c r="AG132" s="25"/>
      <c r="AH132" s="25"/>
      <c r="AI132" s="25"/>
      <c r="AJ132" s="25"/>
      <c r="AK132" s="25"/>
      <c r="AL132" s="25"/>
      <c r="AM132" s="25"/>
      <c r="AN132" s="25"/>
      <c r="AO132" s="25"/>
      <c r="AP132" s="25"/>
    </row>
    <row r="133" spans="12:42" x14ac:dyDescent="0.25">
      <c r="L133" s="24">
        <v>29</v>
      </c>
      <c r="M133" s="93"/>
      <c r="N133" s="93"/>
      <c r="O133" s="93"/>
      <c r="P133" s="93"/>
      <c r="Q133" s="93"/>
      <c r="R133" s="93"/>
      <c r="S133" s="93"/>
      <c r="T133" s="93"/>
      <c r="U133" s="93"/>
      <c r="V133" s="93"/>
      <c r="W133" s="93"/>
      <c r="X133" s="93"/>
      <c r="Y133" s="93"/>
      <c r="Z133" s="93"/>
      <c r="AA133" s="93"/>
      <c r="AB133" s="102"/>
      <c r="AC133" s="102"/>
      <c r="AD133" s="102"/>
      <c r="AE133" s="102"/>
      <c r="AF133" s="102"/>
      <c r="AG133" s="25"/>
      <c r="AH133" s="25"/>
      <c r="AI133" s="25"/>
      <c r="AJ133" s="25"/>
      <c r="AK133" s="25"/>
      <c r="AL133" s="25"/>
      <c r="AM133" s="25"/>
      <c r="AN133" s="25"/>
      <c r="AO133" s="25"/>
      <c r="AP133" s="25"/>
    </row>
    <row r="134" spans="12:42" x14ac:dyDescent="0.25">
      <c r="L134" s="24">
        <v>30</v>
      </c>
      <c r="M134" s="93"/>
      <c r="N134" s="93"/>
      <c r="O134" s="93"/>
      <c r="P134" s="93"/>
      <c r="Q134" s="93"/>
      <c r="R134" s="93"/>
      <c r="S134" s="93"/>
      <c r="T134" s="93"/>
      <c r="U134" s="93"/>
      <c r="V134" s="93"/>
      <c r="W134" s="93"/>
      <c r="X134" s="93"/>
      <c r="Y134" s="93"/>
      <c r="Z134" s="93"/>
      <c r="AA134" s="93"/>
      <c r="AB134" s="102"/>
      <c r="AC134" s="102"/>
      <c r="AD134" s="102"/>
      <c r="AE134" s="102"/>
      <c r="AF134" s="102"/>
      <c r="AG134" s="25"/>
      <c r="AH134" s="25"/>
      <c r="AI134" s="25"/>
      <c r="AJ134" s="25"/>
      <c r="AK134" s="25"/>
      <c r="AL134" s="25"/>
      <c r="AM134" s="25"/>
      <c r="AN134" s="25"/>
      <c r="AO134" s="25"/>
      <c r="AP134" s="25"/>
    </row>
    <row r="135" spans="12:42" x14ac:dyDescent="0.25">
      <c r="L135" s="24">
        <v>31</v>
      </c>
      <c r="M135" s="93"/>
      <c r="N135" s="93"/>
      <c r="O135" s="93"/>
      <c r="P135" s="93"/>
      <c r="Q135" s="93"/>
      <c r="R135" s="93"/>
      <c r="S135" s="93"/>
      <c r="T135" s="93"/>
      <c r="U135" s="93"/>
      <c r="V135" s="93"/>
      <c r="W135" s="93"/>
      <c r="X135" s="93"/>
      <c r="Y135" s="93"/>
      <c r="Z135" s="93"/>
      <c r="AA135" s="93"/>
      <c r="AB135" s="102"/>
      <c r="AC135" s="102"/>
      <c r="AD135" s="102"/>
      <c r="AE135" s="102"/>
      <c r="AF135" s="102"/>
      <c r="AG135" s="25"/>
      <c r="AH135" s="25"/>
      <c r="AI135" s="25"/>
      <c r="AJ135" s="25"/>
      <c r="AK135" s="25"/>
      <c r="AL135" s="25"/>
      <c r="AM135" s="25"/>
      <c r="AN135" s="25"/>
      <c r="AO135" s="25"/>
      <c r="AP135" s="25"/>
    </row>
    <row r="136" spans="12:42" x14ac:dyDescent="0.25">
      <c r="L136" s="24">
        <v>32</v>
      </c>
      <c r="M136" s="93"/>
      <c r="N136" s="93"/>
      <c r="O136" s="93"/>
      <c r="P136" s="93"/>
      <c r="Q136" s="93"/>
      <c r="R136" s="93"/>
      <c r="S136" s="93"/>
      <c r="T136" s="93"/>
      <c r="U136" s="93"/>
      <c r="V136" s="93"/>
      <c r="W136" s="93"/>
      <c r="X136" s="93"/>
      <c r="Y136" s="93"/>
      <c r="Z136" s="93"/>
      <c r="AA136" s="93"/>
      <c r="AB136" s="102"/>
      <c r="AC136" s="102"/>
      <c r="AD136" s="102"/>
      <c r="AE136" s="102"/>
      <c r="AF136" s="102"/>
      <c r="AG136" s="25"/>
      <c r="AH136" s="25"/>
      <c r="AI136" s="25"/>
      <c r="AJ136" s="25"/>
      <c r="AK136" s="25"/>
      <c r="AL136" s="25"/>
      <c r="AM136" s="25"/>
      <c r="AN136" s="25"/>
      <c r="AO136" s="25"/>
      <c r="AP136" s="25"/>
    </row>
    <row r="137" spans="12:42" x14ac:dyDescent="0.25">
      <c r="L137" s="24">
        <v>33</v>
      </c>
      <c r="M137" s="93"/>
      <c r="N137" s="93"/>
      <c r="O137" s="93"/>
      <c r="P137" s="93"/>
      <c r="Q137" s="93"/>
      <c r="R137" s="93"/>
      <c r="S137" s="93"/>
      <c r="T137" s="93"/>
      <c r="U137" s="93"/>
      <c r="V137" s="93"/>
      <c r="W137" s="93"/>
      <c r="X137" s="93"/>
      <c r="Y137" s="93"/>
      <c r="Z137" s="93"/>
      <c r="AA137" s="93"/>
      <c r="AB137" s="102"/>
      <c r="AC137" s="102"/>
      <c r="AD137" s="102"/>
      <c r="AE137" s="102"/>
      <c r="AF137" s="102"/>
      <c r="AG137" s="25"/>
      <c r="AH137" s="25"/>
      <c r="AI137" s="25"/>
      <c r="AJ137" s="25"/>
      <c r="AK137" s="25"/>
      <c r="AL137" s="25"/>
      <c r="AM137" s="25"/>
      <c r="AN137" s="25"/>
      <c r="AO137" s="25"/>
      <c r="AP137" s="25"/>
    </row>
    <row r="138" spans="12:42" x14ac:dyDescent="0.25">
      <c r="L138" s="24">
        <v>34</v>
      </c>
      <c r="M138" s="93"/>
      <c r="N138" s="93"/>
      <c r="O138" s="93"/>
      <c r="P138" s="93"/>
      <c r="Q138" s="93"/>
      <c r="R138" s="93"/>
      <c r="S138" s="93"/>
      <c r="T138" s="93"/>
      <c r="U138" s="93"/>
      <c r="V138" s="93"/>
      <c r="W138" s="93"/>
      <c r="X138" s="93"/>
      <c r="Y138" s="93"/>
      <c r="Z138" s="93"/>
      <c r="AA138" s="93"/>
      <c r="AB138" s="102"/>
      <c r="AC138" s="102"/>
      <c r="AD138" s="102"/>
      <c r="AE138" s="102"/>
      <c r="AF138" s="102"/>
      <c r="AG138" s="25"/>
      <c r="AH138" s="25"/>
      <c r="AI138" s="25"/>
      <c r="AJ138" s="25"/>
      <c r="AK138" s="25"/>
      <c r="AL138" s="25"/>
      <c r="AM138" s="25"/>
      <c r="AN138" s="25"/>
      <c r="AO138" s="25"/>
      <c r="AP138" s="25"/>
    </row>
    <row r="139" spans="12:42" x14ac:dyDescent="0.25">
      <c r="L139" s="24">
        <v>35</v>
      </c>
      <c r="M139" s="93"/>
      <c r="N139" s="93"/>
      <c r="O139" s="93"/>
      <c r="P139" s="93"/>
      <c r="Q139" s="93"/>
      <c r="R139" s="93"/>
      <c r="S139" s="93"/>
      <c r="T139" s="93"/>
      <c r="U139" s="93"/>
      <c r="V139" s="93"/>
      <c r="W139" s="93"/>
      <c r="X139" s="93"/>
      <c r="Y139" s="93"/>
      <c r="Z139" s="93"/>
      <c r="AA139" s="93"/>
      <c r="AB139" s="102"/>
      <c r="AC139" s="102"/>
      <c r="AD139" s="102"/>
      <c r="AE139" s="102"/>
      <c r="AF139" s="102"/>
      <c r="AG139" s="25"/>
      <c r="AH139" s="25"/>
      <c r="AI139" s="25"/>
      <c r="AJ139" s="25"/>
      <c r="AK139" s="25"/>
      <c r="AL139" s="25"/>
      <c r="AM139" s="25"/>
      <c r="AN139" s="25"/>
      <c r="AO139" s="25"/>
      <c r="AP139" s="25"/>
    </row>
    <row r="140" spans="12:42" x14ac:dyDescent="0.25">
      <c r="L140" s="24">
        <v>36</v>
      </c>
      <c r="M140" s="93"/>
      <c r="N140" s="93"/>
      <c r="O140" s="93"/>
      <c r="P140" s="93"/>
      <c r="Q140" s="93"/>
      <c r="R140" s="93"/>
      <c r="S140" s="93"/>
      <c r="T140" s="93"/>
      <c r="U140" s="93"/>
      <c r="V140" s="93"/>
      <c r="W140" s="93"/>
      <c r="X140" s="93"/>
      <c r="Y140" s="93"/>
      <c r="Z140" s="93"/>
      <c r="AA140" s="93"/>
      <c r="AB140" s="102"/>
      <c r="AC140" s="102"/>
      <c r="AD140" s="102"/>
      <c r="AE140" s="102"/>
      <c r="AF140" s="102"/>
      <c r="AG140" s="25"/>
      <c r="AH140" s="25"/>
      <c r="AI140" s="25"/>
      <c r="AJ140" s="25"/>
      <c r="AK140" s="25"/>
      <c r="AL140" s="25"/>
      <c r="AM140" s="25"/>
      <c r="AN140" s="25"/>
      <c r="AO140" s="25"/>
      <c r="AP140" s="25"/>
    </row>
    <row r="141" spans="12:42" x14ac:dyDescent="0.25">
      <c r="L141" s="24">
        <v>37</v>
      </c>
      <c r="M141" s="93"/>
      <c r="N141" s="93"/>
      <c r="O141" s="93"/>
      <c r="P141" s="93"/>
      <c r="Q141" s="93"/>
      <c r="R141" s="93"/>
      <c r="S141" s="93"/>
      <c r="T141" s="93"/>
      <c r="U141" s="93"/>
      <c r="V141" s="93"/>
      <c r="W141" s="93"/>
      <c r="X141" s="93"/>
      <c r="Y141" s="93"/>
      <c r="Z141" s="93"/>
      <c r="AA141" s="93"/>
      <c r="AB141" s="102"/>
      <c r="AC141" s="102"/>
      <c r="AD141" s="102"/>
      <c r="AE141" s="102"/>
      <c r="AF141" s="102"/>
      <c r="AG141" s="25"/>
      <c r="AH141" s="25"/>
      <c r="AI141" s="25"/>
      <c r="AJ141" s="25"/>
      <c r="AK141" s="25"/>
      <c r="AL141" s="25"/>
      <c r="AM141" s="25"/>
      <c r="AN141" s="25"/>
      <c r="AO141" s="25"/>
      <c r="AP141" s="25"/>
    </row>
    <row r="142" spans="12:42" x14ac:dyDescent="0.25">
      <c r="L142" s="24">
        <v>38</v>
      </c>
      <c r="M142" s="93"/>
      <c r="N142" s="93"/>
      <c r="O142" s="93"/>
      <c r="P142" s="93"/>
      <c r="Q142" s="93"/>
      <c r="R142" s="93"/>
      <c r="S142" s="93"/>
      <c r="T142" s="93"/>
      <c r="U142" s="93"/>
      <c r="V142" s="93"/>
      <c r="W142" s="93"/>
      <c r="X142" s="93"/>
      <c r="Y142" s="93"/>
      <c r="Z142" s="93"/>
      <c r="AA142" s="93"/>
      <c r="AB142" s="102"/>
      <c r="AC142" s="102"/>
      <c r="AD142" s="102"/>
      <c r="AE142" s="102"/>
      <c r="AF142" s="102"/>
      <c r="AG142" s="25"/>
      <c r="AH142" s="25"/>
      <c r="AI142" s="25"/>
      <c r="AJ142" s="25"/>
      <c r="AK142" s="25"/>
      <c r="AL142" s="25"/>
      <c r="AM142" s="25"/>
      <c r="AN142" s="25"/>
      <c r="AO142" s="25"/>
      <c r="AP142" s="25"/>
    </row>
    <row r="143" spans="12:42" x14ac:dyDescent="0.25">
      <c r="L143" s="24">
        <v>39</v>
      </c>
      <c r="M143" s="93"/>
      <c r="N143" s="93"/>
      <c r="O143" s="93"/>
      <c r="P143" s="93"/>
      <c r="Q143" s="93"/>
      <c r="R143" s="93"/>
      <c r="S143" s="93"/>
      <c r="T143" s="93"/>
      <c r="U143" s="93"/>
      <c r="V143" s="93"/>
      <c r="W143" s="93"/>
      <c r="X143" s="93"/>
      <c r="Y143" s="93"/>
      <c r="Z143" s="93"/>
      <c r="AA143" s="93"/>
      <c r="AB143" s="102"/>
      <c r="AC143" s="102"/>
      <c r="AD143" s="102"/>
      <c r="AE143" s="102"/>
      <c r="AF143" s="102"/>
      <c r="AG143" s="25"/>
      <c r="AH143" s="25"/>
      <c r="AI143" s="25"/>
      <c r="AJ143" s="25"/>
      <c r="AK143" s="25"/>
      <c r="AL143" s="25"/>
      <c r="AM143" s="25"/>
      <c r="AN143" s="25"/>
      <c r="AO143" s="25"/>
      <c r="AP143" s="25"/>
    </row>
    <row r="144" spans="12:42" x14ac:dyDescent="0.25">
      <c r="L144" s="24">
        <v>40</v>
      </c>
      <c r="M144" s="93"/>
      <c r="N144" s="93"/>
      <c r="O144" s="93"/>
      <c r="P144" s="93"/>
      <c r="Q144" s="93"/>
      <c r="R144" s="93"/>
      <c r="S144" s="93"/>
      <c r="T144" s="93"/>
      <c r="U144" s="93"/>
      <c r="V144" s="93"/>
      <c r="W144" s="93"/>
      <c r="X144" s="93"/>
      <c r="Y144" s="93"/>
      <c r="Z144" s="93"/>
      <c r="AA144" s="93"/>
      <c r="AB144" s="102"/>
      <c r="AC144" s="102"/>
      <c r="AD144" s="102"/>
      <c r="AE144" s="102"/>
      <c r="AF144" s="102"/>
      <c r="AG144" s="25"/>
      <c r="AH144" s="25"/>
      <c r="AI144" s="25"/>
      <c r="AJ144" s="25"/>
      <c r="AK144" s="25"/>
      <c r="AL144" s="25"/>
      <c r="AM144" s="25"/>
      <c r="AN144" s="25"/>
      <c r="AO144" s="25"/>
      <c r="AP144" s="25"/>
    </row>
    <row r="145" spans="12:42" x14ac:dyDescent="0.25">
      <c r="L145" s="24">
        <v>41</v>
      </c>
      <c r="M145" s="93"/>
      <c r="N145" s="93"/>
      <c r="O145" s="93"/>
      <c r="P145" s="93"/>
      <c r="Q145" s="93"/>
      <c r="R145" s="93"/>
      <c r="S145" s="93"/>
      <c r="T145" s="93"/>
      <c r="U145" s="93"/>
      <c r="V145" s="93"/>
      <c r="W145" s="93"/>
      <c r="X145" s="93"/>
      <c r="Y145" s="93"/>
      <c r="Z145" s="93"/>
      <c r="AA145" s="93"/>
      <c r="AB145" s="102"/>
      <c r="AC145" s="102"/>
      <c r="AD145" s="102"/>
      <c r="AE145" s="102"/>
      <c r="AF145" s="102"/>
      <c r="AG145" s="25"/>
      <c r="AH145" s="25"/>
      <c r="AI145" s="25"/>
      <c r="AJ145" s="25"/>
      <c r="AK145" s="25"/>
      <c r="AL145" s="25"/>
      <c r="AM145" s="25"/>
      <c r="AN145" s="25"/>
      <c r="AO145" s="25"/>
      <c r="AP145" s="25"/>
    </row>
    <row r="146" spans="12:42" x14ac:dyDescent="0.25">
      <c r="L146" s="24">
        <v>42</v>
      </c>
      <c r="M146" s="93"/>
      <c r="N146" s="93"/>
      <c r="O146" s="93"/>
      <c r="P146" s="93"/>
      <c r="Q146" s="93"/>
      <c r="R146" s="93"/>
      <c r="S146" s="93"/>
      <c r="T146" s="93"/>
      <c r="U146" s="93"/>
      <c r="V146" s="93"/>
      <c r="W146" s="93"/>
      <c r="X146" s="93"/>
      <c r="Y146" s="93"/>
      <c r="Z146" s="93"/>
      <c r="AA146" s="93"/>
      <c r="AB146" s="102"/>
      <c r="AC146" s="102"/>
      <c r="AD146" s="102"/>
      <c r="AE146" s="102"/>
      <c r="AF146" s="102"/>
      <c r="AG146" s="25"/>
      <c r="AH146" s="25"/>
      <c r="AI146" s="25"/>
      <c r="AJ146" s="25"/>
      <c r="AK146" s="25"/>
      <c r="AL146" s="25"/>
      <c r="AM146" s="25"/>
      <c r="AN146" s="25"/>
      <c r="AO146" s="25"/>
      <c r="AP146" s="25"/>
    </row>
    <row r="147" spans="12:42" x14ac:dyDescent="0.25">
      <c r="L147" s="24">
        <v>43</v>
      </c>
      <c r="M147" s="93"/>
      <c r="N147" s="93"/>
      <c r="O147" s="93"/>
      <c r="P147" s="93"/>
      <c r="Q147" s="93"/>
      <c r="R147" s="93"/>
      <c r="S147" s="93"/>
      <c r="T147" s="93"/>
      <c r="U147" s="93"/>
      <c r="V147" s="93"/>
      <c r="W147" s="93"/>
      <c r="X147" s="93"/>
      <c r="Y147" s="93"/>
      <c r="Z147" s="93"/>
      <c r="AA147" s="93"/>
      <c r="AB147" s="102"/>
      <c r="AC147" s="102"/>
      <c r="AD147" s="102"/>
      <c r="AE147" s="102"/>
      <c r="AF147" s="102"/>
      <c r="AG147" s="25"/>
      <c r="AH147" s="25"/>
      <c r="AI147" s="25"/>
      <c r="AJ147" s="25"/>
      <c r="AK147" s="25"/>
      <c r="AL147" s="25"/>
      <c r="AM147" s="25"/>
      <c r="AN147" s="25"/>
      <c r="AO147" s="25"/>
      <c r="AP147" s="25"/>
    </row>
    <row r="148" spans="12:42" x14ac:dyDescent="0.25">
      <c r="L148" s="24">
        <v>44</v>
      </c>
      <c r="M148" s="93"/>
      <c r="N148" s="93"/>
      <c r="O148" s="93"/>
      <c r="P148" s="93"/>
      <c r="Q148" s="93"/>
      <c r="R148" s="93"/>
      <c r="S148" s="93"/>
      <c r="T148" s="93"/>
      <c r="U148" s="93"/>
      <c r="V148" s="93"/>
      <c r="W148" s="93"/>
      <c r="X148" s="93"/>
      <c r="Y148" s="93"/>
      <c r="Z148" s="93"/>
      <c r="AA148" s="93"/>
      <c r="AB148" s="102"/>
      <c r="AC148" s="102"/>
      <c r="AD148" s="102"/>
      <c r="AE148" s="102"/>
      <c r="AF148" s="102"/>
      <c r="AG148" s="25"/>
      <c r="AH148" s="25"/>
      <c r="AI148" s="25"/>
      <c r="AJ148" s="25"/>
      <c r="AK148" s="25"/>
      <c r="AL148" s="25"/>
      <c r="AM148" s="25"/>
      <c r="AN148" s="25"/>
      <c r="AO148" s="25"/>
      <c r="AP148" s="25"/>
    </row>
    <row r="149" spans="12:42" x14ac:dyDescent="0.25">
      <c r="L149" s="24">
        <v>45</v>
      </c>
      <c r="M149" s="93"/>
      <c r="N149" s="93"/>
      <c r="O149" s="93"/>
      <c r="P149" s="93"/>
      <c r="Q149" s="93"/>
      <c r="R149" s="93"/>
      <c r="S149" s="93"/>
      <c r="T149" s="93"/>
      <c r="U149" s="93"/>
      <c r="V149" s="93"/>
      <c r="W149" s="93"/>
      <c r="X149" s="93"/>
      <c r="Y149" s="93"/>
      <c r="Z149" s="93"/>
      <c r="AA149" s="93"/>
      <c r="AB149" s="102"/>
      <c r="AC149" s="102"/>
      <c r="AD149" s="102"/>
      <c r="AE149" s="102"/>
      <c r="AF149" s="102"/>
      <c r="AG149" s="25"/>
      <c r="AH149" s="25"/>
      <c r="AI149" s="25"/>
      <c r="AJ149" s="25"/>
      <c r="AK149" s="25"/>
      <c r="AL149" s="25"/>
      <c r="AM149" s="25"/>
      <c r="AN149" s="25"/>
      <c r="AO149" s="25"/>
      <c r="AP149" s="25"/>
    </row>
    <row r="150" spans="12:42" x14ac:dyDescent="0.25">
      <c r="L150" s="24">
        <v>46</v>
      </c>
      <c r="M150" s="93"/>
      <c r="N150" s="93"/>
      <c r="O150" s="93"/>
      <c r="P150" s="93"/>
      <c r="Q150" s="93"/>
      <c r="R150" s="93"/>
      <c r="S150" s="93"/>
      <c r="T150" s="93"/>
      <c r="U150" s="93"/>
      <c r="V150" s="93"/>
      <c r="W150" s="93"/>
      <c r="X150" s="93"/>
      <c r="Y150" s="93"/>
      <c r="Z150" s="93"/>
      <c r="AA150" s="93"/>
      <c r="AB150" s="102"/>
      <c r="AC150" s="102"/>
      <c r="AD150" s="102"/>
      <c r="AE150" s="102"/>
      <c r="AF150" s="102"/>
      <c r="AG150" s="25"/>
      <c r="AH150" s="25"/>
      <c r="AI150" s="25"/>
      <c r="AJ150" s="25"/>
      <c r="AK150" s="25"/>
      <c r="AL150" s="25"/>
      <c r="AM150" s="25"/>
      <c r="AN150" s="25"/>
      <c r="AO150" s="25"/>
      <c r="AP150" s="25"/>
    </row>
    <row r="151" spans="12:42" x14ac:dyDescent="0.25">
      <c r="L151" s="24">
        <v>47</v>
      </c>
      <c r="M151" s="93"/>
      <c r="N151" s="93"/>
      <c r="O151" s="93"/>
      <c r="P151" s="93"/>
      <c r="Q151" s="93"/>
      <c r="R151" s="93"/>
      <c r="S151" s="93"/>
      <c r="T151" s="93"/>
      <c r="U151" s="93"/>
      <c r="V151" s="93"/>
      <c r="W151" s="93"/>
      <c r="X151" s="93"/>
      <c r="Y151" s="93"/>
      <c r="Z151" s="93"/>
      <c r="AA151" s="93"/>
      <c r="AB151" s="102"/>
      <c r="AC151" s="102"/>
      <c r="AD151" s="102"/>
      <c r="AE151" s="102"/>
      <c r="AF151" s="102"/>
      <c r="AG151" s="25"/>
      <c r="AH151" s="25"/>
      <c r="AI151" s="25"/>
      <c r="AJ151" s="25"/>
      <c r="AK151" s="25"/>
      <c r="AL151" s="25"/>
      <c r="AM151" s="25"/>
      <c r="AN151" s="25"/>
      <c r="AO151" s="25"/>
      <c r="AP151" s="25"/>
    </row>
    <row r="152" spans="12:42" x14ac:dyDescent="0.25">
      <c r="L152" s="24">
        <v>48</v>
      </c>
      <c r="M152" s="93"/>
      <c r="N152" s="93"/>
      <c r="O152" s="93"/>
      <c r="P152" s="93"/>
      <c r="Q152" s="93"/>
      <c r="R152" s="93"/>
      <c r="S152" s="93"/>
      <c r="T152" s="93"/>
      <c r="U152" s="93"/>
      <c r="V152" s="93"/>
      <c r="W152" s="93"/>
      <c r="X152" s="93"/>
      <c r="Y152" s="93"/>
      <c r="Z152" s="93"/>
      <c r="AA152" s="93"/>
      <c r="AB152" s="102"/>
      <c r="AC152" s="102"/>
      <c r="AD152" s="102"/>
      <c r="AE152" s="102"/>
      <c r="AF152" s="102"/>
      <c r="AG152" s="25"/>
      <c r="AH152" s="25"/>
      <c r="AI152" s="25"/>
      <c r="AJ152" s="25"/>
      <c r="AK152" s="25"/>
      <c r="AL152" s="25"/>
      <c r="AM152" s="25"/>
      <c r="AN152" s="25"/>
      <c r="AO152" s="25"/>
      <c r="AP152" s="25"/>
    </row>
    <row r="153" spans="12:42" x14ac:dyDescent="0.25">
      <c r="L153" s="24">
        <v>49</v>
      </c>
      <c r="M153" s="93"/>
      <c r="N153" s="93"/>
      <c r="O153" s="93"/>
      <c r="P153" s="93"/>
      <c r="Q153" s="93"/>
      <c r="R153" s="93"/>
      <c r="S153" s="93"/>
      <c r="T153" s="93"/>
      <c r="U153" s="93"/>
      <c r="V153" s="93"/>
      <c r="W153" s="93"/>
      <c r="X153" s="93"/>
      <c r="Y153" s="93"/>
      <c r="Z153" s="93"/>
      <c r="AA153" s="93"/>
      <c r="AB153" s="102"/>
      <c r="AC153" s="102"/>
      <c r="AD153" s="102"/>
      <c r="AE153" s="102"/>
      <c r="AF153" s="102"/>
      <c r="AG153" s="25"/>
      <c r="AH153" s="25"/>
      <c r="AI153" s="25"/>
      <c r="AJ153" s="25"/>
      <c r="AK153" s="25"/>
      <c r="AL153" s="25"/>
      <c r="AM153" s="25"/>
      <c r="AN153" s="25"/>
      <c r="AO153" s="25"/>
      <c r="AP153" s="25"/>
    </row>
    <row r="154" spans="12:42" x14ac:dyDescent="0.25">
      <c r="L154" s="24">
        <v>50</v>
      </c>
      <c r="M154" s="93"/>
      <c r="N154" s="93"/>
      <c r="O154" s="93"/>
      <c r="P154" s="93"/>
      <c r="Q154" s="93"/>
      <c r="R154" s="93"/>
      <c r="S154" s="93"/>
      <c r="T154" s="93"/>
      <c r="U154" s="93"/>
      <c r="V154" s="93"/>
      <c r="W154" s="93"/>
      <c r="X154" s="93"/>
      <c r="Y154" s="93"/>
      <c r="Z154" s="93"/>
      <c r="AA154" s="93"/>
      <c r="AB154" s="102"/>
      <c r="AC154" s="102"/>
      <c r="AD154" s="102"/>
      <c r="AE154" s="102"/>
      <c r="AF154" s="102"/>
      <c r="AG154" s="25"/>
      <c r="AH154" s="25"/>
      <c r="AI154" s="25"/>
      <c r="AJ154" s="25"/>
      <c r="AK154" s="25"/>
      <c r="AL154" s="25"/>
      <c r="AM154" s="25"/>
      <c r="AN154" s="25"/>
      <c r="AO154" s="25"/>
      <c r="AP154" s="25"/>
    </row>
    <row r="155" spans="12:42" x14ac:dyDescent="0.25">
      <c r="L155" s="24">
        <v>51</v>
      </c>
      <c r="M155" s="93"/>
      <c r="N155" s="93"/>
      <c r="O155" s="93"/>
      <c r="P155" s="93"/>
      <c r="Q155" s="93"/>
      <c r="R155" s="93"/>
      <c r="S155" s="93"/>
      <c r="T155" s="93"/>
      <c r="U155" s="93"/>
      <c r="V155" s="93"/>
      <c r="W155" s="93"/>
      <c r="X155" s="93"/>
      <c r="Y155" s="93"/>
      <c r="Z155" s="93"/>
      <c r="AA155" s="93"/>
      <c r="AB155" s="102"/>
      <c r="AC155" s="102"/>
      <c r="AD155" s="102"/>
      <c r="AE155" s="102"/>
      <c r="AF155" s="102"/>
      <c r="AG155" s="25"/>
      <c r="AH155" s="25"/>
      <c r="AI155" s="25"/>
      <c r="AJ155" s="25"/>
      <c r="AK155" s="25"/>
      <c r="AL155" s="25"/>
      <c r="AM155" s="25"/>
      <c r="AN155" s="25"/>
      <c r="AO155" s="25"/>
      <c r="AP155" s="25"/>
    </row>
    <row r="156" spans="12:42" x14ac:dyDescent="0.25">
      <c r="L156" s="24">
        <v>52</v>
      </c>
      <c r="M156" s="93"/>
      <c r="N156" s="93"/>
      <c r="O156" s="93"/>
      <c r="P156" s="93"/>
      <c r="Q156" s="93"/>
      <c r="R156" s="93"/>
      <c r="S156" s="93"/>
      <c r="T156" s="93"/>
      <c r="U156" s="93"/>
      <c r="V156" s="93"/>
      <c r="W156" s="93"/>
      <c r="X156" s="93"/>
      <c r="Y156" s="93"/>
      <c r="Z156" s="93"/>
      <c r="AA156" s="93"/>
      <c r="AB156" s="102"/>
      <c r="AC156" s="102"/>
      <c r="AD156" s="102"/>
      <c r="AE156" s="102"/>
      <c r="AF156" s="102"/>
      <c r="AG156" s="25"/>
      <c r="AH156" s="25"/>
      <c r="AI156" s="25"/>
      <c r="AJ156" s="25"/>
      <c r="AK156" s="25"/>
      <c r="AL156" s="25"/>
      <c r="AM156" s="25"/>
      <c r="AN156" s="25"/>
      <c r="AO156" s="25"/>
      <c r="AP156" s="25"/>
    </row>
    <row r="157" spans="12:42" x14ac:dyDescent="0.25">
      <c r="L157" s="24">
        <v>53</v>
      </c>
      <c r="M157" s="93"/>
      <c r="N157" s="93"/>
      <c r="O157" s="93"/>
      <c r="P157" s="93"/>
      <c r="Q157" s="93"/>
      <c r="R157" s="93"/>
      <c r="S157" s="93"/>
      <c r="T157" s="93"/>
      <c r="U157" s="93"/>
      <c r="V157" s="93"/>
      <c r="W157" s="93"/>
      <c r="X157" s="93"/>
      <c r="Y157" s="93"/>
      <c r="Z157" s="93"/>
      <c r="AA157" s="93"/>
      <c r="AB157" s="102"/>
      <c r="AC157" s="102"/>
      <c r="AD157" s="102"/>
      <c r="AE157" s="102"/>
      <c r="AF157" s="102"/>
      <c r="AG157" s="25"/>
      <c r="AH157" s="25"/>
      <c r="AI157" s="25"/>
      <c r="AJ157" s="25"/>
      <c r="AK157" s="25"/>
      <c r="AL157" s="25"/>
      <c r="AM157" s="25"/>
      <c r="AN157" s="25"/>
      <c r="AO157" s="25"/>
      <c r="AP157" s="25"/>
    </row>
    <row r="158" spans="12:42" x14ac:dyDescent="0.25">
      <c r="L158" s="24">
        <v>54</v>
      </c>
      <c r="M158" s="93"/>
      <c r="N158" s="93"/>
      <c r="O158" s="93"/>
      <c r="P158" s="93"/>
      <c r="Q158" s="93"/>
      <c r="R158" s="93"/>
      <c r="S158" s="93"/>
      <c r="T158" s="93"/>
      <c r="U158" s="93"/>
      <c r="V158" s="93"/>
      <c r="W158" s="93"/>
      <c r="X158" s="93"/>
      <c r="Y158" s="93"/>
      <c r="Z158" s="93"/>
      <c r="AA158" s="93"/>
      <c r="AB158" s="102"/>
      <c r="AC158" s="102"/>
      <c r="AD158" s="102"/>
      <c r="AE158" s="102"/>
      <c r="AF158" s="102"/>
      <c r="AG158" s="25"/>
      <c r="AH158" s="25"/>
      <c r="AI158" s="25"/>
      <c r="AJ158" s="25"/>
      <c r="AK158" s="25"/>
      <c r="AL158" s="25"/>
      <c r="AM158" s="25"/>
      <c r="AN158" s="25"/>
      <c r="AO158" s="25"/>
      <c r="AP158" s="25"/>
    </row>
    <row r="159" spans="12:42" x14ac:dyDescent="0.25">
      <c r="L159" s="24">
        <v>55</v>
      </c>
      <c r="M159" s="93"/>
      <c r="N159" s="93"/>
      <c r="O159" s="93"/>
      <c r="P159" s="93"/>
      <c r="Q159" s="93"/>
      <c r="R159" s="93"/>
      <c r="S159" s="93"/>
      <c r="T159" s="93"/>
      <c r="U159" s="93"/>
      <c r="V159" s="93"/>
      <c r="W159" s="93"/>
      <c r="X159" s="93"/>
      <c r="Y159" s="93"/>
      <c r="Z159" s="93"/>
      <c r="AA159" s="93"/>
      <c r="AB159" s="102"/>
      <c r="AC159" s="102"/>
      <c r="AD159" s="102"/>
      <c r="AE159" s="102"/>
      <c r="AF159" s="102"/>
      <c r="AG159" s="25"/>
      <c r="AH159" s="25"/>
      <c r="AI159" s="25"/>
      <c r="AJ159" s="25"/>
      <c r="AK159" s="25"/>
      <c r="AL159" s="25"/>
      <c r="AM159" s="25"/>
      <c r="AN159" s="25"/>
      <c r="AO159" s="25"/>
      <c r="AP159" s="25"/>
    </row>
    <row r="160" spans="12:42" x14ac:dyDescent="0.25">
      <c r="L160" s="24">
        <v>56</v>
      </c>
      <c r="M160" s="93"/>
      <c r="N160" s="93"/>
      <c r="O160" s="93"/>
      <c r="P160" s="93"/>
      <c r="Q160" s="93"/>
      <c r="R160" s="93"/>
      <c r="S160" s="93"/>
      <c r="T160" s="93"/>
      <c r="U160" s="93"/>
      <c r="V160" s="93"/>
      <c r="W160" s="93"/>
      <c r="X160" s="93"/>
      <c r="Y160" s="93"/>
      <c r="Z160" s="93"/>
      <c r="AA160" s="93"/>
      <c r="AB160" s="102"/>
      <c r="AC160" s="102"/>
      <c r="AD160" s="102"/>
      <c r="AE160" s="102"/>
      <c r="AF160" s="102"/>
      <c r="AG160" s="25"/>
      <c r="AH160" s="25"/>
      <c r="AI160" s="25"/>
      <c r="AJ160" s="25"/>
      <c r="AK160" s="25"/>
      <c r="AL160" s="25"/>
      <c r="AM160" s="25"/>
      <c r="AN160" s="25"/>
      <c r="AO160" s="25"/>
      <c r="AP160" s="25"/>
    </row>
    <row r="161" spans="12:42" x14ac:dyDescent="0.25">
      <c r="L161" s="24">
        <v>57</v>
      </c>
      <c r="M161" s="93"/>
      <c r="N161" s="93"/>
      <c r="O161" s="93"/>
      <c r="P161" s="93"/>
      <c r="Q161" s="93"/>
      <c r="R161" s="93"/>
      <c r="S161" s="93"/>
      <c r="T161" s="93"/>
      <c r="U161" s="93"/>
      <c r="V161" s="93"/>
      <c r="W161" s="93"/>
      <c r="X161" s="93"/>
      <c r="Y161" s="93"/>
      <c r="Z161" s="93"/>
      <c r="AA161" s="93"/>
      <c r="AB161" s="102"/>
      <c r="AC161" s="102"/>
      <c r="AD161" s="102"/>
      <c r="AE161" s="102"/>
      <c r="AF161" s="102"/>
      <c r="AG161" s="25"/>
      <c r="AH161" s="25"/>
      <c r="AI161" s="25"/>
      <c r="AJ161" s="25"/>
      <c r="AK161" s="25"/>
      <c r="AL161" s="25"/>
      <c r="AM161" s="25"/>
      <c r="AN161" s="25"/>
      <c r="AO161" s="25"/>
      <c r="AP161" s="25"/>
    </row>
    <row r="162" spans="12:42" x14ac:dyDescent="0.25">
      <c r="L162" s="24">
        <v>58</v>
      </c>
      <c r="M162" s="93"/>
      <c r="N162" s="93"/>
      <c r="O162" s="93"/>
      <c r="P162" s="93"/>
      <c r="Q162" s="93"/>
      <c r="R162" s="93"/>
      <c r="S162" s="93"/>
      <c r="T162" s="93"/>
      <c r="U162" s="93"/>
      <c r="V162" s="93"/>
      <c r="W162" s="93"/>
      <c r="X162" s="93"/>
      <c r="Y162" s="93"/>
      <c r="Z162" s="93"/>
      <c r="AA162" s="93"/>
      <c r="AB162" s="102"/>
      <c r="AC162" s="102"/>
      <c r="AD162" s="102"/>
      <c r="AE162" s="102"/>
      <c r="AF162" s="102"/>
      <c r="AG162" s="25"/>
      <c r="AH162" s="25"/>
      <c r="AI162" s="25"/>
      <c r="AJ162" s="25"/>
      <c r="AK162" s="25"/>
      <c r="AL162" s="25"/>
      <c r="AM162" s="25"/>
      <c r="AN162" s="25"/>
      <c r="AO162" s="25"/>
      <c r="AP162" s="25"/>
    </row>
    <row r="163" spans="12:42" x14ac:dyDescent="0.25">
      <c r="L163" s="24">
        <v>59</v>
      </c>
      <c r="M163" s="93"/>
      <c r="N163" s="93"/>
      <c r="O163" s="93"/>
      <c r="P163" s="93"/>
      <c r="Q163" s="93"/>
      <c r="R163" s="93"/>
      <c r="S163" s="93"/>
      <c r="T163" s="93"/>
      <c r="U163" s="93"/>
      <c r="V163" s="93"/>
      <c r="W163" s="93"/>
      <c r="X163" s="93"/>
      <c r="Y163" s="93"/>
      <c r="Z163" s="93"/>
      <c r="AA163" s="93"/>
      <c r="AB163" s="102"/>
      <c r="AC163" s="102"/>
      <c r="AD163" s="102"/>
      <c r="AE163" s="102"/>
      <c r="AF163" s="102"/>
      <c r="AG163" s="25"/>
      <c r="AH163" s="25"/>
      <c r="AI163" s="25"/>
      <c r="AJ163" s="25"/>
      <c r="AK163" s="25"/>
      <c r="AL163" s="25"/>
      <c r="AM163" s="25"/>
      <c r="AN163" s="25"/>
      <c r="AO163" s="25"/>
      <c r="AP163" s="25"/>
    </row>
    <row r="164" spans="12:42" x14ac:dyDescent="0.25">
      <c r="L164" s="24">
        <v>60</v>
      </c>
      <c r="M164" s="93"/>
      <c r="N164" s="93"/>
      <c r="O164" s="93"/>
      <c r="P164" s="93"/>
      <c r="Q164" s="93"/>
      <c r="R164" s="93"/>
      <c r="S164" s="93"/>
      <c r="T164" s="93"/>
      <c r="U164" s="93"/>
      <c r="V164" s="93"/>
      <c r="W164" s="93"/>
      <c r="X164" s="93"/>
      <c r="Y164" s="93"/>
      <c r="Z164" s="93"/>
      <c r="AA164" s="93"/>
      <c r="AB164" s="102"/>
      <c r="AC164" s="102"/>
      <c r="AD164" s="102"/>
      <c r="AE164" s="102"/>
      <c r="AF164" s="102"/>
      <c r="AG164" s="25"/>
      <c r="AH164" s="25"/>
      <c r="AI164" s="25"/>
      <c r="AJ164" s="25"/>
      <c r="AK164" s="25"/>
      <c r="AL164" s="25"/>
      <c r="AM164" s="25"/>
      <c r="AN164" s="25"/>
      <c r="AO164" s="25"/>
      <c r="AP164" s="25"/>
    </row>
    <row r="165" spans="12:42" x14ac:dyDescent="0.25">
      <c r="L165" s="24">
        <f t="shared" ref="L165:L174" si="3">IF(AND(ROW(K49)+12&gt;=$G$11,ROW(K49)+12&lt;=$I$11),ROW(K49)+12,"")</f>
        <v>61</v>
      </c>
      <c r="M165" s="26"/>
      <c r="N165" s="103"/>
      <c r="O165" s="103"/>
      <c r="P165" s="103"/>
      <c r="Q165" s="103"/>
      <c r="R165" s="103"/>
      <c r="S165" s="103"/>
      <c r="T165" s="103"/>
      <c r="U165" s="103"/>
      <c r="V165" s="103"/>
      <c r="W165" s="26"/>
      <c r="X165" s="26"/>
      <c r="Y165" s="26"/>
      <c r="Z165" s="26"/>
      <c r="AA165" s="26"/>
      <c r="AB165" s="104"/>
      <c r="AC165" s="104"/>
      <c r="AD165" s="104"/>
      <c r="AE165" s="104"/>
      <c r="AF165" s="104"/>
      <c r="AG165" s="25"/>
      <c r="AH165" s="25"/>
      <c r="AI165" s="25"/>
      <c r="AJ165" s="25"/>
      <c r="AK165" s="25"/>
      <c r="AL165" s="25"/>
      <c r="AM165" s="25"/>
      <c r="AN165" s="25"/>
      <c r="AO165" s="25"/>
      <c r="AP165" s="25"/>
    </row>
    <row r="166" spans="12:42" x14ac:dyDescent="0.25">
      <c r="L166" s="24">
        <f t="shared" si="3"/>
        <v>62</v>
      </c>
      <c r="M166" s="26"/>
      <c r="N166" s="103"/>
      <c r="O166" s="103"/>
      <c r="P166" s="103"/>
      <c r="Q166" s="103"/>
      <c r="R166" s="103"/>
      <c r="S166" s="103"/>
      <c r="T166" s="103"/>
      <c r="U166" s="103"/>
      <c r="V166" s="103"/>
      <c r="W166" s="26"/>
      <c r="X166" s="26"/>
      <c r="Y166" s="26"/>
      <c r="Z166" s="26"/>
      <c r="AA166" s="26"/>
      <c r="AB166" s="104"/>
      <c r="AC166" s="104"/>
      <c r="AD166" s="104"/>
      <c r="AE166" s="104"/>
      <c r="AF166" s="104"/>
      <c r="AG166" s="25"/>
      <c r="AH166" s="25"/>
      <c r="AI166" s="25"/>
      <c r="AJ166" s="25"/>
      <c r="AK166" s="25"/>
      <c r="AL166" s="25"/>
      <c r="AM166" s="25"/>
      <c r="AN166" s="25"/>
      <c r="AO166" s="25"/>
      <c r="AP166" s="25"/>
    </row>
    <row r="167" spans="12:42" x14ac:dyDescent="0.25">
      <c r="L167" s="24">
        <f t="shared" si="3"/>
        <v>63</v>
      </c>
      <c r="M167" s="26"/>
      <c r="N167" s="103"/>
      <c r="O167" s="103"/>
      <c r="P167" s="103"/>
      <c r="Q167" s="103"/>
      <c r="R167" s="103"/>
      <c r="S167" s="103"/>
      <c r="T167" s="103"/>
      <c r="U167" s="103"/>
      <c r="V167" s="103"/>
      <c r="W167" s="26"/>
      <c r="X167" s="26"/>
      <c r="Y167" s="26"/>
      <c r="Z167" s="26"/>
      <c r="AA167" s="26"/>
      <c r="AB167" s="104"/>
      <c r="AC167" s="104"/>
      <c r="AD167" s="104"/>
      <c r="AE167" s="104"/>
      <c r="AF167" s="104"/>
      <c r="AG167" s="25"/>
      <c r="AH167" s="25"/>
      <c r="AI167" s="25"/>
      <c r="AJ167" s="25"/>
      <c r="AK167" s="25"/>
      <c r="AL167" s="25"/>
      <c r="AM167" s="25"/>
      <c r="AN167" s="25"/>
      <c r="AO167" s="25"/>
      <c r="AP167" s="25"/>
    </row>
    <row r="168" spans="12:42" x14ac:dyDescent="0.25">
      <c r="L168" s="24">
        <f t="shared" si="3"/>
        <v>64</v>
      </c>
      <c r="M168" s="26"/>
      <c r="N168" s="103"/>
      <c r="O168" s="103"/>
      <c r="P168" s="103"/>
      <c r="Q168" s="103"/>
      <c r="R168" s="103"/>
      <c r="S168" s="103"/>
      <c r="T168" s="103"/>
      <c r="U168" s="103"/>
      <c r="V168" s="103"/>
      <c r="W168" s="26"/>
      <c r="X168" s="26"/>
      <c r="Y168" s="26"/>
      <c r="Z168" s="26"/>
      <c r="AA168" s="26"/>
      <c r="AB168" s="104"/>
      <c r="AC168" s="104"/>
      <c r="AD168" s="104"/>
      <c r="AE168" s="104"/>
      <c r="AF168" s="104"/>
      <c r="AG168" s="25"/>
      <c r="AH168" s="25"/>
      <c r="AI168" s="25"/>
      <c r="AJ168" s="25"/>
      <c r="AK168" s="25"/>
      <c r="AL168" s="25"/>
      <c r="AM168" s="25"/>
      <c r="AN168" s="25"/>
      <c r="AO168" s="25"/>
      <c r="AP168" s="25"/>
    </row>
    <row r="169" spans="12:42" x14ac:dyDescent="0.25">
      <c r="L169" s="24">
        <f t="shared" si="3"/>
        <v>65</v>
      </c>
      <c r="M169" s="26"/>
      <c r="N169" s="103"/>
      <c r="O169" s="103"/>
      <c r="P169" s="103"/>
      <c r="Q169" s="103"/>
      <c r="R169" s="104"/>
      <c r="S169" s="104"/>
      <c r="T169" s="104"/>
      <c r="U169" s="104"/>
      <c r="V169" s="104"/>
      <c r="W169" s="104"/>
      <c r="X169" s="104"/>
      <c r="Y169" s="104"/>
      <c r="Z169" s="104"/>
      <c r="AA169" s="104"/>
      <c r="AB169" s="104"/>
      <c r="AC169" s="104"/>
      <c r="AD169" s="104"/>
      <c r="AE169" s="104"/>
      <c r="AF169" s="104"/>
      <c r="AG169" s="25"/>
      <c r="AH169" s="25"/>
      <c r="AI169" s="25"/>
      <c r="AJ169" s="25"/>
      <c r="AK169" s="25"/>
      <c r="AL169" s="25"/>
      <c r="AM169" s="25"/>
      <c r="AN169" s="25"/>
      <c r="AO169" s="25"/>
      <c r="AP169" s="25"/>
    </row>
    <row r="170" spans="12:42" x14ac:dyDescent="0.25">
      <c r="L170" s="24" t="str">
        <f t="shared" si="3"/>
        <v/>
      </c>
      <c r="M170" s="104"/>
      <c r="N170" s="104"/>
      <c r="O170" s="104"/>
      <c r="P170" s="104"/>
      <c r="Q170" s="104"/>
      <c r="R170" s="104"/>
      <c r="S170" s="104"/>
      <c r="T170" s="104"/>
      <c r="U170" s="104"/>
      <c r="V170" s="104"/>
      <c r="W170" s="104"/>
      <c r="X170" s="104"/>
      <c r="Y170" s="104"/>
      <c r="Z170" s="104"/>
      <c r="AA170" s="104"/>
      <c r="AB170" s="104"/>
      <c r="AC170" s="104"/>
      <c r="AD170" s="104"/>
      <c r="AE170" s="104"/>
      <c r="AF170" s="104"/>
      <c r="AG170" s="25"/>
      <c r="AH170" s="25"/>
      <c r="AI170" s="25"/>
      <c r="AJ170" s="25"/>
      <c r="AK170" s="25"/>
      <c r="AL170" s="25"/>
      <c r="AM170" s="25"/>
      <c r="AN170" s="25"/>
      <c r="AO170" s="25"/>
      <c r="AP170" s="25"/>
    </row>
    <row r="171" spans="12:42" x14ac:dyDescent="0.25">
      <c r="L171" s="24" t="str">
        <f t="shared" si="3"/>
        <v/>
      </c>
      <c r="M171" s="104"/>
      <c r="N171" s="104"/>
      <c r="O171" s="104"/>
      <c r="P171" s="104"/>
      <c r="Q171" s="104"/>
      <c r="R171" s="104"/>
      <c r="S171" s="104"/>
      <c r="T171" s="104"/>
      <c r="U171" s="104"/>
      <c r="V171" s="104"/>
      <c r="W171" s="104"/>
      <c r="X171" s="104"/>
      <c r="Y171" s="104"/>
      <c r="Z171" s="104"/>
      <c r="AA171" s="104"/>
      <c r="AB171" s="104"/>
      <c r="AC171" s="104"/>
      <c r="AD171" s="104"/>
      <c r="AE171" s="104"/>
      <c r="AF171" s="104"/>
      <c r="AG171" s="25"/>
      <c r="AH171" s="25"/>
      <c r="AI171" s="25"/>
      <c r="AJ171" s="25"/>
      <c r="AK171" s="25"/>
      <c r="AL171" s="25"/>
      <c r="AM171" s="25"/>
      <c r="AN171" s="25"/>
      <c r="AO171" s="25"/>
      <c r="AP171" s="25"/>
    </row>
    <row r="172" spans="12:42" x14ac:dyDescent="0.25">
      <c r="L172" s="24" t="str">
        <f t="shared" si="3"/>
        <v/>
      </c>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row>
    <row r="173" spans="12:42" x14ac:dyDescent="0.25">
      <c r="L173" s="24" t="str">
        <f t="shared" si="3"/>
        <v/>
      </c>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row>
    <row r="174" spans="12:42" x14ac:dyDescent="0.25">
      <c r="L174" s="24" t="str">
        <f t="shared" si="3"/>
        <v/>
      </c>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row>
  </sheetData>
  <sheetProtection algorithmName="SHA-512" hashValue="BDDcR3DZVJSRZRdYtZ8ukXeddhXadhmQK9X4H3F7cRERUlhLv6Qvm09mqVL3RXIwNcSD26UvHpcHDhFxQnJbxA==" saltValue="Cb4JUL4JZZg6563h3mYd4Q==" spinCount="100000" sheet="1" objects="1" scenarios="1"/>
  <mergeCells count="21">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 ref="F9:I9"/>
    <mergeCell ref="L3:L4"/>
    <mergeCell ref="M3:AP3"/>
    <mergeCell ref="F8:I8"/>
    <mergeCell ref="F6:I6"/>
    <mergeCell ref="F7:I7"/>
  </mergeCells>
  <conditionalFormatting sqref="L39:L58">
    <cfRule type="cellIs" dxfId="9" priority="9" stopIfTrue="1" operator="lessThan">
      <formula>0</formula>
    </cfRule>
  </conditionalFormatting>
  <conditionalFormatting sqref="AC8:AP52">
    <cfRule type="cellIs" dxfId="8" priority="8" operator="equal">
      <formula>0</formula>
    </cfRule>
  </conditionalFormatting>
  <conditionalFormatting sqref="AB8:AB52">
    <cfRule type="cellIs" dxfId="7" priority="7" operator="equal">
      <formula>0</formula>
    </cfRule>
  </conditionalFormatting>
  <conditionalFormatting sqref="L64:L116">
    <cfRule type="cellIs" dxfId="6" priority="6" stopIfTrue="1" operator="lessThan">
      <formula>0</formula>
    </cfRule>
  </conditionalFormatting>
  <conditionalFormatting sqref="AC66:AP110">
    <cfRule type="cellIs" dxfId="5" priority="5" operator="equal">
      <formula>0</formula>
    </cfRule>
  </conditionalFormatting>
  <conditionalFormatting sqref="AB66:AB110">
    <cfRule type="cellIs" dxfId="4" priority="4" operator="equal">
      <formula>0</formula>
    </cfRule>
  </conditionalFormatting>
  <conditionalFormatting sqref="L122:L174">
    <cfRule type="cellIs" dxfId="3" priority="3" stopIfTrue="1" operator="lessThan">
      <formula>0</formula>
    </cfRule>
  </conditionalFormatting>
  <conditionalFormatting sqref="AC124:AP168">
    <cfRule type="cellIs" dxfId="2" priority="2" operator="equal">
      <formula>0</formula>
    </cfRule>
  </conditionalFormatting>
  <conditionalFormatting sqref="AB124:AB168">
    <cfRule type="cellIs" dxfId="1" priority="1" operator="equal">
      <formula>0</formula>
    </cfRule>
  </conditionalFormatting>
  <dataValidations count="8">
    <dataValidation type="whole" operator="lessThanOrEqual" allowBlank="1" showInputMessage="1" showErrorMessage="1" sqref="F20:I20 F30:I33" xr:uid="{25A68145-D8C1-490C-B7D6-B36660A876AC}">
      <formula1>5000000000</formula1>
    </dataValidation>
    <dataValidation type="whole" allowBlank="1" showInputMessage="1" showErrorMessage="1" sqref="H12 G10:G11 I22 I10:I11 I34:I35 G34:G35 H36" xr:uid="{D826D884-20EE-4BCA-B8DC-1D5CAE107708}">
      <formula1>1</formula1>
      <formula2>30</formula2>
    </dataValidation>
    <dataValidation type="whole" allowBlank="1" showInputMessage="1" showErrorMessage="1" sqref="G23" xr:uid="{3D70F8B4-0F37-4AFC-AAD3-26AA6487885D}">
      <formula1>18</formula1>
      <formula2>60</formula2>
    </dataValidation>
    <dataValidation type="whole" allowBlank="1" showInputMessage="1" showErrorMessage="1" sqref="H24" xr:uid="{6687E293-FC61-421E-81CB-AC7D1F200C55}">
      <formula1>19</formula1>
      <formula2>75</formula2>
    </dataValidation>
    <dataValidation type="list" allowBlank="1" showInputMessage="1" showErrorMessage="1" sqref="F6:I9 F18:I18" xr:uid="{B3BCB6F2-828F-4ED3-86EF-5D9E33D4289A}">
      <formula1>"Direct Sales, Digital, Bancassurance, Syariah, POAJK, SMLI (Timor Leste)"</formula1>
    </dataValidation>
    <dataValidation type="list" allowBlank="1" showInputMessage="1" showErrorMessage="1" sqref="F21:I21" xr:uid="{0962D189-E63B-4C4B-9E21-104FA22425A7}">
      <formula1>"Konvensional, Syariah"</formula1>
    </dataValidation>
    <dataValidation type="whole" allowBlank="1" showInputMessage="1" showErrorMessage="1" sqref="G22" xr:uid="{E7B2AB09-8EC7-4C22-8AE3-74EF5A1D2895}">
      <formula1>0</formula1>
      <formula2>30</formula2>
    </dataValidation>
    <dataValidation type="whole" allowBlank="1" showInputMessage="1" showErrorMessage="1" sqref="I23" xr:uid="{BC9E62D5-264E-4974-BCCD-3A8A61CE1071}">
      <formula1>18</formula1>
      <formula2>70</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5" r:id="rId10" name="Check Box 3">
              <controlPr defaultSize="0" autoFill="0" autoLine="0" autoPict="0">
                <anchor moveWithCells="1">
                  <from>
                    <xdr:col>5</xdr:col>
                    <xdr:colOff>95250</xdr:colOff>
                    <xdr:row>2</xdr:row>
                    <xdr:rowOff>152400</xdr:rowOff>
                  </from>
                  <to>
                    <xdr:col>6</xdr:col>
                    <xdr:colOff>209550</xdr:colOff>
                    <xdr:row>4</xdr:row>
                    <xdr:rowOff>0</xdr:rowOff>
                  </to>
                </anchor>
              </controlPr>
            </control>
          </mc:Choice>
        </mc:AlternateContent>
        <mc:AlternateContent xmlns:mc="http://schemas.openxmlformats.org/markup-compatibility/2006">
          <mc:Choice Requires="x14">
            <control shapeId="3076" r:id="rId11" name="Check Box 4">
              <controlPr defaultSize="0" autoFill="0" autoLine="0" autoPict="0">
                <anchor moveWithCells="1">
                  <from>
                    <xdr:col>6</xdr:col>
                    <xdr:colOff>476250</xdr:colOff>
                    <xdr:row>2</xdr:row>
                    <xdr:rowOff>152400</xdr:rowOff>
                  </from>
                  <to>
                    <xdr:col>7</xdr:col>
                    <xdr:colOff>590550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P52"/>
  <sheetViews>
    <sheetView showGridLines="0" zoomScale="64" zoomScaleNormal="70" workbookViewId="0">
      <pane ySplit="2" topLeftCell="A3" activePane="bottomLeft" state="frozen"/>
      <selection pane="bottomLeft" activeCell="I21" sqref="I21"/>
    </sheetView>
  </sheetViews>
  <sheetFormatPr defaultColWidth="9" defaultRowHeight="15" x14ac:dyDescent="0.25"/>
  <cols>
    <col min="1" max="1" width="10.42578125" style="1" bestFit="1" customWidth="1"/>
    <col min="2" max="7" width="20.7109375" style="2" bestFit="1" customWidth="1"/>
    <col min="8" max="11" width="20.7109375" style="2" customWidth="1"/>
    <col min="12" max="13" width="20.7109375" style="2" bestFit="1" customWidth="1"/>
    <col min="14" max="15" width="20.7109375" style="1" bestFit="1" customWidth="1"/>
    <col min="16" max="16" width="20.7109375" style="1" customWidth="1"/>
    <col min="17" max="16384" width="9" style="1"/>
  </cols>
  <sheetData>
    <row r="1" spans="1:42" x14ac:dyDescent="0.25">
      <c r="A1" s="1" t="s">
        <v>97</v>
      </c>
      <c r="B1" s="124" t="s">
        <v>31</v>
      </c>
      <c r="C1" s="124"/>
      <c r="D1" s="124"/>
      <c r="E1" s="124"/>
      <c r="F1" s="124"/>
      <c r="G1" s="124"/>
      <c r="H1" s="124"/>
      <c r="I1" s="124"/>
      <c r="J1" s="124"/>
      <c r="K1" s="124"/>
      <c r="L1" s="124"/>
      <c r="M1" s="124"/>
      <c r="N1" s="124"/>
      <c r="O1" s="124"/>
      <c r="P1" s="2"/>
    </row>
    <row r="2" spans="1:42" x14ac:dyDescent="0.25">
      <c r="B2" s="94">
        <f>IF('Spek Produk'!$F$9="Syariah",Medic!B21,Medic!B12)</f>
        <v>0</v>
      </c>
      <c r="C2" s="94">
        <f>IF('Spek Produk'!$F$9="Syariah",Medic!C21,Medic!C12)</f>
        <v>100000001</v>
      </c>
      <c r="D2" s="94">
        <f>IF('Spek Produk'!$F$9="Syariah",Medic!D21,Medic!D12)</f>
        <v>500000001</v>
      </c>
      <c r="E2" s="94">
        <f>IF('Spek Produk'!$F$9="Syariah",Medic!E21,Medic!E12)</f>
        <v>800000001</v>
      </c>
      <c r="F2" s="94">
        <f>IF('Spek Produk'!$F$9="Syariah",Medic!F21,Medic!F12)</f>
        <v>1000000001</v>
      </c>
      <c r="G2" s="94">
        <f>IF('Spek Produk'!$F$9="Syariah",Medic!G21,Medic!G12)</f>
        <v>1500000001</v>
      </c>
      <c r="H2" s="94">
        <f>IF('Spek Produk'!$F$9="Syariah",Medic!H21,Medic!H12)</f>
        <v>4000000001</v>
      </c>
      <c r="I2" s="94">
        <f>IF('Spek Produk'!$F$9="Syariah",Medic!I21,Medic!I12)</f>
        <v>5000000001</v>
      </c>
      <c r="J2" s="94">
        <f>IF('Spek Produk'!$F$9="Syariah",Medic!J21,Medic!J12)</f>
        <v>7500000001</v>
      </c>
      <c r="K2" s="94">
        <f>IF('Spek Produk'!$F$9="Syariah",Medic!K21,Medic!K12)</f>
        <v>7500000001</v>
      </c>
      <c r="L2" s="94">
        <f>IF('Spek Produk'!$F$9="Syariah",Medic!L21,Medic!L12)</f>
        <v>7500000001</v>
      </c>
      <c r="M2" s="3"/>
      <c r="N2" s="3"/>
      <c r="O2" s="3"/>
      <c r="P2" s="3"/>
      <c r="R2" s="1" t="s">
        <v>24</v>
      </c>
    </row>
    <row r="3" spans="1:42" ht="15" customHeight="1" x14ac:dyDescent="0.25">
      <c r="A3" s="95">
        <f>IF('Spek Produk'!$F$9="Syariah",Medic!A22,Medic!A13)</f>
        <v>18</v>
      </c>
      <c r="B3" s="95" t="str">
        <f>IF('Spek Produk'!$F$9="Syariah",Medic!B22,Medic!B13)</f>
        <v>-</v>
      </c>
      <c r="C3" s="95" t="str">
        <f>IF('Spek Produk'!$F$9="Syariah",Medic!C22,Medic!C13)</f>
        <v>-</v>
      </c>
      <c r="D3" s="95" t="str">
        <f>IF('Spek Produk'!$F$9="Syariah",Medic!D22,Medic!D13)</f>
        <v>-</v>
      </c>
      <c r="E3" s="95" t="str">
        <f>IF('Spek Produk'!$F$9="Syariah",Medic!E22,Medic!E13)</f>
        <v>-</v>
      </c>
      <c r="F3" s="95" t="str">
        <f>IF('Spek Produk'!$F$9="Syariah",Medic!F22,Medic!F13)</f>
        <v>-</v>
      </c>
      <c r="G3" s="95" t="str">
        <f>IF('Spek Produk'!$F$9="Syariah",Medic!G22,Medic!G13)</f>
        <v>-</v>
      </c>
      <c r="H3" s="95" t="str">
        <f>IF('Spek Produk'!$F$9="Syariah",Medic!H22,Medic!H13)</f>
        <v>-</v>
      </c>
      <c r="I3" s="95" t="str">
        <f>IF('Spek Produk'!$F$9="Syariah",Medic!I22,Medic!I13)</f>
        <v>-</v>
      </c>
      <c r="J3" s="95" t="str">
        <f>IF('Spek Produk'!$F$9="Syariah",Medic!J22,Medic!J13)</f>
        <v>-</v>
      </c>
      <c r="K3" s="95" t="str">
        <f>IF('Spek Produk'!$F$9="Syariah",Medic!K22,Medic!K13)</f>
        <v>-</v>
      </c>
      <c r="L3" s="95" t="str">
        <f>IF('Spek Produk'!$F$9="Syariah",Medic!L22,Medic!L13)</f>
        <v>-</v>
      </c>
      <c r="M3" s="95"/>
      <c r="N3" s="2"/>
      <c r="O3" s="2"/>
      <c r="P3" s="2"/>
      <c r="R3" s="100" t="s">
        <v>22</v>
      </c>
      <c r="S3" s="101" t="s">
        <v>23</v>
      </c>
      <c r="T3" s="126" t="s">
        <v>30</v>
      </c>
      <c r="U3" s="126"/>
      <c r="V3" s="126"/>
      <c r="W3" s="126"/>
      <c r="X3" s="126"/>
      <c r="Y3" s="126"/>
      <c r="Z3" s="126"/>
      <c r="AA3" s="126"/>
      <c r="AB3" s="126"/>
      <c r="AC3" s="126"/>
      <c r="AD3" s="126"/>
      <c r="AE3" s="126"/>
      <c r="AF3" s="126"/>
      <c r="AG3" s="126"/>
      <c r="AH3" s="126"/>
      <c r="AI3" s="126"/>
      <c r="AJ3" s="126"/>
      <c r="AK3" s="126"/>
      <c r="AL3" s="126"/>
      <c r="AM3" s="126"/>
      <c r="AN3" s="126"/>
      <c r="AO3" s="126"/>
      <c r="AP3" s="126"/>
    </row>
    <row r="4" spans="1:42" ht="15" customHeight="1" x14ac:dyDescent="0.25">
      <c r="A4" s="95">
        <f>IF('Spek Produk'!$F$9="Syariah",Medic!A23,Medic!A14)</f>
        <v>45</v>
      </c>
      <c r="B4" s="95" t="str">
        <f>IF('Spek Produk'!$F$9="Syariah",Medic!B23,Medic!B14)</f>
        <v>Non Medical Check Up</v>
      </c>
      <c r="C4" s="95" t="str">
        <f>IF('Spek Produk'!$F$9="Syariah",Medic!C23,Medic!C14)</f>
        <v>Non Medical Check Up</v>
      </c>
      <c r="D4" s="95" t="str">
        <f>IF('Spek Produk'!$F$9="Syariah",Medic!D23,Medic!D14)</f>
        <v>Non Medical Check Up</v>
      </c>
      <c r="E4" s="95" t="str">
        <f>IF('Spek Produk'!$F$9="Syariah",Medic!E23,Medic!E14)</f>
        <v>Non Medical Check Up</v>
      </c>
      <c r="F4" s="95" t="str">
        <f>IF('Spek Produk'!$F$9="Syariah",Medic!F23,Medic!F14)</f>
        <v>-</v>
      </c>
      <c r="G4" s="95" t="str">
        <f>IF('Spek Produk'!$F$9="Syariah",Medic!G23,Medic!G14)</f>
        <v>-</v>
      </c>
      <c r="H4" s="95" t="str">
        <f>IF('Spek Produk'!$F$9="Syariah",Medic!H23,Medic!H14)</f>
        <v>-</v>
      </c>
      <c r="I4" s="95" t="str">
        <f>IF('Spek Produk'!$F$9="Syariah",Medic!I23,Medic!I14)</f>
        <v>-</v>
      </c>
      <c r="J4" s="95" t="str">
        <f>IF('Spek Produk'!$F$9="Syariah",Medic!J23,Medic!J14)</f>
        <v>-</v>
      </c>
      <c r="K4" s="95" t="str">
        <f>IF('Spek Produk'!$F$9="Syariah",Medic!K23,Medic!K14)</f>
        <v>-</v>
      </c>
      <c r="L4" s="95" t="str">
        <f>IF('Spek Produk'!$F$9="Syariah",Medic!L23,Medic!L14)</f>
        <v>-</v>
      </c>
      <c r="M4" s="95"/>
      <c r="N4" s="2"/>
      <c r="O4" s="2"/>
      <c r="P4" s="2"/>
      <c r="R4" s="100" t="s">
        <v>20</v>
      </c>
      <c r="S4" s="101" t="s">
        <v>23</v>
      </c>
      <c r="T4" s="125" t="str">
        <f>"Non Medis (Mengisi "&amp;IF('Spek Produk'!F9="Konvensional","SPAJK","SPAJP")&amp;")."</f>
        <v>Non Medis (Mengisi SPAJP).</v>
      </c>
      <c r="U4" s="125"/>
      <c r="V4" s="125"/>
      <c r="W4" s="125"/>
      <c r="X4" s="125"/>
      <c r="Y4" s="125"/>
      <c r="Z4" s="125"/>
      <c r="AA4" s="125"/>
      <c r="AB4" s="125"/>
      <c r="AC4" s="125"/>
      <c r="AD4" s="125"/>
      <c r="AE4" s="125"/>
      <c r="AF4" s="125"/>
      <c r="AG4" s="125"/>
      <c r="AH4" s="125"/>
      <c r="AI4" s="125"/>
      <c r="AJ4" s="125"/>
      <c r="AK4" s="125"/>
      <c r="AL4" s="125"/>
      <c r="AM4" s="125"/>
      <c r="AN4" s="125"/>
      <c r="AO4" s="125"/>
      <c r="AP4" s="125"/>
    </row>
    <row r="5" spans="1:42" ht="15" customHeight="1" x14ac:dyDescent="0.25">
      <c r="A5" s="95">
        <f>IF('Spek Produk'!$F$9="Syariah",Medic!A24,Medic!A15)</f>
        <v>51</v>
      </c>
      <c r="B5" s="95" t="str">
        <f>IF('Spek Produk'!$F$9="Syariah",Medic!B24,Medic!B15)</f>
        <v>Non Medical Check Up</v>
      </c>
      <c r="C5" s="95" t="str">
        <f>IF('Spek Produk'!$F$9="Syariah",Medic!C24,Medic!C15)</f>
        <v>Non Medical Check Up</v>
      </c>
      <c r="D5" s="95" t="str">
        <f>IF('Spek Produk'!$F$9="Syariah",Medic!D24,Medic!D15)</f>
        <v>Non Medical Check Up</v>
      </c>
      <c r="E5" s="95" t="str">
        <f>IF('Spek Produk'!$F$9="Syariah",Medic!E24,Medic!E15)</f>
        <v>Medical Check Up</v>
      </c>
      <c r="F5" s="95" t="str">
        <f>IF('Spek Produk'!$F$9="Syariah",Medic!F24,Medic!F15)</f>
        <v>-</v>
      </c>
      <c r="G5" s="95" t="str">
        <f>IF('Spek Produk'!$F$9="Syariah",Medic!G24,Medic!G15)</f>
        <v>-</v>
      </c>
      <c r="H5" s="95" t="str">
        <f>IF('Spek Produk'!$F$9="Syariah",Medic!H24,Medic!H15)</f>
        <v>-</v>
      </c>
      <c r="I5" s="95" t="str">
        <f>IF('Spek Produk'!$F$9="Syariah",Medic!I24,Medic!I15)</f>
        <v>-</v>
      </c>
      <c r="J5" s="95" t="str">
        <f>IF('Spek Produk'!$F$9="Syariah",Medic!J24,Medic!J15)</f>
        <v>-</v>
      </c>
      <c r="K5" s="95" t="str">
        <f>IF('Spek Produk'!$F$9="Syariah",Medic!K24,Medic!K15)</f>
        <v>-</v>
      </c>
      <c r="L5" s="95" t="str">
        <f>IF('Spek Produk'!$F$9="Syariah",Medic!L24,Medic!L15)</f>
        <v>-</v>
      </c>
      <c r="M5" s="95"/>
      <c r="N5" s="2"/>
      <c r="O5" s="2"/>
      <c r="P5" s="2"/>
      <c r="R5" s="100" t="s">
        <v>21</v>
      </c>
      <c r="S5" s="101" t="s">
        <v>23</v>
      </c>
      <c r="T5" s="125" t="str">
        <f>IF('Spek Produk'!F9="Konvensional","SPAJK","SPAJP")&amp;", LPK, Urin Lengkap."</f>
        <v>SPAJP, LPK, Urin Lengkap.</v>
      </c>
      <c r="U5" s="125"/>
      <c r="V5" s="125"/>
      <c r="W5" s="125"/>
      <c r="X5" s="125"/>
      <c r="Y5" s="125"/>
      <c r="Z5" s="125"/>
      <c r="AA5" s="125"/>
      <c r="AB5" s="125"/>
      <c r="AC5" s="125"/>
      <c r="AD5" s="125"/>
      <c r="AE5" s="125"/>
      <c r="AF5" s="125"/>
      <c r="AG5" s="125"/>
      <c r="AH5" s="125"/>
      <c r="AI5" s="125"/>
      <c r="AJ5" s="125"/>
      <c r="AK5" s="125"/>
      <c r="AL5" s="125"/>
      <c r="AM5" s="125"/>
      <c r="AN5" s="125"/>
      <c r="AO5" s="125"/>
      <c r="AP5" s="125"/>
    </row>
    <row r="6" spans="1:42" ht="15" customHeight="1" x14ac:dyDescent="0.25">
      <c r="A6" s="95">
        <f>IF('Spek Produk'!$F$9="Syariah",Medic!A25,Medic!A16)</f>
        <v>56</v>
      </c>
      <c r="B6" s="95" t="str">
        <f>IF('Spek Produk'!$F$9="Syariah",Medic!B25,Medic!B16)</f>
        <v>Non Medical Check Up</v>
      </c>
      <c r="C6" s="95" t="str">
        <f>IF('Spek Produk'!$F$9="Syariah",Medic!C25,Medic!C16)</f>
        <v>Non Medical Check Up</v>
      </c>
      <c r="D6" s="95" t="str">
        <f>IF('Spek Produk'!$F$9="Syariah",Medic!D25,Medic!D16)</f>
        <v>Medical Check Up</v>
      </c>
      <c r="E6" s="95" t="str">
        <f>IF('Spek Produk'!$F$9="Syariah",Medic!E25,Medic!E16)</f>
        <v>Medical Check Up</v>
      </c>
      <c r="F6" s="95" t="str">
        <f>IF('Spek Produk'!$F$9="Syariah",Medic!F25,Medic!F16)</f>
        <v>-</v>
      </c>
      <c r="G6" s="95" t="str">
        <f>IF('Spek Produk'!$F$9="Syariah",Medic!G25,Medic!G16)</f>
        <v>-</v>
      </c>
      <c r="H6" s="95" t="str">
        <f>IF('Spek Produk'!$F$9="Syariah",Medic!H25,Medic!H16)</f>
        <v>-</v>
      </c>
      <c r="I6" s="95" t="str">
        <f>IF('Spek Produk'!$F$9="Syariah",Medic!I25,Medic!I16)</f>
        <v>-</v>
      </c>
      <c r="J6" s="95" t="str">
        <f>IF('Spek Produk'!$F$9="Syariah",Medic!J25,Medic!J16)</f>
        <v>-</v>
      </c>
      <c r="K6" s="95" t="str">
        <f>IF('Spek Produk'!$F$9="Syariah",Medic!K25,Medic!K16)</f>
        <v>-</v>
      </c>
      <c r="L6" s="95" t="str">
        <f>IF('Spek Produk'!$F$9="Syariah",Medic!L25,Medic!L16)</f>
        <v>-</v>
      </c>
      <c r="M6" s="95"/>
      <c r="N6" s="2"/>
      <c r="O6" s="2"/>
      <c r="P6" s="2"/>
      <c r="R6" s="100" t="s">
        <v>19</v>
      </c>
      <c r="S6" s="101" t="s">
        <v>23</v>
      </c>
      <c r="T6" s="125" t="str">
        <f>IF('Spek Produk'!F9="Konvensional","SPAJK","SPAJP")&amp;", LPK, Urin Lengkap, Analisa Lemak Darah, Analisa Gula Darah, EKG, Rontgen Dada."</f>
        <v>SPAJP, LPK, Urin Lengkap, Analisa Lemak Darah, Analisa Gula Darah, EKG, Rontgen Dada.</v>
      </c>
      <c r="U6" s="125"/>
      <c r="V6" s="125"/>
      <c r="W6" s="125"/>
      <c r="X6" s="125"/>
      <c r="Y6" s="125"/>
      <c r="Z6" s="125"/>
      <c r="AA6" s="125"/>
      <c r="AB6" s="125"/>
      <c r="AC6" s="125"/>
      <c r="AD6" s="125"/>
      <c r="AE6" s="125"/>
      <c r="AF6" s="125"/>
      <c r="AG6" s="125"/>
      <c r="AH6" s="125"/>
      <c r="AI6" s="125"/>
      <c r="AJ6" s="125"/>
      <c r="AK6" s="125"/>
      <c r="AL6" s="125"/>
      <c r="AM6" s="125"/>
      <c r="AN6" s="125"/>
      <c r="AO6" s="125"/>
      <c r="AP6" s="125"/>
    </row>
    <row r="7" spans="1:42" ht="15" customHeight="1" x14ac:dyDescent="0.25">
      <c r="A7" s="95">
        <f>IF('Spek Produk'!$F$9="Syariah",Medic!A26,Medic!A17)</f>
        <v>61</v>
      </c>
      <c r="B7" s="95" t="str">
        <f>IF('Spek Produk'!$F$9="Syariah",Medic!B26,Medic!B17)</f>
        <v>Non Medical Check Up</v>
      </c>
      <c r="C7" s="95" t="str">
        <f>IF('Spek Produk'!$F$9="Syariah",Medic!C26,Medic!C17)</f>
        <v>Non Medical Check Up</v>
      </c>
      <c r="D7" s="95" t="str">
        <f>IF('Spek Produk'!$F$9="Syariah",Medic!D26,Medic!D17)</f>
        <v>Medical Check Up</v>
      </c>
      <c r="E7" s="95" t="str">
        <f>IF('Spek Produk'!$F$9="Syariah",Medic!E26,Medic!E17)</f>
        <v>Medical Check Up</v>
      </c>
      <c r="F7" s="95" t="str">
        <f>IF('Spek Produk'!$F$9="Syariah",Medic!F26,Medic!F17)</f>
        <v>-</v>
      </c>
      <c r="G7" s="95" t="str">
        <f>IF('Spek Produk'!$F$9="Syariah",Medic!G26,Medic!G17)</f>
        <v>-</v>
      </c>
      <c r="H7" s="95" t="str">
        <f>IF('Spek Produk'!$F$9="Syariah",Medic!H26,Medic!H17)</f>
        <v>-</v>
      </c>
      <c r="I7" s="95" t="str">
        <f>IF('Spek Produk'!$F$9="Syariah",Medic!I26,Medic!I17)</f>
        <v>-</v>
      </c>
      <c r="J7" s="95" t="str">
        <f>IF('Spek Produk'!$F$9="Syariah",Medic!J26,Medic!J17)</f>
        <v>-</v>
      </c>
      <c r="K7" s="95" t="str">
        <f>IF('Spek Produk'!$F$9="Syariah",Medic!K26,Medic!K17)</f>
        <v>-</v>
      </c>
      <c r="L7" s="95" t="str">
        <f>IF('Spek Produk'!$F$9="Syariah",Medic!L26,Medic!L17)</f>
        <v>-</v>
      </c>
      <c r="M7" s="95"/>
      <c r="N7" s="2"/>
      <c r="O7" s="2"/>
      <c r="P7" s="2"/>
      <c r="R7" s="100" t="s">
        <v>18</v>
      </c>
      <c r="S7" s="101" t="s">
        <v>23</v>
      </c>
      <c r="T7" s="125" t="str">
        <f>IF('Spek Produk'!F9="Konvensional","SPAJK","SPAJP")&amp;", LPK, Urin Lengkap, Analisa Darah Lengkap, Rontgen Dada, Treadmill Test."</f>
        <v>SPAJP, LPK, Urin Lengkap, Analisa Darah Lengkap, Rontgen Dada, Treadmill Test.</v>
      </c>
      <c r="U7" s="125"/>
      <c r="V7" s="125"/>
      <c r="W7" s="125"/>
      <c r="X7" s="125"/>
      <c r="Y7" s="125"/>
      <c r="Z7" s="125"/>
      <c r="AA7" s="125"/>
      <c r="AB7" s="125"/>
      <c r="AC7" s="125"/>
      <c r="AD7" s="125"/>
      <c r="AE7" s="125"/>
      <c r="AF7" s="125"/>
      <c r="AG7" s="125"/>
      <c r="AH7" s="125"/>
      <c r="AI7" s="125"/>
      <c r="AJ7" s="125"/>
      <c r="AK7" s="125"/>
      <c r="AL7" s="125"/>
      <c r="AM7" s="125"/>
      <c r="AN7" s="125"/>
      <c r="AO7" s="125"/>
      <c r="AP7" s="125"/>
    </row>
    <row r="8" spans="1:42" ht="15" customHeight="1" x14ac:dyDescent="0.25">
      <c r="A8" s="95">
        <f>IF('Spek Produk'!$F$9="Syariah",Medic!A27,Medic!A18)</f>
        <v>66</v>
      </c>
      <c r="B8" s="95" t="str">
        <f>IF('Spek Produk'!$F$9="Syariah",Medic!B27,Medic!B18)</f>
        <v>-</v>
      </c>
      <c r="C8" s="95" t="str">
        <f>IF('Spek Produk'!$F$9="Syariah",Medic!C27,Medic!C18)</f>
        <v>-</v>
      </c>
      <c r="D8" s="95" t="str">
        <f>IF('Spek Produk'!$F$9="Syariah",Medic!D27,Medic!D18)</f>
        <v>-</v>
      </c>
      <c r="E8" s="95" t="str">
        <f>IF('Spek Produk'!$F$9="Syariah",Medic!E27,Medic!E18)</f>
        <v>-</v>
      </c>
      <c r="F8" s="95" t="str">
        <f>IF('Spek Produk'!$F$9="Syariah",Medic!F27,Medic!F18)</f>
        <v>-</v>
      </c>
      <c r="G8" s="95" t="str">
        <f>IF('Spek Produk'!$F$9="Syariah",Medic!G27,Medic!G18)</f>
        <v>-</v>
      </c>
      <c r="H8" s="95" t="str">
        <f>IF('Spek Produk'!$F$9="Syariah",Medic!H27,Medic!H18)</f>
        <v>-</v>
      </c>
      <c r="I8" s="95" t="str">
        <f>IF('Spek Produk'!$F$9="Syariah",Medic!I27,Medic!I18)</f>
        <v>-</v>
      </c>
      <c r="J8" s="95" t="str">
        <f>IF('Spek Produk'!$F$9="Syariah",Medic!J27,Medic!J18)</f>
        <v>-</v>
      </c>
      <c r="K8" s="95" t="str">
        <f>IF('Spek Produk'!$F$9="Syariah",Medic!K27,Medic!K18)</f>
        <v>-</v>
      </c>
      <c r="L8" s="95" t="str">
        <f>IF('Spek Produk'!$F$9="Syariah",Medic!L27,Medic!L18)</f>
        <v>-</v>
      </c>
      <c r="N8" s="2"/>
      <c r="O8" s="2"/>
      <c r="P8" s="2"/>
      <c r="R8" s="100" t="s">
        <v>17</v>
      </c>
      <c r="S8" s="101" t="s">
        <v>23</v>
      </c>
      <c r="T8" s="125" t="str">
        <f>IF('Spek Produk'!F9="Konvensional","SPAJK","SPAJP")&amp;", LPK, Urin Lengkap, Analisa Darah Lengkap, Rontgen Dada, Treadmill Test, HBsAg (langsung periksa HBeAg jika hasil HBsAg positif) ."</f>
        <v>SPAJP, LPK, Urin Lengkap, Analisa Darah Lengkap, Rontgen Dada, Treadmill Test, HBsAg (langsung periksa HBeAg jika hasil HBsAg positif) .</v>
      </c>
      <c r="U8" s="125"/>
      <c r="V8" s="125"/>
      <c r="W8" s="125"/>
      <c r="X8" s="125"/>
      <c r="Y8" s="125"/>
      <c r="Z8" s="125"/>
      <c r="AA8" s="125"/>
      <c r="AB8" s="125"/>
      <c r="AC8" s="125"/>
      <c r="AD8" s="125"/>
      <c r="AE8" s="125"/>
      <c r="AF8" s="125"/>
      <c r="AG8" s="125"/>
      <c r="AH8" s="125"/>
      <c r="AI8" s="125"/>
      <c r="AJ8" s="125"/>
      <c r="AK8" s="125"/>
      <c r="AL8" s="125"/>
      <c r="AM8" s="125"/>
      <c r="AN8" s="125"/>
      <c r="AO8" s="125"/>
      <c r="AP8" s="125"/>
    </row>
    <row r="9" spans="1:42" ht="15" customHeight="1" x14ac:dyDescent="0.25">
      <c r="N9" s="96"/>
      <c r="O9" s="96"/>
      <c r="P9" s="96"/>
      <c r="R9" s="100" t="s">
        <v>16</v>
      </c>
      <c r="S9" s="101" t="s">
        <v>23</v>
      </c>
      <c r="T9" s="125"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f>
        <v>SPAJP,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v>
      </c>
      <c r="U9" s="125"/>
      <c r="V9" s="125"/>
      <c r="W9" s="125"/>
      <c r="X9" s="125"/>
      <c r="Y9" s="125"/>
      <c r="Z9" s="125"/>
      <c r="AA9" s="125"/>
      <c r="AB9" s="125"/>
      <c r="AC9" s="125"/>
      <c r="AD9" s="125"/>
      <c r="AE9" s="125"/>
      <c r="AF9" s="125"/>
      <c r="AG9" s="125"/>
      <c r="AH9" s="125"/>
      <c r="AI9" s="125"/>
      <c r="AJ9" s="125"/>
      <c r="AK9" s="125"/>
      <c r="AL9" s="125"/>
      <c r="AM9" s="125"/>
      <c r="AN9" s="125"/>
      <c r="AO9" s="125"/>
      <c r="AP9" s="125"/>
    </row>
    <row r="10" spans="1:42" ht="15" customHeight="1" x14ac:dyDescent="0.25">
      <c r="N10" s="96"/>
      <c r="O10" s="96"/>
      <c r="P10" s="96"/>
      <c r="R10" s="100" t="s">
        <v>15</v>
      </c>
      <c r="S10" s="101" t="s">
        <v>23</v>
      </c>
      <c r="T10" s="125"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 + Financial Requirement (FR)."</f>
        <v>SPAJP,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 + Financial Requirement (FR).</v>
      </c>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row>
    <row r="11" spans="1:42" x14ac:dyDescent="0.25">
      <c r="A11" s="1" t="s">
        <v>95</v>
      </c>
      <c r="N11" s="96"/>
      <c r="O11" s="96"/>
      <c r="P11" s="96"/>
    </row>
    <row r="12" spans="1:42" x14ac:dyDescent="0.25">
      <c r="A12" s="97"/>
      <c r="B12" s="3">
        <v>0</v>
      </c>
      <c r="C12" s="3">
        <v>250000001</v>
      </c>
      <c r="D12" s="3">
        <v>500000001</v>
      </c>
      <c r="E12" s="3">
        <v>1000000001</v>
      </c>
      <c r="F12" s="3">
        <v>1500000001</v>
      </c>
      <c r="G12" s="3">
        <v>3000000001</v>
      </c>
      <c r="H12" s="3">
        <v>4000000001</v>
      </c>
      <c r="I12" s="3">
        <v>5000000001</v>
      </c>
      <c r="J12" s="3">
        <v>7500000001</v>
      </c>
      <c r="K12" s="3">
        <v>7500000001</v>
      </c>
      <c r="L12" s="3">
        <v>7500000001</v>
      </c>
      <c r="N12" s="96"/>
      <c r="O12" s="96"/>
      <c r="P12" s="96"/>
    </row>
    <row r="13" spans="1:42" x14ac:dyDescent="0.25">
      <c r="A13" s="2">
        <v>18</v>
      </c>
      <c r="B13" s="95" t="s">
        <v>22</v>
      </c>
      <c r="C13" s="95" t="s">
        <v>20</v>
      </c>
      <c r="D13" s="95" t="s">
        <v>20</v>
      </c>
      <c r="E13" s="95" t="s">
        <v>20</v>
      </c>
      <c r="F13" s="95" t="s">
        <v>19</v>
      </c>
      <c r="G13" s="95" t="s">
        <v>18</v>
      </c>
      <c r="H13" s="95" t="s">
        <v>17</v>
      </c>
      <c r="I13" s="95" t="s">
        <v>16</v>
      </c>
      <c r="J13" s="98" t="s">
        <v>16</v>
      </c>
      <c r="K13" s="98" t="s">
        <v>16</v>
      </c>
      <c r="L13" s="98" t="s">
        <v>16</v>
      </c>
      <c r="M13" s="98"/>
      <c r="N13" s="99"/>
      <c r="O13" s="99"/>
      <c r="P13" s="99"/>
    </row>
    <row r="14" spans="1:42" x14ac:dyDescent="0.25">
      <c r="A14" s="2">
        <v>46</v>
      </c>
      <c r="B14" s="95" t="s">
        <v>22</v>
      </c>
      <c r="C14" s="95" t="s">
        <v>20</v>
      </c>
      <c r="D14" s="95" t="s">
        <v>20</v>
      </c>
      <c r="E14" s="95" t="s">
        <v>21</v>
      </c>
      <c r="F14" s="95" t="s">
        <v>19</v>
      </c>
      <c r="G14" s="95" t="s">
        <v>18</v>
      </c>
      <c r="H14" s="95" t="s">
        <v>16</v>
      </c>
      <c r="I14" s="95" t="s">
        <v>16</v>
      </c>
      <c r="J14" s="98" t="s">
        <v>16</v>
      </c>
      <c r="K14" s="98" t="s">
        <v>16</v>
      </c>
      <c r="L14" s="98" t="s">
        <v>16</v>
      </c>
      <c r="M14" s="98"/>
      <c r="N14" s="99"/>
      <c r="O14" s="99"/>
      <c r="P14" s="99"/>
    </row>
    <row r="15" spans="1:42" x14ac:dyDescent="0.25">
      <c r="A15" s="2">
        <v>51</v>
      </c>
      <c r="B15" s="95" t="s">
        <v>20</v>
      </c>
      <c r="C15" s="95" t="s">
        <v>20</v>
      </c>
      <c r="D15" s="95" t="s">
        <v>19</v>
      </c>
      <c r="E15" s="95" t="s">
        <v>19</v>
      </c>
      <c r="F15" s="95" t="s">
        <v>18</v>
      </c>
      <c r="G15" s="95" t="s">
        <v>17</v>
      </c>
      <c r="H15" s="95" t="s">
        <v>16</v>
      </c>
      <c r="I15" s="95" t="s">
        <v>16</v>
      </c>
      <c r="J15" s="98" t="s">
        <v>16</v>
      </c>
      <c r="K15" s="98" t="s">
        <v>16</v>
      </c>
      <c r="L15" s="98" t="s">
        <v>16</v>
      </c>
      <c r="M15" s="98"/>
      <c r="N15" s="99"/>
      <c r="O15" s="99"/>
      <c r="P15" s="99"/>
    </row>
    <row r="16" spans="1:42" x14ac:dyDescent="0.25">
      <c r="A16" s="2">
        <v>56</v>
      </c>
      <c r="B16" s="95" t="s">
        <v>21</v>
      </c>
      <c r="C16" s="95" t="s">
        <v>19</v>
      </c>
      <c r="D16" s="95" t="s">
        <v>19</v>
      </c>
      <c r="E16" s="95" t="s">
        <v>19</v>
      </c>
      <c r="F16" s="95" t="s">
        <v>18</v>
      </c>
      <c r="G16" s="95" t="s">
        <v>17</v>
      </c>
      <c r="H16" s="95" t="s">
        <v>16</v>
      </c>
      <c r="I16" s="95" t="s">
        <v>16</v>
      </c>
      <c r="J16" s="98" t="s">
        <v>16</v>
      </c>
      <c r="K16" s="98" t="s">
        <v>16</v>
      </c>
      <c r="L16" s="98" t="s">
        <v>16</v>
      </c>
      <c r="M16" s="98"/>
      <c r="N16" s="99"/>
      <c r="O16" s="99"/>
      <c r="P16" s="99"/>
    </row>
    <row r="17" spans="1:16" x14ac:dyDescent="0.25">
      <c r="A17" s="2">
        <v>61</v>
      </c>
      <c r="B17" s="95" t="s">
        <v>21</v>
      </c>
      <c r="C17" s="95" t="s">
        <v>19</v>
      </c>
      <c r="D17" s="95" t="s">
        <v>18</v>
      </c>
      <c r="E17" s="95" t="s">
        <v>18</v>
      </c>
      <c r="F17" s="95" t="s">
        <v>17</v>
      </c>
      <c r="G17" s="95" t="s">
        <v>16</v>
      </c>
      <c r="H17" s="95" t="s">
        <v>16</v>
      </c>
      <c r="I17" s="95" t="s">
        <v>16</v>
      </c>
      <c r="J17" s="98" t="s">
        <v>16</v>
      </c>
      <c r="K17" s="98" t="s">
        <v>16</v>
      </c>
      <c r="L17" s="98" t="s">
        <v>16</v>
      </c>
      <c r="M17" s="98"/>
      <c r="N17" s="99"/>
      <c r="O17" s="99"/>
      <c r="P17" s="99"/>
    </row>
    <row r="18" spans="1:16" x14ac:dyDescent="0.25">
      <c r="A18" s="2">
        <v>66</v>
      </c>
      <c r="B18" s="2" t="s">
        <v>32</v>
      </c>
      <c r="C18" s="2" t="s">
        <v>32</v>
      </c>
      <c r="D18" s="2" t="s">
        <v>32</v>
      </c>
      <c r="E18" s="2" t="s">
        <v>32</v>
      </c>
      <c r="F18" s="2" t="s">
        <v>32</v>
      </c>
      <c r="G18" s="2" t="s">
        <v>32</v>
      </c>
      <c r="H18" s="2" t="s">
        <v>32</v>
      </c>
      <c r="I18" s="2" t="s">
        <v>32</v>
      </c>
      <c r="J18" s="98" t="s">
        <v>32</v>
      </c>
      <c r="K18" s="98" t="s">
        <v>32</v>
      </c>
      <c r="L18" s="98" t="s">
        <v>32</v>
      </c>
      <c r="M18" s="98"/>
      <c r="N18" s="99"/>
      <c r="O18" s="99"/>
      <c r="P18" s="99"/>
    </row>
    <row r="19" spans="1:16" x14ac:dyDescent="0.25">
      <c r="G19" s="98"/>
      <c r="H19" s="98"/>
      <c r="I19" s="98"/>
      <c r="J19" s="98"/>
      <c r="K19" s="98"/>
      <c r="L19" s="98"/>
      <c r="M19" s="98"/>
      <c r="N19" s="99"/>
      <c r="O19" s="99"/>
      <c r="P19" s="99"/>
    </row>
    <row r="20" spans="1:16" x14ac:dyDescent="0.25">
      <c r="A20" s="1" t="s">
        <v>49</v>
      </c>
      <c r="G20" s="98"/>
      <c r="H20" s="98"/>
      <c r="I20" s="98"/>
      <c r="J20" s="98"/>
      <c r="K20" s="98"/>
      <c r="L20" s="98"/>
      <c r="M20" s="98"/>
      <c r="N20" s="99"/>
      <c r="O20" s="99"/>
      <c r="P20" s="99"/>
    </row>
    <row r="21" spans="1:16" x14ac:dyDescent="0.25">
      <c r="B21" s="3">
        <v>0</v>
      </c>
      <c r="C21" s="3">
        <v>100000001</v>
      </c>
      <c r="D21" s="3">
        <v>500000001</v>
      </c>
      <c r="E21" s="3">
        <v>800000001</v>
      </c>
      <c r="F21" s="3">
        <v>1000000001</v>
      </c>
      <c r="G21" s="3">
        <v>1500000001</v>
      </c>
      <c r="H21" s="3">
        <v>4000000001</v>
      </c>
      <c r="I21" s="3">
        <v>5000000001</v>
      </c>
      <c r="J21" s="3">
        <v>7500000001</v>
      </c>
      <c r="K21" s="3">
        <v>7500000001</v>
      </c>
      <c r="L21" s="3">
        <v>7500000001</v>
      </c>
      <c r="M21" s="98"/>
      <c r="N21" s="99"/>
      <c r="O21" s="99"/>
      <c r="P21" s="99"/>
    </row>
    <row r="22" spans="1:16" x14ac:dyDescent="0.25">
      <c r="A22" s="2">
        <v>18</v>
      </c>
      <c r="B22" s="2" t="s">
        <v>32</v>
      </c>
      <c r="C22" s="2" t="s">
        <v>32</v>
      </c>
      <c r="D22" s="2" t="s">
        <v>32</v>
      </c>
      <c r="E22" s="2" t="s">
        <v>32</v>
      </c>
      <c r="F22" s="2" t="s">
        <v>32</v>
      </c>
      <c r="G22" s="2" t="s">
        <v>32</v>
      </c>
      <c r="H22" s="2" t="s">
        <v>32</v>
      </c>
      <c r="I22" s="2" t="s">
        <v>32</v>
      </c>
      <c r="J22" s="2" t="s">
        <v>32</v>
      </c>
      <c r="K22" s="2" t="s">
        <v>32</v>
      </c>
      <c r="L22" s="2" t="s">
        <v>32</v>
      </c>
      <c r="M22" s="98"/>
      <c r="N22" s="99"/>
      <c r="O22" s="99"/>
      <c r="P22" s="99"/>
    </row>
    <row r="23" spans="1:16" x14ac:dyDescent="0.25">
      <c r="A23" s="2">
        <v>45</v>
      </c>
      <c r="B23" s="2" t="s">
        <v>114</v>
      </c>
      <c r="C23" s="2" t="s">
        <v>114</v>
      </c>
      <c r="D23" s="2" t="s">
        <v>114</v>
      </c>
      <c r="E23" s="2" t="s">
        <v>114</v>
      </c>
      <c r="F23" s="2" t="s">
        <v>32</v>
      </c>
      <c r="G23" s="2" t="s">
        <v>32</v>
      </c>
      <c r="H23" s="2" t="s">
        <v>32</v>
      </c>
      <c r="I23" s="2" t="s">
        <v>32</v>
      </c>
      <c r="J23" s="2" t="s">
        <v>32</v>
      </c>
      <c r="K23" s="2" t="s">
        <v>32</v>
      </c>
      <c r="L23" s="2" t="s">
        <v>32</v>
      </c>
      <c r="M23" s="98"/>
      <c r="N23" s="99"/>
      <c r="O23" s="99"/>
      <c r="P23" s="99"/>
    </row>
    <row r="24" spans="1:16" x14ac:dyDescent="0.25">
      <c r="A24" s="2">
        <v>51</v>
      </c>
      <c r="B24" s="2" t="s">
        <v>114</v>
      </c>
      <c r="C24" s="2" t="s">
        <v>114</v>
      </c>
      <c r="D24" s="2" t="s">
        <v>114</v>
      </c>
      <c r="E24" s="2" t="s">
        <v>115</v>
      </c>
      <c r="F24" s="2" t="s">
        <v>32</v>
      </c>
      <c r="G24" s="2" t="s">
        <v>32</v>
      </c>
      <c r="H24" s="2" t="s">
        <v>32</v>
      </c>
      <c r="I24" s="2" t="s">
        <v>32</v>
      </c>
      <c r="J24" s="2" t="s">
        <v>32</v>
      </c>
      <c r="K24" s="2" t="s">
        <v>32</v>
      </c>
      <c r="L24" s="2" t="s">
        <v>32</v>
      </c>
      <c r="M24" s="98"/>
      <c r="N24" s="99"/>
      <c r="O24" s="99"/>
      <c r="P24" s="99"/>
    </row>
    <row r="25" spans="1:16" x14ac:dyDescent="0.25">
      <c r="A25" s="2">
        <v>56</v>
      </c>
      <c r="B25" s="2" t="s">
        <v>114</v>
      </c>
      <c r="C25" s="2" t="s">
        <v>114</v>
      </c>
      <c r="D25" s="2" t="s">
        <v>115</v>
      </c>
      <c r="E25" s="2" t="s">
        <v>115</v>
      </c>
      <c r="F25" s="2" t="s">
        <v>32</v>
      </c>
      <c r="G25" s="2" t="s">
        <v>32</v>
      </c>
      <c r="H25" s="2" t="s">
        <v>32</v>
      </c>
      <c r="I25" s="2" t="s">
        <v>32</v>
      </c>
      <c r="J25" s="2" t="s">
        <v>32</v>
      </c>
      <c r="K25" s="2" t="s">
        <v>32</v>
      </c>
      <c r="L25" s="2" t="s">
        <v>32</v>
      </c>
      <c r="M25" s="98"/>
      <c r="N25" s="99"/>
      <c r="O25" s="99"/>
      <c r="P25" s="99"/>
    </row>
    <row r="26" spans="1:16" x14ac:dyDescent="0.25">
      <c r="A26" s="2">
        <v>61</v>
      </c>
      <c r="B26" s="2" t="s">
        <v>114</v>
      </c>
      <c r="C26" s="2" t="s">
        <v>114</v>
      </c>
      <c r="D26" s="2" t="s">
        <v>115</v>
      </c>
      <c r="E26" s="2" t="s">
        <v>115</v>
      </c>
      <c r="F26" s="2" t="s">
        <v>32</v>
      </c>
      <c r="G26" s="2" t="s">
        <v>32</v>
      </c>
      <c r="H26" s="2" t="s">
        <v>32</v>
      </c>
      <c r="I26" s="2" t="s">
        <v>32</v>
      </c>
      <c r="J26" s="2" t="s">
        <v>32</v>
      </c>
      <c r="K26" s="2" t="s">
        <v>32</v>
      </c>
      <c r="L26" s="2" t="s">
        <v>32</v>
      </c>
      <c r="M26" s="98"/>
      <c r="N26" s="99"/>
      <c r="O26" s="99"/>
      <c r="P26" s="99"/>
    </row>
    <row r="27" spans="1:16" x14ac:dyDescent="0.25">
      <c r="A27" s="2">
        <v>66</v>
      </c>
      <c r="B27" s="2" t="s">
        <v>32</v>
      </c>
      <c r="C27" s="2" t="s">
        <v>32</v>
      </c>
      <c r="D27" s="2" t="s">
        <v>32</v>
      </c>
      <c r="E27" s="2" t="s">
        <v>32</v>
      </c>
      <c r="F27" s="2" t="s">
        <v>32</v>
      </c>
      <c r="G27" s="2" t="s">
        <v>32</v>
      </c>
      <c r="H27" s="2" t="s">
        <v>32</v>
      </c>
      <c r="I27" s="2" t="s">
        <v>32</v>
      </c>
      <c r="J27" s="2" t="s">
        <v>32</v>
      </c>
      <c r="K27" s="2" t="s">
        <v>32</v>
      </c>
      <c r="L27" s="2" t="s">
        <v>32</v>
      </c>
      <c r="M27" s="98"/>
      <c r="N27" s="99"/>
      <c r="O27" s="99"/>
      <c r="P27" s="99"/>
    </row>
    <row r="28" spans="1:16" x14ac:dyDescent="0.25">
      <c r="G28" s="98"/>
      <c r="H28" s="98"/>
      <c r="I28" s="98"/>
      <c r="J28" s="98"/>
      <c r="K28" s="98"/>
      <c r="L28" s="98"/>
      <c r="M28" s="98"/>
      <c r="N28" s="99"/>
      <c r="O28" s="99"/>
      <c r="P28" s="99"/>
    </row>
    <row r="29" spans="1:16" x14ac:dyDescent="0.25">
      <c r="G29" s="98"/>
      <c r="H29" s="98"/>
      <c r="I29" s="98"/>
      <c r="J29" s="98"/>
      <c r="K29" s="98"/>
      <c r="L29" s="98"/>
      <c r="M29" s="98"/>
      <c r="N29" s="99"/>
      <c r="O29" s="99"/>
      <c r="P29" s="99"/>
    </row>
    <row r="30" spans="1:16" x14ac:dyDescent="0.25">
      <c r="G30" s="98"/>
      <c r="H30" s="98"/>
      <c r="I30" s="98"/>
      <c r="J30" s="98"/>
      <c r="K30" s="98"/>
      <c r="L30" s="98"/>
      <c r="M30" s="98"/>
      <c r="N30" s="99"/>
      <c r="O30" s="99"/>
      <c r="P30" s="99"/>
    </row>
    <row r="31" spans="1:16" x14ac:dyDescent="0.25">
      <c r="G31" s="98"/>
      <c r="H31" s="98"/>
      <c r="I31" s="98"/>
      <c r="J31" s="98"/>
      <c r="K31" s="98"/>
      <c r="L31" s="98"/>
      <c r="M31" s="98"/>
      <c r="N31" s="99"/>
      <c r="O31" s="99"/>
      <c r="P31" s="99"/>
    </row>
    <row r="32" spans="1:16" x14ac:dyDescent="0.25">
      <c r="G32" s="98"/>
      <c r="H32" s="98"/>
      <c r="I32" s="98"/>
      <c r="J32" s="98"/>
      <c r="K32" s="98"/>
      <c r="L32" s="98"/>
      <c r="M32" s="98"/>
      <c r="N32" s="99"/>
      <c r="O32" s="99"/>
      <c r="P32" s="99"/>
    </row>
    <row r="33" spans="7:16" x14ac:dyDescent="0.25">
      <c r="G33" s="98"/>
      <c r="H33" s="98"/>
      <c r="I33" s="98"/>
      <c r="J33" s="98"/>
      <c r="K33" s="98"/>
      <c r="L33" s="98"/>
      <c r="M33" s="98"/>
      <c r="N33" s="99"/>
      <c r="O33" s="99"/>
      <c r="P33" s="99"/>
    </row>
    <row r="34" spans="7:16" x14ac:dyDescent="0.25">
      <c r="G34" s="98"/>
      <c r="H34" s="98"/>
      <c r="I34" s="98"/>
      <c r="J34" s="98"/>
      <c r="K34" s="98"/>
      <c r="L34" s="98"/>
      <c r="M34" s="98"/>
      <c r="N34" s="99"/>
      <c r="O34" s="99"/>
      <c r="P34" s="99"/>
    </row>
    <row r="35" spans="7:16" x14ac:dyDescent="0.25">
      <c r="G35" s="98"/>
      <c r="H35" s="98"/>
      <c r="I35" s="98"/>
      <c r="J35" s="98"/>
      <c r="K35" s="98"/>
      <c r="L35" s="98"/>
      <c r="M35" s="98"/>
      <c r="N35" s="99"/>
      <c r="O35" s="99"/>
      <c r="P35" s="99"/>
    </row>
    <row r="36" spans="7:16" x14ac:dyDescent="0.25">
      <c r="G36" s="98"/>
      <c r="H36" s="98"/>
      <c r="I36" s="98"/>
      <c r="J36" s="98"/>
      <c r="K36" s="98"/>
      <c r="L36" s="98"/>
      <c r="M36" s="98"/>
      <c r="N36" s="99"/>
      <c r="O36" s="99"/>
      <c r="P36" s="99"/>
    </row>
    <row r="37" spans="7:16" x14ac:dyDescent="0.25">
      <c r="G37" s="98"/>
      <c r="H37" s="98"/>
      <c r="I37" s="98"/>
      <c r="J37" s="98"/>
      <c r="K37" s="98"/>
      <c r="L37" s="98"/>
      <c r="M37" s="98"/>
      <c r="N37" s="99"/>
      <c r="O37" s="99"/>
      <c r="P37" s="99"/>
    </row>
    <row r="38" spans="7:16" x14ac:dyDescent="0.25">
      <c r="G38" s="98"/>
      <c r="H38" s="98"/>
      <c r="I38" s="98"/>
      <c r="J38" s="98"/>
      <c r="K38" s="98"/>
      <c r="L38" s="98"/>
      <c r="M38" s="98"/>
      <c r="N38" s="99"/>
      <c r="O38" s="99"/>
      <c r="P38" s="99"/>
    </row>
    <row r="39" spans="7:16" x14ac:dyDescent="0.25">
      <c r="G39" s="98"/>
      <c r="H39" s="98"/>
      <c r="I39" s="98"/>
      <c r="J39" s="98"/>
      <c r="K39" s="98"/>
      <c r="L39" s="98"/>
      <c r="M39" s="98"/>
      <c r="N39" s="99"/>
      <c r="O39" s="99"/>
      <c r="P39" s="99"/>
    </row>
    <row r="40" spans="7:16" x14ac:dyDescent="0.25">
      <c r="G40" s="98"/>
      <c r="H40" s="98"/>
      <c r="I40" s="98"/>
      <c r="J40" s="98"/>
      <c r="K40" s="98"/>
      <c r="L40" s="98"/>
      <c r="M40" s="98"/>
      <c r="N40" s="99"/>
      <c r="O40" s="99"/>
      <c r="P40" s="99"/>
    </row>
    <row r="41" spans="7:16" x14ac:dyDescent="0.25">
      <c r="G41" s="98"/>
      <c r="H41" s="98"/>
      <c r="I41" s="98"/>
      <c r="J41" s="98"/>
      <c r="K41" s="98"/>
      <c r="L41" s="98"/>
      <c r="M41" s="98"/>
      <c r="N41" s="99"/>
      <c r="O41" s="99"/>
      <c r="P41" s="99"/>
    </row>
    <row r="42" spans="7:16" x14ac:dyDescent="0.25">
      <c r="G42" s="98"/>
      <c r="H42" s="98"/>
      <c r="I42" s="98"/>
      <c r="J42" s="98"/>
      <c r="K42" s="98"/>
      <c r="L42" s="98"/>
      <c r="M42" s="98"/>
      <c r="N42" s="99"/>
      <c r="O42" s="99"/>
      <c r="P42" s="99"/>
    </row>
    <row r="43" spans="7:16" x14ac:dyDescent="0.25">
      <c r="G43" s="98"/>
      <c r="H43" s="98"/>
      <c r="I43" s="98"/>
      <c r="J43" s="98"/>
      <c r="K43" s="98"/>
      <c r="L43" s="98"/>
      <c r="M43" s="98"/>
      <c r="N43" s="99"/>
      <c r="O43" s="99"/>
      <c r="P43" s="99"/>
    </row>
    <row r="44" spans="7:16" x14ac:dyDescent="0.25">
      <c r="G44" s="98"/>
      <c r="H44" s="98"/>
      <c r="I44" s="98"/>
      <c r="J44" s="98"/>
      <c r="K44" s="98"/>
      <c r="L44" s="98"/>
      <c r="M44" s="98"/>
      <c r="N44" s="99"/>
      <c r="O44" s="99"/>
      <c r="P44" s="99"/>
    </row>
    <row r="45" spans="7:16" x14ac:dyDescent="0.25">
      <c r="G45" s="98"/>
      <c r="H45" s="98"/>
      <c r="I45" s="98"/>
      <c r="J45" s="98"/>
      <c r="K45" s="98"/>
      <c r="L45" s="98"/>
      <c r="M45" s="98"/>
      <c r="N45" s="99"/>
      <c r="O45" s="99"/>
      <c r="P45" s="99"/>
    </row>
    <row r="46" spans="7:16" x14ac:dyDescent="0.25">
      <c r="G46" s="98"/>
      <c r="H46" s="98"/>
      <c r="I46" s="98"/>
      <c r="J46" s="98"/>
      <c r="K46" s="98"/>
      <c r="L46" s="98"/>
      <c r="M46" s="98"/>
      <c r="N46" s="99"/>
      <c r="O46" s="99"/>
      <c r="P46" s="99"/>
    </row>
    <row r="47" spans="7:16" x14ac:dyDescent="0.25">
      <c r="G47" s="98"/>
      <c r="H47" s="98"/>
      <c r="I47" s="98"/>
      <c r="J47" s="98"/>
      <c r="K47" s="98"/>
      <c r="L47" s="98"/>
      <c r="M47" s="98"/>
      <c r="N47" s="99"/>
      <c r="O47" s="99"/>
      <c r="P47" s="99"/>
    </row>
    <row r="48" spans="7:16" x14ac:dyDescent="0.25">
      <c r="G48" s="98"/>
      <c r="H48" s="98"/>
      <c r="I48" s="98"/>
      <c r="J48" s="98"/>
      <c r="K48" s="98"/>
      <c r="L48" s="98"/>
      <c r="M48" s="98"/>
      <c r="N48" s="99"/>
      <c r="O48" s="99"/>
      <c r="P48" s="99"/>
    </row>
    <row r="49" spans="7:16" x14ac:dyDescent="0.25">
      <c r="G49" s="98"/>
      <c r="H49" s="98"/>
      <c r="I49" s="98"/>
      <c r="J49" s="98"/>
      <c r="K49" s="98"/>
      <c r="L49" s="98"/>
      <c r="M49" s="98"/>
      <c r="N49" s="99"/>
      <c r="O49" s="99"/>
      <c r="P49" s="99"/>
    </row>
    <row r="50" spans="7:16" x14ac:dyDescent="0.25">
      <c r="G50" s="98"/>
      <c r="H50" s="98"/>
      <c r="I50" s="98"/>
      <c r="J50" s="98"/>
      <c r="K50" s="98"/>
      <c r="L50" s="98"/>
      <c r="M50" s="98"/>
      <c r="N50" s="99"/>
      <c r="O50" s="99"/>
      <c r="P50" s="99"/>
    </row>
    <row r="51" spans="7:16" x14ac:dyDescent="0.25">
      <c r="G51" s="98"/>
      <c r="H51" s="98"/>
      <c r="I51" s="98"/>
      <c r="J51" s="98"/>
      <c r="K51" s="98"/>
      <c r="L51" s="98"/>
      <c r="M51" s="98"/>
      <c r="N51" s="99"/>
      <c r="O51" s="99"/>
      <c r="P51" s="99"/>
    </row>
    <row r="52" spans="7:16" x14ac:dyDescent="0.25">
      <c r="G52" s="98"/>
      <c r="H52" s="98"/>
      <c r="I52" s="98"/>
      <c r="J52" s="98"/>
      <c r="K52" s="98"/>
      <c r="L52" s="98"/>
      <c r="M52" s="98"/>
      <c r="N52" s="99"/>
      <c r="O52" s="99"/>
      <c r="P52" s="99"/>
    </row>
  </sheetData>
  <sheetProtection algorithmName="SHA-512" hashValue="6/WGjC9NGGWHyqtd1VxETEJUPt50Lwqlq0n0Gl9H8iO1ykIdhHIpANh0ySnb+Lj9H4NLhS0aNUTgYZxOFqZExA==" saltValue="a1WjptSomOXL2V8aaOtrRQ==" spinCount="100000" sheet="1" selectLockedCells="1" selectUnlockedCells="1"/>
  <mergeCells count="9">
    <mergeCell ref="B1:O1"/>
    <mergeCell ref="T10:AP10"/>
    <mergeCell ref="T8:AP8"/>
    <mergeCell ref="T9:AP9"/>
    <mergeCell ref="T3:AP3"/>
    <mergeCell ref="T4:AP4"/>
    <mergeCell ref="T5:AP5"/>
    <mergeCell ref="T6:AP6"/>
    <mergeCell ref="T7:AP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5"/>
    <pageSetUpPr fitToPage="1"/>
  </sheetPr>
  <dimension ref="B3:M76"/>
  <sheetViews>
    <sheetView showGridLines="0" tabSelected="1" topLeftCell="E34" zoomScale="50" zoomScaleNormal="50" workbookViewId="0">
      <selection activeCell="E47" sqref="E47:F47"/>
    </sheetView>
  </sheetViews>
  <sheetFormatPr defaultColWidth="9" defaultRowHeight="15.75" x14ac:dyDescent="0.25"/>
  <cols>
    <col min="1" max="1" width="7.42578125" style="49" customWidth="1"/>
    <col min="2" max="2" width="9" style="49"/>
    <col min="3" max="3" width="22.7109375" style="49" customWidth="1"/>
    <col min="4" max="4" width="49.5703125" style="49" customWidth="1"/>
    <col min="5" max="5" width="27.28515625" style="49" customWidth="1"/>
    <col min="6" max="6" width="31" style="49" customWidth="1"/>
    <col min="7" max="7" width="8" style="49" customWidth="1"/>
    <col min="8" max="8" width="24.140625" style="49" customWidth="1"/>
    <col min="9" max="9" width="23" style="49" customWidth="1"/>
    <col min="10" max="10" width="9" style="49" customWidth="1"/>
    <col min="11" max="11" width="9" style="49"/>
    <col min="12" max="12" width="18.5703125" style="49" bestFit="1" customWidth="1"/>
    <col min="13" max="13" width="16" style="49" bestFit="1" customWidth="1"/>
    <col min="14" max="16384" width="9" style="49"/>
  </cols>
  <sheetData>
    <row r="3" spans="2:10" ht="16.5" thickBot="1" x14ac:dyDescent="0.3"/>
    <row r="4" spans="2:10" ht="16.5" thickTop="1" x14ac:dyDescent="0.25">
      <c r="B4" s="127"/>
      <c r="C4" s="128"/>
      <c r="D4" s="128"/>
      <c r="E4" s="128"/>
      <c r="F4" s="128"/>
      <c r="G4" s="128"/>
      <c r="H4" s="128"/>
      <c r="I4" s="128"/>
      <c r="J4" s="129"/>
    </row>
    <row r="5" spans="2:10" x14ac:dyDescent="0.25">
      <c r="B5" s="130"/>
      <c r="C5" s="131"/>
      <c r="D5" s="131"/>
      <c r="E5" s="131"/>
      <c r="F5" s="131"/>
      <c r="G5" s="131"/>
      <c r="H5" s="131"/>
      <c r="I5" s="131"/>
      <c r="J5" s="132"/>
    </row>
    <row r="6" spans="2:10" x14ac:dyDescent="0.25">
      <c r="B6" s="50"/>
      <c r="C6" s="51"/>
      <c r="D6" s="51"/>
      <c r="E6" s="51"/>
      <c r="F6" s="51"/>
      <c r="G6" s="51"/>
      <c r="H6" s="51"/>
      <c r="I6" s="51"/>
      <c r="J6" s="52"/>
    </row>
    <row r="7" spans="2:10" x14ac:dyDescent="0.25">
      <c r="B7" s="50"/>
      <c r="C7" s="51" t="s">
        <v>4</v>
      </c>
      <c r="D7" s="53"/>
      <c r="E7" s="51"/>
      <c r="F7" s="51"/>
      <c r="G7" s="51"/>
      <c r="H7" s="51"/>
      <c r="I7" s="51"/>
      <c r="J7" s="52"/>
    </row>
    <row r="8" spans="2:10" x14ac:dyDescent="0.25">
      <c r="B8" s="50"/>
      <c r="C8" s="54" t="s">
        <v>25</v>
      </c>
      <c r="D8" s="53"/>
      <c r="E8" s="51"/>
      <c r="F8" s="51"/>
      <c r="G8" s="51"/>
      <c r="H8" s="51"/>
      <c r="I8" s="51"/>
      <c r="J8" s="52"/>
    </row>
    <row r="9" spans="2:10" x14ac:dyDescent="0.25">
      <c r="B9" s="50"/>
      <c r="C9" s="54" t="s">
        <v>5</v>
      </c>
      <c r="D9" s="53"/>
      <c r="E9" s="51"/>
      <c r="F9" s="51"/>
      <c r="G9" s="51"/>
      <c r="H9" s="51"/>
      <c r="I9" s="51"/>
      <c r="J9" s="52"/>
    </row>
    <row r="10" spans="2:10" x14ac:dyDescent="0.25">
      <c r="B10" s="50"/>
      <c r="C10" s="54" t="s">
        <v>6</v>
      </c>
      <c r="D10" s="53"/>
      <c r="E10" s="51"/>
      <c r="F10" s="51"/>
      <c r="G10" s="51"/>
      <c r="H10" s="51"/>
      <c r="I10" s="51"/>
      <c r="J10" s="52"/>
    </row>
    <row r="11" spans="2:10" x14ac:dyDescent="0.25">
      <c r="B11" s="50"/>
      <c r="C11" s="54" t="str">
        <f>"Email : "&amp;VLOOKUP('Spek Produk'!F6,Email_Table,2,FALSE)</f>
        <v>Email : syariah.div@simasjiwa.co.id</v>
      </c>
      <c r="D11" s="53"/>
      <c r="E11" s="51"/>
      <c r="F11" s="51"/>
      <c r="G11" s="51"/>
      <c r="H11" s="51"/>
      <c r="I11" s="51"/>
      <c r="J11" s="52"/>
    </row>
    <row r="12" spans="2:10" x14ac:dyDescent="0.25">
      <c r="B12" s="50"/>
      <c r="C12" s="51"/>
      <c r="D12" s="53"/>
      <c r="E12" s="51"/>
      <c r="F12" s="51"/>
      <c r="G12" s="51"/>
      <c r="H12" s="51"/>
      <c r="I12" s="51"/>
      <c r="J12" s="52"/>
    </row>
    <row r="13" spans="2:10" x14ac:dyDescent="0.25">
      <c r="B13" s="50"/>
      <c r="C13" s="54" t="s">
        <v>7</v>
      </c>
      <c r="D13" s="53"/>
      <c r="E13" s="54"/>
      <c r="F13" s="54"/>
      <c r="G13" s="54"/>
      <c r="H13" s="54"/>
      <c r="I13" s="54"/>
      <c r="J13" s="52"/>
    </row>
    <row r="14" spans="2:10" x14ac:dyDescent="0.25">
      <c r="B14" s="50"/>
      <c r="C14" s="54"/>
      <c r="D14" s="136" t="str">
        <f>"Perihal :   PENGAJUAN ASURANSI JIWA "&amp;IF('Spek Produk'!F9="Konvensional","KREDIT","PEMBIAYAAN")</f>
        <v>Perihal :   PENGAJUAN ASURANSI JIWA PEMBIAYAAN</v>
      </c>
      <c r="E14" s="136"/>
      <c r="F14" s="136"/>
      <c r="G14" s="136"/>
      <c r="H14" s="55"/>
      <c r="I14" s="54"/>
      <c r="J14" s="52"/>
    </row>
    <row r="15" spans="2:10" ht="12" customHeight="1" x14ac:dyDescent="0.25">
      <c r="B15" s="50"/>
      <c r="D15" s="136"/>
      <c r="E15" s="136"/>
      <c r="F15" s="136"/>
      <c r="G15" s="136"/>
      <c r="H15" s="55"/>
      <c r="I15" s="54"/>
      <c r="J15" s="56"/>
    </row>
    <row r="16" spans="2:10" ht="12" customHeight="1" x14ac:dyDescent="0.25">
      <c r="B16" s="50"/>
      <c r="C16" s="54"/>
      <c r="E16" s="54"/>
      <c r="F16" s="54"/>
      <c r="G16" s="54"/>
      <c r="H16" s="54"/>
      <c r="I16" s="54"/>
      <c r="J16" s="56"/>
    </row>
    <row r="17" spans="2:10" x14ac:dyDescent="0.25">
      <c r="B17" s="50"/>
      <c r="C17" s="138"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Bank Syariah Indonesia, dengan ini kami mengajukan penutupan asuransi jiwa pembiayaan dengan data sebagai berikut:</v>
      </c>
      <c r="D17" s="138"/>
      <c r="E17" s="138"/>
      <c r="F17" s="138"/>
      <c r="G17" s="138"/>
      <c r="H17" s="138"/>
      <c r="I17" s="138"/>
      <c r="J17" s="56"/>
    </row>
    <row r="18" spans="2:10" x14ac:dyDescent="0.25">
      <c r="B18" s="50"/>
      <c r="C18" s="138"/>
      <c r="D18" s="138"/>
      <c r="E18" s="138"/>
      <c r="F18" s="138"/>
      <c r="G18" s="138"/>
      <c r="H18" s="138"/>
      <c r="I18" s="138"/>
      <c r="J18" s="56"/>
    </row>
    <row r="19" spans="2:10" x14ac:dyDescent="0.25">
      <c r="B19" s="50"/>
      <c r="C19" s="51"/>
      <c r="D19" s="57"/>
      <c r="E19" s="57"/>
      <c r="F19" s="57"/>
      <c r="G19" s="57"/>
      <c r="H19" s="57"/>
      <c r="I19" s="57"/>
      <c r="J19" s="56"/>
    </row>
    <row r="20" spans="2:10" ht="11.25" customHeight="1" x14ac:dyDescent="0.25">
      <c r="B20" s="50"/>
      <c r="C20" s="51"/>
      <c r="D20" s="139" t="s">
        <v>8</v>
      </c>
      <c r="E20" s="142" t="s">
        <v>28</v>
      </c>
      <c r="F20" s="142"/>
      <c r="G20" s="142"/>
      <c r="H20" s="142"/>
      <c r="I20" s="51"/>
      <c r="J20" s="56"/>
    </row>
    <row r="21" spans="2:10" ht="15" customHeight="1" x14ac:dyDescent="0.25">
      <c r="B21" s="50"/>
      <c r="C21" s="51"/>
      <c r="D21" s="139"/>
      <c r="E21" s="142"/>
      <c r="F21" s="142"/>
      <c r="G21" s="142"/>
      <c r="H21" s="142"/>
      <c r="I21" s="59"/>
      <c r="J21" s="56"/>
    </row>
    <row r="22" spans="2:10" x14ac:dyDescent="0.25">
      <c r="B22" s="50"/>
      <c r="C22" s="51"/>
      <c r="D22" s="58"/>
      <c r="E22" s="60"/>
      <c r="F22" s="60"/>
      <c r="G22" s="59"/>
      <c r="H22" s="59"/>
      <c r="I22" s="59"/>
      <c r="J22" s="56"/>
    </row>
    <row r="23" spans="2:10" x14ac:dyDescent="0.25">
      <c r="B23" s="50"/>
      <c r="C23" s="51"/>
      <c r="D23" s="139" t="s">
        <v>9</v>
      </c>
      <c r="E23" s="141" t="s">
        <v>11</v>
      </c>
      <c r="F23" s="141"/>
      <c r="G23" s="141"/>
      <c r="H23" s="141"/>
      <c r="I23" s="59"/>
      <c r="J23" s="56"/>
    </row>
    <row r="24" spans="2:10" x14ac:dyDescent="0.25">
      <c r="B24" s="50"/>
      <c r="C24" s="51"/>
      <c r="D24" s="139"/>
      <c r="E24" s="141"/>
      <c r="F24" s="141"/>
      <c r="G24" s="141"/>
      <c r="H24" s="141"/>
      <c r="I24" s="59"/>
      <c r="J24" s="56"/>
    </row>
    <row r="25" spans="2:10" x14ac:dyDescent="0.25">
      <c r="B25" s="50"/>
      <c r="C25" s="51"/>
      <c r="D25" s="58"/>
      <c r="E25" s="60"/>
      <c r="F25" s="60"/>
      <c r="G25" s="59"/>
      <c r="H25" s="59"/>
      <c r="I25" s="59"/>
      <c r="J25" s="56"/>
    </row>
    <row r="26" spans="2:10" ht="18.75" customHeight="1" x14ac:dyDescent="0.25">
      <c r="B26" s="50"/>
      <c r="C26" s="51"/>
      <c r="D26" s="139" t="s">
        <v>10</v>
      </c>
      <c r="E26" s="143" t="s">
        <v>29</v>
      </c>
      <c r="F26" s="143"/>
      <c r="G26" s="143"/>
      <c r="H26" s="143"/>
      <c r="I26" s="59"/>
      <c r="J26" s="56"/>
    </row>
    <row r="27" spans="2:10" ht="19.899999999999999" customHeight="1" x14ac:dyDescent="0.25">
      <c r="B27" s="50"/>
      <c r="C27" s="51"/>
      <c r="D27" s="139"/>
      <c r="E27" s="143"/>
      <c r="F27" s="143"/>
      <c r="G27" s="143"/>
      <c r="H27" s="143"/>
      <c r="I27" s="59"/>
      <c r="J27" s="56"/>
    </row>
    <row r="28" spans="2:10" x14ac:dyDescent="0.25">
      <c r="B28" s="50"/>
      <c r="C28" s="51"/>
      <c r="D28" s="58"/>
      <c r="E28" s="60"/>
      <c r="F28" s="60"/>
      <c r="G28" s="59"/>
      <c r="H28" s="59"/>
      <c r="I28" s="59"/>
      <c r="J28" s="56"/>
    </row>
    <row r="29" spans="2:10" ht="15" customHeight="1" x14ac:dyDescent="0.25">
      <c r="B29" s="50"/>
      <c r="C29" s="51"/>
      <c r="D29" s="139" t="s">
        <v>26</v>
      </c>
      <c r="E29" s="140">
        <v>28057</v>
      </c>
      <c r="F29" s="140"/>
      <c r="G29" s="61">
        <f ca="1">INT(YEARFRAC(E29,E32,0)+0.5)</f>
        <v>50</v>
      </c>
      <c r="H29" s="144" t="str">
        <f ca="1">"Usia: "&amp;IF(INT(YEARFRAC(E29,E32,0)+0.5)&lt;'Spek Produk'!G11,"Minimum "&amp;'Spek Produk'!G11&amp;" Tahun",IF(INT(YEARFRAC(E29,E32,0)+0.5)&gt;'Spek Produk'!I11,"Maksimum "&amp;'Spek Produk'!I11&amp;" Tahun",INT(YEARFRAC(E29,E32,0)+0.5)&amp;" tahun"))</f>
        <v>Usia: 50 tahun</v>
      </c>
      <c r="I29" s="144"/>
      <c r="J29" s="62"/>
    </row>
    <row r="30" spans="2:10" ht="15" customHeight="1" x14ac:dyDescent="0.25">
      <c r="B30" s="50"/>
      <c r="C30" s="51"/>
      <c r="D30" s="139"/>
      <c r="E30" s="140"/>
      <c r="F30" s="140"/>
      <c r="H30" s="144"/>
      <c r="I30" s="144"/>
      <c r="J30" s="62"/>
    </row>
    <row r="31" spans="2:10" x14ac:dyDescent="0.25">
      <c r="B31" s="50"/>
      <c r="C31" s="51"/>
      <c r="D31" s="63"/>
      <c r="E31" s="64"/>
      <c r="F31" s="64"/>
      <c r="G31" s="51"/>
      <c r="H31" s="51"/>
      <c r="I31" s="51"/>
      <c r="J31" s="56"/>
    </row>
    <row r="32" spans="2:10" x14ac:dyDescent="0.25">
      <c r="B32" s="50"/>
      <c r="C32" s="51"/>
      <c r="D32" s="139" t="str">
        <f>"Tanggal Mulai "&amp;IF('Spek Produk'!F9="Konvensional","Kredit","Pembiayaan")&amp;"*"</f>
        <v>Tanggal Mulai Pembiayaan*</v>
      </c>
      <c r="E32" s="140">
        <f ca="1">NOW()+7</f>
        <v>46331.52405497685</v>
      </c>
      <c r="F32" s="140"/>
      <c r="G32" s="51"/>
      <c r="H32" s="51"/>
      <c r="I32" s="51"/>
      <c r="J32" s="56"/>
    </row>
    <row r="33" spans="2:10" x14ac:dyDescent="0.25">
      <c r="B33" s="50"/>
      <c r="C33" s="51"/>
      <c r="D33" s="139"/>
      <c r="E33" s="140"/>
      <c r="F33" s="140"/>
      <c r="G33" s="51"/>
      <c r="H33" s="51"/>
      <c r="I33" s="51"/>
      <c r="J33" s="56"/>
    </row>
    <row r="34" spans="2:10" x14ac:dyDescent="0.25">
      <c r="B34" s="50"/>
      <c r="C34" s="51"/>
      <c r="D34" s="63"/>
      <c r="E34" s="51"/>
      <c r="F34" s="51"/>
      <c r="G34" s="51"/>
      <c r="H34" s="51"/>
      <c r="I34" s="51"/>
      <c r="J34" s="56"/>
    </row>
    <row r="35" spans="2:10" ht="18.75" customHeight="1" x14ac:dyDescent="0.25">
      <c r="B35" s="50"/>
      <c r="C35" s="51"/>
      <c r="D35" s="139" t="s">
        <v>27</v>
      </c>
      <c r="E35" s="137">
        <v>15</v>
      </c>
      <c r="F35" s="137"/>
      <c r="G35" s="51" t="s">
        <v>1</v>
      </c>
      <c r="H35" s="148" t="str">
        <f ca="1">IF(E35*12+E36&gt;'Spek Produk'!I10*12,"Masa Asuransi: Maksimum "&amp;'Spek Produk'!I10&amp;" tahun",IF(INT(YEARFRAC(E29,E32,0)+0.5)+E35+E36/12&gt;'Spek Produk'!H12,"Maksimum masa asuransi untuk nasabah berusia "&amp;INT(YEARFRAC(E29,E32,0)+0.5)&amp;" tahun adalah "&amp;MAX(0,'Spek Produk'!H12-INT(YEARFRAC(E29,E32,0)+0.5))&amp;" tahun",""))</f>
        <v/>
      </c>
      <c r="I35" s="148"/>
      <c r="J35" s="56"/>
    </row>
    <row r="36" spans="2:10" ht="18.75" customHeight="1" x14ac:dyDescent="0.25">
      <c r="B36" s="50"/>
      <c r="C36" s="51"/>
      <c r="D36" s="139"/>
      <c r="E36" s="137">
        <v>6</v>
      </c>
      <c r="F36" s="137"/>
      <c r="G36" s="51" t="s">
        <v>0</v>
      </c>
      <c r="H36" s="148"/>
      <c r="I36" s="148"/>
      <c r="J36" s="56"/>
    </row>
    <row r="37" spans="2:10" x14ac:dyDescent="0.25">
      <c r="B37" s="50"/>
      <c r="C37" s="51"/>
      <c r="D37" s="51"/>
      <c r="E37" s="51"/>
      <c r="F37" s="51"/>
      <c r="G37" s="51"/>
      <c r="H37" s="51"/>
      <c r="I37" s="51"/>
      <c r="J37" s="56"/>
    </row>
    <row r="38" spans="2:10" x14ac:dyDescent="0.25">
      <c r="B38" s="50"/>
      <c r="C38" s="51"/>
      <c r="D38" s="146" t="str">
        <f>IF('Spek Produk'!F9="Konvensional","Jenis Uang Pertanggungan*","Jenis Santunan Asuransi*")</f>
        <v>Jenis Santunan Asuransi*</v>
      </c>
      <c r="E38" s="147" t="s">
        <v>91</v>
      </c>
      <c r="F38" s="147"/>
      <c r="G38" s="51"/>
      <c r="H38" s="51"/>
      <c r="I38" s="51"/>
      <c r="J38" s="56"/>
    </row>
    <row r="39" spans="2:10" x14ac:dyDescent="0.25">
      <c r="B39" s="50"/>
      <c r="C39" s="51"/>
      <c r="D39" s="146"/>
      <c r="E39" s="147"/>
      <c r="F39" s="147"/>
      <c r="G39" s="51"/>
      <c r="H39" s="51"/>
      <c r="I39" s="51"/>
      <c r="J39" s="56"/>
    </row>
    <row r="40" spans="2:10" x14ac:dyDescent="0.25">
      <c r="B40" s="50"/>
      <c r="C40" s="51"/>
      <c r="D40" s="51"/>
      <c r="E40" s="51"/>
      <c r="F40" s="51"/>
      <c r="G40" s="51"/>
      <c r="I40" s="51"/>
      <c r="J40" s="56"/>
    </row>
    <row r="41" spans="2:10" ht="15.6" customHeight="1" x14ac:dyDescent="0.25">
      <c r="B41" s="50"/>
      <c r="C41" s="51"/>
      <c r="D41" s="146" t="str">
        <f>IF('Spek Produk'!F9="Konvensional","Uang Pertanggungan*","Santunan Asuransi*")</f>
        <v>Santunan Asuransi*</v>
      </c>
      <c r="E41" s="152">
        <v>480000000</v>
      </c>
      <c r="F41" s="152"/>
      <c r="G41" s="51"/>
      <c r="H41" s="155" t="str">
        <f ca="1">IF(E41&gt;'Spek Produk'!F8,"UP: Maksimum IDR "&amp;TEXT('Spek Produk'!F8,"000,000"),"")</f>
        <v/>
      </c>
      <c r="I41" s="155"/>
      <c r="J41" s="65"/>
    </row>
    <row r="42" spans="2:10" x14ac:dyDescent="0.25">
      <c r="B42" s="50"/>
      <c r="C42" s="51"/>
      <c r="D42" s="146"/>
      <c r="E42" s="152"/>
      <c r="F42" s="152"/>
      <c r="G42" s="66"/>
      <c r="H42" s="155"/>
      <c r="I42" s="155"/>
      <c r="J42" s="65"/>
    </row>
    <row r="43" spans="2:10" x14ac:dyDescent="0.25">
      <c r="B43" s="50"/>
      <c r="C43" s="51"/>
      <c r="D43" s="63"/>
      <c r="E43" s="51"/>
      <c r="F43" s="51"/>
      <c r="G43" s="51"/>
      <c r="H43" s="51"/>
      <c r="I43" s="51"/>
      <c r="J43" s="56"/>
    </row>
    <row r="44" spans="2:10" x14ac:dyDescent="0.25">
      <c r="B44" s="50"/>
      <c r="C44" s="51"/>
      <c r="D44" s="146" t="s">
        <v>109</v>
      </c>
      <c r="E44" s="145" t="s">
        <v>110</v>
      </c>
      <c r="F44" s="145"/>
      <c r="G44" s="51"/>
      <c r="H44" s="51"/>
      <c r="I44" s="51"/>
      <c r="J44" s="56"/>
    </row>
    <row r="45" spans="2:10" x14ac:dyDescent="0.25">
      <c r="B45" s="50"/>
      <c r="C45" s="51"/>
      <c r="D45" s="146"/>
      <c r="E45" s="145"/>
      <c r="F45" s="145"/>
      <c r="G45" s="51"/>
      <c r="H45" s="51"/>
      <c r="I45" s="51"/>
      <c r="J45" s="56"/>
    </row>
    <row r="46" spans="2:10" x14ac:dyDescent="0.25">
      <c r="B46" s="50"/>
      <c r="C46" s="51"/>
      <c r="D46" s="63"/>
      <c r="E46" s="51"/>
      <c r="F46" s="51"/>
      <c r="G46" s="51"/>
      <c r="H46" s="51"/>
      <c r="I46" s="51"/>
      <c r="J46" s="56"/>
    </row>
    <row r="47" spans="2:10" x14ac:dyDescent="0.25">
      <c r="B47" s="50"/>
      <c r="C47" s="51"/>
      <c r="D47" s="63" t="str">
        <f>IF('Spek Produk'!F9="Konvensional","Tarif Premi*","Tarif Kontribusi")</f>
        <v>Tarif Kontribusi</v>
      </c>
      <c r="E47" s="157">
        <f ca="1">IF(E35*12+E36&gt;'Spek Produk'!$I$10*12,"Perhatikan Ketentuan Masa Asuransi",ROUND((1-E49%)*IF(E35*12+E36&lt;12,VLOOKUP(E35*12+E36,Faktor_Multiplier,2,FALSE)*VLOOKUP(G29,Premium_Table,2,FALSE),VLOOKUP(G29,Premium_Table,E35+1,FALSE)+IFERROR((VLOOKUP(G29,Premium_Table,E35+2,FALSE)-VLOOKUP(G29,Premium_Table,E35+1,FALSE))*E36/12,0)),2))</f>
        <v>76.92</v>
      </c>
      <c r="F47" s="157"/>
      <c r="G47" s="51" t="s">
        <v>3</v>
      </c>
      <c r="H47" s="51"/>
      <c r="I47" s="51"/>
      <c r="J47" s="56"/>
    </row>
    <row r="48" spans="2:10" x14ac:dyDescent="0.25">
      <c r="B48" s="50"/>
      <c r="C48" s="51"/>
      <c r="D48" s="63"/>
      <c r="E48" s="51"/>
      <c r="F48" s="51"/>
      <c r="G48" s="51"/>
      <c r="H48" s="51"/>
      <c r="I48" s="51"/>
      <c r="J48" s="56"/>
    </row>
    <row r="49" spans="2:13" x14ac:dyDescent="0.25">
      <c r="B49" s="50"/>
      <c r="C49" s="51"/>
      <c r="D49" s="63" t="s">
        <v>122</v>
      </c>
      <c r="E49" s="150"/>
      <c r="F49" s="150"/>
      <c r="G49" s="51"/>
      <c r="H49" s="51"/>
      <c r="I49" s="51"/>
      <c r="J49" s="56"/>
    </row>
    <row r="50" spans="2:13" x14ac:dyDescent="0.25">
      <c r="B50" s="50"/>
      <c r="C50" s="51"/>
      <c r="D50" s="63"/>
      <c r="E50" s="51"/>
      <c r="F50" s="51"/>
      <c r="G50" s="51"/>
      <c r="H50" s="51"/>
      <c r="I50" s="51"/>
      <c r="J50" s="56"/>
    </row>
    <row r="51" spans="2:13" ht="18.600000000000001" customHeight="1" x14ac:dyDescent="0.25">
      <c r="B51" s="50"/>
      <c r="C51" s="51"/>
      <c r="D51" s="63" t="s">
        <v>2</v>
      </c>
      <c r="E51" s="150"/>
      <c r="F51" s="150"/>
      <c r="G51" s="51" t="s">
        <v>116</v>
      </c>
      <c r="H51" s="51"/>
      <c r="I51" s="51"/>
      <c r="J51" s="56"/>
    </row>
    <row r="52" spans="2:13" ht="18.75" customHeight="1" x14ac:dyDescent="0.25">
      <c r="B52" s="50"/>
      <c r="C52" s="51"/>
      <c r="D52" s="63"/>
      <c r="E52" s="67"/>
      <c r="F52" s="67"/>
      <c r="G52" s="51"/>
      <c r="H52" s="51"/>
      <c r="I52" s="51"/>
      <c r="J52" s="56"/>
      <c r="L52" s="68"/>
    </row>
    <row r="53" spans="2:13" ht="18.75" customHeight="1" x14ac:dyDescent="0.25">
      <c r="B53" s="50"/>
      <c r="C53" s="51"/>
      <c r="D53" s="92" t="s">
        <v>119</v>
      </c>
      <c r="E53" s="67"/>
      <c r="F53" s="67"/>
      <c r="G53" s="51"/>
      <c r="H53" s="51"/>
      <c r="I53" s="51"/>
      <c r="J53" s="56"/>
    </row>
    <row r="54" spans="2:13" ht="18.75" customHeight="1" x14ac:dyDescent="0.25">
      <c r="B54" s="50"/>
      <c r="C54" s="51"/>
      <c r="D54" s="64"/>
      <c r="E54" s="69"/>
      <c r="F54" s="69"/>
      <c r="G54" s="51"/>
      <c r="H54" s="51"/>
      <c r="I54" s="51"/>
      <c r="J54" s="56"/>
    </row>
    <row r="55" spans="2:13" ht="18.75" customHeight="1" x14ac:dyDescent="0.25">
      <c r="B55" s="50"/>
      <c r="C55" s="51"/>
      <c r="D55" s="63" t="str">
        <f>IF('Spek Produk'!F9="Konvensional",IF(E44="Yes","Uang Pertanggungan (Setelah Atribusi)","Uang Pertanggungan"),IF(E44="Yes","Santunan Asuransi (Setelah Atribusi)","Santunan Asuransi"))</f>
        <v>Santunan Asuransi (Setelah Atribusi)</v>
      </c>
      <c r="E55" s="156">
        <f ca="1">IF(IF(E44="Yes",E41/(1-((E47+E47*E51/100)/1000)),E41)&gt;'Spek Produk'!F8,"UP: Maksimum IDR "&amp;TEXT('Spek Produk'!F8,"000,000"),IF(E44="Yes",E41/(1-((E47+E47*E51/100)/1000)),E41))</f>
        <v>519998266.6724444</v>
      </c>
      <c r="F55" s="156"/>
      <c r="G55" s="51"/>
      <c r="H55" s="51"/>
      <c r="I55" s="51"/>
      <c r="J55" s="56"/>
      <c r="L55" s="109"/>
      <c r="M55" s="109"/>
    </row>
    <row r="56" spans="2:13" ht="18.75" customHeight="1" x14ac:dyDescent="0.25">
      <c r="B56" s="50"/>
      <c r="C56" s="51"/>
      <c r="D56" s="51" t="str">
        <f>IF('Spek Produk'!F9="Konvensional","Premi Sekaligus","Kontribusi Sekaligus")</f>
        <v>Kontribusi Sekaligus</v>
      </c>
      <c r="E56" s="153">
        <f ca="1">IF(D61="-",C62,IF(E35*12+E36&gt;'Spek Produk'!$I$10*12,"Perhatikan Ketentuan Masa Asuransi",
IF(E44="Yes",IFERROR(ROUND(E47,2)*E55/1000,"Perhatikan Ketentuan Usia + Masa Asuransi"),
IFERROR(ROUND(E47,2)*E41/1000,"Perhatikan Ketentuan Usia + Masa Asuransi"))))</f>
        <v>39998266.672444426</v>
      </c>
      <c r="F56" s="153"/>
      <c r="G56" s="51"/>
      <c r="H56" s="51"/>
      <c r="I56" s="51"/>
      <c r="J56" s="56"/>
      <c r="L56" s="110"/>
      <c r="M56" s="70"/>
    </row>
    <row r="57" spans="2:13" ht="18.75" customHeight="1" x14ac:dyDescent="0.25">
      <c r="B57" s="50"/>
      <c r="C57" s="51"/>
      <c r="D57" s="51" t="str">
        <f>IF('Spek Produk'!F9="Konvensional","Extra Premi","Extra Kontribusi")</f>
        <v>Extra Kontribusi</v>
      </c>
      <c r="E57" s="154">
        <f ca="1">IF(D61="-",C62,IF(E35*12+E36&gt;'Spek Produk'!$I$10*12,"Perhatikan Ketentuan Masa Asuransi",
IF(E44="Yes",IFERROR(E51*E56/100,"Perhatikan Ketentuan Usia + Masa Asuransi"),
IFERROR(E51*E56/100,"Perhatikan Ketentuan Usia + Masa Asuransi"))))</f>
        <v>0</v>
      </c>
      <c r="F57" s="154"/>
      <c r="G57" s="112"/>
      <c r="H57" s="51"/>
      <c r="I57" s="51"/>
      <c r="J57" s="56"/>
    </row>
    <row r="58" spans="2:13" ht="18.75" customHeight="1" x14ac:dyDescent="0.25">
      <c r="B58" s="50"/>
      <c r="C58" s="51"/>
      <c r="D58" s="71" t="s">
        <v>120</v>
      </c>
      <c r="E58" s="153">
        <f ca="1">IF(D61="-",C62,IF(E35*12+E36&gt;'Spek Produk'!$I$10*12,"Perhatikan Ketentuan Masa Asuransi",SUM(E56:F57)))</f>
        <v>39998266.672444426</v>
      </c>
      <c r="F58" s="153"/>
      <c r="G58" s="51"/>
      <c r="H58" s="51"/>
      <c r="I58" s="51"/>
      <c r="J58" s="56"/>
      <c r="L58" s="109"/>
    </row>
    <row r="59" spans="2:13" ht="18.75" customHeight="1" x14ac:dyDescent="0.25">
      <c r="B59" s="50"/>
      <c r="C59" s="51"/>
      <c r="D59" s="51"/>
      <c r="E59" s="72"/>
      <c r="F59" s="72"/>
      <c r="G59" s="51"/>
      <c r="H59" s="51"/>
      <c r="I59" s="51"/>
      <c r="J59" s="56"/>
    </row>
    <row r="60" spans="2:13" ht="18.75" customHeight="1" x14ac:dyDescent="0.25">
      <c r="B60" s="50"/>
      <c r="C60" s="51"/>
      <c r="G60" s="51"/>
      <c r="H60" s="51"/>
      <c r="I60" s="51"/>
      <c r="J60" s="56"/>
    </row>
    <row r="61" spans="2:13" ht="18.75" customHeight="1" x14ac:dyDescent="0.25">
      <c r="B61" s="50"/>
      <c r="C61" s="51" t="s">
        <v>12</v>
      </c>
      <c r="D61" s="92" t="str">
        <f ca="1">IF(H35&lt;&gt;"","Perhatikan Ketentuan Usia + Masa Asuransi",IFERROR(VLOOKUP(VALUE(MID($H$29,7,2)),Medic!$A$2:$L$8,MATCH(E55,Medic!$B$2:$L$2,1)+1,TRUE),"-"))</f>
        <v>Non Medical Check Up</v>
      </c>
      <c r="F61" s="51"/>
      <c r="G61" s="51"/>
      <c r="H61" s="51"/>
      <c r="I61" s="51"/>
      <c r="J61" s="56"/>
    </row>
    <row r="62" spans="2:13" ht="18.75" customHeight="1" x14ac:dyDescent="0.25">
      <c r="B62" s="50"/>
      <c r="C62" s="151" t="str">
        <f ca="1">IFERROR(IF(D61="Medical Check Up","Silakan menghubungi PIC PT Asuransi Simas Jiwa untuk mendapat penjelasan lebih lanjut.",""),"Perhatikan ketentuan batas UP maksimum sesuai usia masuk")</f>
        <v/>
      </c>
      <c r="D62" s="151"/>
      <c r="E62" s="151"/>
      <c r="F62" s="151"/>
      <c r="G62" s="151"/>
      <c r="H62" s="151"/>
      <c r="I62" s="151"/>
      <c r="J62" s="56"/>
    </row>
    <row r="63" spans="2:13" ht="18.75" customHeight="1" x14ac:dyDescent="0.25">
      <c r="B63" s="50"/>
      <c r="C63" s="151"/>
      <c r="D63" s="151"/>
      <c r="E63" s="151"/>
      <c r="F63" s="151"/>
      <c r="G63" s="151"/>
      <c r="H63" s="151"/>
      <c r="I63" s="151"/>
      <c r="J63" s="56"/>
    </row>
    <row r="64" spans="2:13" ht="18.75" customHeight="1" x14ac:dyDescent="0.25">
      <c r="B64" s="50"/>
      <c r="C64" s="151"/>
      <c r="D64" s="151"/>
      <c r="E64" s="151"/>
      <c r="F64" s="151"/>
      <c r="G64" s="151"/>
      <c r="H64" s="151"/>
      <c r="I64" s="151"/>
      <c r="J64" s="56"/>
    </row>
    <row r="65" spans="2:10" ht="18.75" customHeight="1" x14ac:dyDescent="0.25">
      <c r="B65" s="50"/>
      <c r="C65" s="151"/>
      <c r="D65" s="151"/>
      <c r="E65" s="151"/>
      <c r="F65" s="151"/>
      <c r="G65" s="151"/>
      <c r="H65" s="151"/>
      <c r="I65" s="151"/>
      <c r="J65" s="56"/>
    </row>
    <row r="66" spans="2:10" ht="18.75" customHeight="1" x14ac:dyDescent="0.25">
      <c r="B66" s="50"/>
      <c r="C66" s="51"/>
      <c r="D66" s="53"/>
      <c r="E66" s="53"/>
      <c r="F66" s="51"/>
      <c r="G66" s="51"/>
      <c r="H66" s="51"/>
      <c r="I66" s="51"/>
      <c r="J66" s="56"/>
    </row>
    <row r="67" spans="2:10" ht="18.75" customHeight="1" x14ac:dyDescent="0.25">
      <c r="B67" s="50"/>
      <c r="C67" s="53" t="s">
        <v>13</v>
      </c>
      <c r="D67" s="53"/>
      <c r="F67" s="51"/>
      <c r="G67" s="51"/>
      <c r="H67" s="51"/>
      <c r="I67" s="51"/>
      <c r="J67" s="56"/>
    </row>
    <row r="68" spans="2:10" ht="18.75" customHeight="1" x14ac:dyDescent="0.25">
      <c r="B68" s="50"/>
      <c r="C68" s="49" t="str">
        <f>'Spek Produk'!F7</f>
        <v>Bank Syariah Indonesia</v>
      </c>
      <c r="D68" s="53"/>
      <c r="E68" s="53"/>
      <c r="F68" s="51"/>
      <c r="G68" s="51"/>
      <c r="H68" s="51"/>
      <c r="I68" s="51"/>
      <c r="J68" s="56"/>
    </row>
    <row r="69" spans="2:10" ht="18.75" customHeight="1" x14ac:dyDescent="0.25">
      <c r="B69" s="50"/>
      <c r="C69" s="53"/>
      <c r="D69" s="53"/>
      <c r="E69" s="53"/>
      <c r="F69" s="51"/>
      <c r="G69" s="51"/>
      <c r="H69" s="51"/>
      <c r="I69" s="51"/>
      <c r="J69" s="56"/>
    </row>
    <row r="70" spans="2:10" ht="18.75" customHeight="1" x14ac:dyDescent="0.25">
      <c r="B70" s="50"/>
      <c r="C70" s="53"/>
      <c r="D70" s="53"/>
      <c r="E70" s="53"/>
      <c r="F70" s="51"/>
      <c r="G70" s="51"/>
      <c r="H70" s="51"/>
      <c r="I70" s="51"/>
      <c r="J70" s="56"/>
    </row>
    <row r="71" spans="2:10" ht="18.75" customHeight="1" x14ac:dyDescent="0.25">
      <c r="B71" s="50"/>
      <c r="C71" s="53" t="s">
        <v>14</v>
      </c>
      <c r="D71" s="73">
        <f ca="1">NOW()</f>
        <v>46324.52405497685</v>
      </c>
      <c r="E71" s="53"/>
      <c r="F71" s="51"/>
      <c r="G71" s="51"/>
      <c r="H71" s="51"/>
      <c r="I71" s="51"/>
      <c r="J71" s="56"/>
    </row>
    <row r="72" spans="2:10" ht="18.75" customHeight="1" x14ac:dyDescent="0.25">
      <c r="B72" s="50"/>
      <c r="C72" s="51"/>
      <c r="D72" s="53"/>
      <c r="E72" s="53"/>
      <c r="F72" s="51"/>
      <c r="G72" s="51"/>
      <c r="H72" s="51"/>
      <c r="I72" s="51"/>
      <c r="J72" s="56"/>
    </row>
    <row r="73" spans="2:10" x14ac:dyDescent="0.25">
      <c r="B73" s="50"/>
      <c r="C73" s="51"/>
      <c r="D73" s="51"/>
      <c r="E73" s="149"/>
      <c r="F73" s="149"/>
      <c r="G73" s="51"/>
      <c r="H73" s="51"/>
      <c r="I73" s="51"/>
      <c r="J73" s="56"/>
    </row>
    <row r="74" spans="2:10" x14ac:dyDescent="0.25">
      <c r="B74" s="130"/>
      <c r="C74" s="131"/>
      <c r="D74" s="131"/>
      <c r="E74" s="131"/>
      <c r="F74" s="131"/>
      <c r="G74" s="131"/>
      <c r="H74" s="131"/>
      <c r="I74" s="131"/>
      <c r="J74" s="132"/>
    </row>
    <row r="75" spans="2:10" ht="16.5" thickBot="1" x14ac:dyDescent="0.3">
      <c r="B75" s="133"/>
      <c r="C75" s="134"/>
      <c r="D75" s="134"/>
      <c r="E75" s="134"/>
      <c r="F75" s="134"/>
      <c r="G75" s="134"/>
      <c r="H75" s="134"/>
      <c r="I75" s="134"/>
      <c r="J75" s="135"/>
    </row>
    <row r="76" spans="2:10" ht="16.5" thickTop="1" x14ac:dyDescent="0.25"/>
  </sheetData>
  <sheetProtection algorithmName="SHA-512" hashValue="6frtBcATVD2jt2XN/oH+lJQhYlf4nOvvDqAbcnv/X/5yYIkyeX0IXbaWOchN7zzsysumFPB91iEkXCV5T8TzHg==" saltValue="LhERYuHzcvX7lC/f8j3kNg==" spinCount="100000" sheet="1" objects="1" scenarios="1"/>
  <dataConsolidate/>
  <mergeCells count="35">
    <mergeCell ref="E73:F73"/>
    <mergeCell ref="E51:F51"/>
    <mergeCell ref="C62:I65"/>
    <mergeCell ref="E41:F42"/>
    <mergeCell ref="D41:D42"/>
    <mergeCell ref="E56:F56"/>
    <mergeCell ref="E57:F57"/>
    <mergeCell ref="E58:F58"/>
    <mergeCell ref="H41:I42"/>
    <mergeCell ref="E55:F55"/>
    <mergeCell ref="E47:F47"/>
    <mergeCell ref="E49:F49"/>
    <mergeCell ref="H29:I30"/>
    <mergeCell ref="E44:F45"/>
    <mergeCell ref="D38:D39"/>
    <mergeCell ref="E38:F39"/>
    <mergeCell ref="H35:I36"/>
    <mergeCell ref="D44:D45"/>
    <mergeCell ref="E35:F35"/>
    <mergeCell ref="B4:J5"/>
    <mergeCell ref="B74:J75"/>
    <mergeCell ref="D14:G15"/>
    <mergeCell ref="E36:F36"/>
    <mergeCell ref="C17:I18"/>
    <mergeCell ref="D20:D21"/>
    <mergeCell ref="D23:D24"/>
    <mergeCell ref="D26:D27"/>
    <mergeCell ref="E29:F30"/>
    <mergeCell ref="D29:D30"/>
    <mergeCell ref="E32:F33"/>
    <mergeCell ref="D35:D36"/>
    <mergeCell ref="D32:D33"/>
    <mergeCell ref="E23:H24"/>
    <mergeCell ref="E20:H21"/>
    <mergeCell ref="E26:H27"/>
  </mergeCells>
  <phoneticPr fontId="2" type="noConversion"/>
  <dataValidations count="3">
    <dataValidation type="list" allowBlank="1" showInputMessage="1" showErrorMessage="1" sqref="E23" xr:uid="{00000000-0002-0000-0100-000002000000}">
      <formula1>"Laki-Laki, Perempuan"</formula1>
    </dataValidation>
    <dataValidation type="list" operator="lessThanOrEqual" allowBlank="1" showInputMessage="1" showErrorMessage="1" errorTitle="Uang Pertanggungan" error="Uang Pertanggungan yang dipilih tidak sesuai dengan spesifikasi produk Asuransi!" sqref="E44:F45" xr:uid="{A5B0E265-8F7A-4207-98EB-8CC79FE1CDC3}">
      <formula1>"Yes,No"</formula1>
    </dataValidation>
    <dataValidation type="decimal" allowBlank="1" showInputMessage="1" showErrorMessage="1" sqref="E49:F49" xr:uid="{D7F409B4-6507-43C1-A8D4-7806047A2AA5}">
      <formula1>0</formula1>
      <formula2>5</formula2>
    </dataValidation>
  </dataValidations>
  <printOptions horizontalCentered="1"/>
  <pageMargins left="0.25" right="0.25" top="1" bottom="1" header="0.5" footer="0.5"/>
  <pageSetup paperSize="9" scale="64" orientation="portrait" r:id="rId1"/>
  <headerFooter alignWithMargins="0"/>
  <ignoredErrors>
    <ignoredError sqref="D71 F56 E59:F59 F58"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IF(OR($G$29+$E$35&gt;='Spek Produk'!$H$12,$E$35&gt;='Spek Produk'!$I$10),'Spek Produk'!$AR$25,'Spek Produk'!$AR$25:$AR$36)</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Z57"/>
  <sheetViews>
    <sheetView showGridLines="0" zoomScale="56" zoomScaleNormal="100" workbookViewId="0">
      <pane xSplit="2" ySplit="5" topLeftCell="J12" activePane="bottomRight" state="frozen"/>
      <selection pane="topRight" activeCell="C1" sqref="C1"/>
      <selection pane="bottomLeft" activeCell="A6" sqref="A6"/>
      <selection pane="bottomRight" activeCell="U23" sqref="U23"/>
    </sheetView>
  </sheetViews>
  <sheetFormatPr defaultColWidth="8.7109375" defaultRowHeight="15" x14ac:dyDescent="0.25"/>
  <cols>
    <col min="1" max="1" width="7.42578125" style="31" customWidth="1"/>
    <col min="2" max="2" width="33.28515625" style="47" customWidth="1"/>
    <col min="3" max="3" width="18.7109375" style="32" customWidth="1"/>
    <col min="4" max="4" width="53.42578125" style="47" customWidth="1"/>
    <col min="5" max="5" width="25.28515625" style="31" customWidth="1"/>
    <col min="6" max="7" width="18.7109375" style="31" customWidth="1"/>
    <col min="8" max="8" width="25.28515625" style="31" customWidth="1"/>
    <col min="9" max="9" width="25.28515625" style="74" customWidth="1"/>
    <col min="10" max="10" width="25.28515625" style="31" customWidth="1"/>
    <col min="11" max="12" width="8.7109375" style="47"/>
    <col min="13" max="14" width="21.28515625" style="31" customWidth="1"/>
    <col min="15" max="15" width="21.28515625" style="87" customWidth="1"/>
    <col min="16" max="16" width="3.7109375" style="76" customWidth="1"/>
    <col min="17" max="17" width="21.28515625" style="31" customWidth="1"/>
    <col min="18" max="24" width="21.28515625" style="47" customWidth="1"/>
    <col min="25" max="25" width="8.7109375" style="77"/>
    <col min="26" max="26" width="15.85546875" style="76" bestFit="1" customWidth="1"/>
    <col min="27" max="16384" width="8.7109375" style="76"/>
  </cols>
  <sheetData>
    <row r="1" spans="1:26" ht="18" customHeight="1" x14ac:dyDescent="0.25">
      <c r="A1" s="32" t="str">
        <f>'Spek Produk'!F7</f>
        <v>Bank Syariah Indonesia</v>
      </c>
      <c r="B1" s="32"/>
      <c r="D1" s="32"/>
      <c r="K1" s="32"/>
      <c r="L1" s="32"/>
      <c r="O1" s="75"/>
      <c r="R1" s="32"/>
      <c r="S1" s="32"/>
      <c r="T1" s="32"/>
      <c r="U1" s="32"/>
      <c r="V1" s="32"/>
      <c r="W1" s="32"/>
      <c r="X1" s="32"/>
    </row>
    <row r="2" spans="1:26" ht="18" customHeight="1" x14ac:dyDescent="0.25">
      <c r="A2" s="32"/>
      <c r="B2" s="32"/>
      <c r="D2" s="32"/>
      <c r="I2" s="78"/>
      <c r="K2" s="32"/>
      <c r="L2" s="32"/>
      <c r="O2" s="75"/>
      <c r="Q2" s="48" t="str">
        <f ca="1">IF(COUNTIF(Y6:Y55,"&lt;&gt;"&amp;" ")&gt;0,"Terdapat peserta dengan usia / UP / masa asuransi yang tidak sesuai dengan fitur produk. Mohon cek kembali!","")</f>
        <v/>
      </c>
      <c r="U2" s="32"/>
      <c r="V2" s="32"/>
      <c r="W2" s="32"/>
      <c r="X2" s="32"/>
    </row>
    <row r="3" spans="1:26" ht="18" customHeight="1" x14ac:dyDescent="0.25">
      <c r="A3" s="32"/>
      <c r="B3" s="32"/>
      <c r="D3" s="32"/>
      <c r="K3" s="32"/>
      <c r="L3" s="32"/>
      <c r="O3" s="79"/>
      <c r="R3" s="31"/>
      <c r="S3" s="31"/>
      <c r="T3" s="31"/>
      <c r="U3" s="31"/>
      <c r="V3" s="31"/>
      <c r="W3" s="31"/>
      <c r="X3" s="31"/>
    </row>
    <row r="4" spans="1:26" ht="18" customHeight="1" x14ac:dyDescent="0.25">
      <c r="A4" s="166" t="s">
        <v>58</v>
      </c>
      <c r="B4" s="165" t="s">
        <v>96</v>
      </c>
      <c r="C4" s="167" t="s">
        <v>59</v>
      </c>
      <c r="D4" s="166" t="s">
        <v>10</v>
      </c>
      <c r="E4" s="166" t="s">
        <v>60</v>
      </c>
      <c r="F4" s="166" t="s">
        <v>61</v>
      </c>
      <c r="G4" s="166" t="s">
        <v>9</v>
      </c>
      <c r="H4" s="166" t="s">
        <v>62</v>
      </c>
      <c r="I4" s="169" t="s">
        <v>63</v>
      </c>
      <c r="J4" s="169" t="s">
        <v>64</v>
      </c>
      <c r="K4" s="166" t="s">
        <v>65</v>
      </c>
      <c r="L4" s="166"/>
      <c r="M4" s="165" t="str">
        <f>"Plan "&amp;O4</f>
        <v>Plan Santunan Asuransi</v>
      </c>
      <c r="N4" s="158" t="s">
        <v>109</v>
      </c>
      <c r="O4" s="162" t="str">
        <f>IF('Spek Produk'!F9="Konvensional","Uang Pertanggungan","Santunan Asuransi")</f>
        <v>Santunan Asuransi</v>
      </c>
      <c r="Q4" s="163" t="s">
        <v>117</v>
      </c>
      <c r="R4" s="163" t="s">
        <v>66</v>
      </c>
      <c r="S4" s="160" t="s">
        <v>118</v>
      </c>
      <c r="T4" s="160" t="str">
        <f>IF('Spek Produk'!F9="Konvensional","Total Uang Pertanggungan","Total Santunan Asuransi")</f>
        <v>Total Santunan Asuransi</v>
      </c>
      <c r="U4" s="163" t="s">
        <v>67</v>
      </c>
      <c r="V4" s="164" t="str">
        <f>IF('Spek Produk'!F9="Konvensional","Premi Gross","Kontribusi Gross")</f>
        <v>Kontribusi Gross</v>
      </c>
      <c r="W4" s="160" t="str">
        <f>IF('Spek Produk'!F9="Konvensional","Ekstra Premi","Ekstra Kontribusi")</f>
        <v>Ekstra Kontribusi</v>
      </c>
      <c r="X4" s="160" t="str">
        <f>IF('Spek Produk'!F9="Konvensional","Total Premi","Total Kontribusi")</f>
        <v>Total Kontribusi</v>
      </c>
    </row>
    <row r="5" spans="1:26" ht="18" customHeight="1" x14ac:dyDescent="0.25">
      <c r="A5" s="166"/>
      <c r="B5" s="165"/>
      <c r="C5" s="168"/>
      <c r="D5" s="166"/>
      <c r="E5" s="166"/>
      <c r="F5" s="166"/>
      <c r="G5" s="166"/>
      <c r="H5" s="166"/>
      <c r="I5" s="170"/>
      <c r="J5" s="170"/>
      <c r="K5" s="80" t="s">
        <v>1</v>
      </c>
      <c r="L5" s="80" t="s">
        <v>0</v>
      </c>
      <c r="M5" s="165"/>
      <c r="N5" s="159"/>
      <c r="O5" s="162"/>
      <c r="Q5" s="163"/>
      <c r="R5" s="163"/>
      <c r="S5" s="161"/>
      <c r="T5" s="161"/>
      <c r="U5" s="163"/>
      <c r="V5" s="164"/>
      <c r="W5" s="161"/>
      <c r="X5" s="161"/>
    </row>
    <row r="6" spans="1:26" x14ac:dyDescent="0.25">
      <c r="A6" s="43">
        <v>1</v>
      </c>
      <c r="B6" s="34" t="s">
        <v>98</v>
      </c>
      <c r="C6" s="35" t="s">
        <v>68</v>
      </c>
      <c r="D6" s="34" t="s">
        <v>69</v>
      </c>
      <c r="E6" s="36" t="s">
        <v>103</v>
      </c>
      <c r="F6" s="33" t="s">
        <v>70</v>
      </c>
      <c r="G6" s="33" t="s">
        <v>71</v>
      </c>
      <c r="H6" s="37" t="s">
        <v>79</v>
      </c>
      <c r="I6" s="88">
        <v>23085</v>
      </c>
      <c r="J6" s="88">
        <v>45777</v>
      </c>
      <c r="K6" s="33">
        <v>8</v>
      </c>
      <c r="L6" s="33">
        <v>0</v>
      </c>
      <c r="M6" s="33" t="s">
        <v>91</v>
      </c>
      <c r="N6" s="33" t="s">
        <v>110</v>
      </c>
      <c r="O6" s="38">
        <v>27295854</v>
      </c>
      <c r="Q6" s="108">
        <v>50</v>
      </c>
      <c r="R6" s="39">
        <f>IFERROR(INT(YEARFRAC(I6,J6,0)+0.5),"")</f>
        <v>62</v>
      </c>
      <c r="S6" s="111">
        <f t="shared" ref="S6:S37" si="0">IFERROR(IF(R6=0,0,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Perhatikan Ketentuan Usia + Masa Asuransi")</f>
        <v>88.27</v>
      </c>
      <c r="T6" s="105">
        <f ca="1">IF(N6="Yes",IF(O6/(1-(IFERROR(IF(R6=0,0,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
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Q6/100),"Perhatikan Ketentuan Usia + Masa Asuransi")/1000))&gt;'Spek Produk'!$F$8,"UP lebih besar dari fitur produk",O6/(1-(IFERROR(IF(R6=0,0,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
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Q6/100),"Perhatikan Ketentuan Usia + Masa Asuransi")/1000))),O6)</f>
        <v>31461516.029944848</v>
      </c>
      <c r="U6" s="40" t="str">
        <f ca="1">IF(Y6&lt;&gt;" ",Y6,IFERROR(VLOOKUP(R6,IF('Spek Produk'!$F$9="Syariah",Medic!$A$21:$L$27,Medic!$A$12:$L$18),MATCH(T6,IF('Spek Produk'!$F$9="Syariah",Medic!$B$21:$L$21,Medic!$B$12:$L$12),TRUE)+1),""))</f>
        <v>Non Medical Check Up</v>
      </c>
      <c r="V6" s="91">
        <f ca="1">IF(Y6&lt;&gt;" ",Y6,IF(T6="","",IFERROR(IF(R6=0,0,ROUND(IF(K6*12+L6&lt;12,VLOOKUP(K6*12+L6,Faktor_Multiplier,2,FALSE)*VLOOKUP(R6,IF(M6="Menurun",Premium_Table_Dec,Premium_Table_Flat),2,FALSE),VLOOKUP(R6,IF(M6="Menurun",Premium_Table_Dec,Premium_Table_Flat),K6+1,FALSE)+IFERROR((VLOOKUP(R6,IF(M6="Menurun",Premium_Table_Dec,Premium_Table_Flat),K6+2,FALSE)-VLOOKUP(R6,IF(M6="Menurun",Premium_Table_Dec,Premium_Table_Flat),K6+1,FALSE)),0)*L6/12),2)*T6/1000),"Perhatikan Ketentuan Usia + Masa Asuransi")))</f>
        <v>2777108.0199632314</v>
      </c>
      <c r="W6" s="41">
        <f ca="1">IFERROR(IF(Y6&lt;&gt;" ",Y6,IF(O6="","",V6*Q6/100)),"Perhatikan Ketentuan Usia + Masa Asuransi")</f>
        <v>1388554.0099816159</v>
      </c>
      <c r="X6" s="91">
        <f ca="1">IFERROR(IF(Y6&lt;&gt;" ",Y6,IF(O6="","",V6+W6)),"Perhatikan Ketentuan Usia + Masa Asuransi")</f>
        <v>4165662.0299448473</v>
      </c>
      <c r="Y6" s="77" t="str" cm="1">
        <f t="array" aca="1" ref="Y6" ca="1">IF(M6="Menurun",IF(AND(R6&gt;'Spek Produk'!$I$23,R6&lt;&gt;""),"Usia masuk lebih besar dari fitur produk",IF(AND(R6&lt;'Spek Produk'!$G$23,R6&lt;&gt;0,R6&lt;&gt;""),"Usia masuk lebih rendah dari fitur produk",IF(OR(O6&gt;_xlfn.IFS(R6+K6+(L6/12)&lt;='Spek Produk'!$C$40,'Spek Produk'!$D$40,R6+K6+(L6/12)&gt;'Spek Produk'!$C$40,'Spek Produk'!$D$41),T6&gt;_xlfn.IFS(R6+K6+(L6/12)&lt;='Spek Produk'!$C$40,'Spek Produk'!$D$40,R6+K6+(L6/12)&gt;'Spek Produk'!$C$40,'Spek Produk'!$D$41),IFERROR(VLOOKUP(R6,IF('Spek Produk'!$F$9="Syariah",Medic!$A$21:$L$27,Medic!$A$12:$L$18),MATCH(T6,IF('Spek Produk'!$F$9="Syariah",Medic!$B$21:$L$21,Medic!$B$12:$L$12),TRUE)+1)="-","")),"UP lebih besar dari fitur produk",IF(K6+L6/12&gt;'Spek Produk'!$I$22,"Masa asuransi lebih besar dari fitur produk",IF(AND(R6+K6+L6/12&gt;'Spek Produk'!$H$24,R6&lt;&gt;0,R6&lt;&gt;""),"Maksimum masa asuransi untuk nasabah berusia "&amp;R6&amp;" tahun adalah "&amp;MAX(0,'Spek Produk'!$H$24-R6)&amp;" tahun",IF(AND(0&lt;K6+L6/12,K6+L6/12&lt;'Spek Produk'!$G$22),"Masa asuransi lebih kecil dari fitur produk"," ")))))),IF(AND(R6&gt;'Spek Produk'!$I$35,R6&lt;&gt;""),"Usia masuk lebih besar dari fitur produk",IF(AND(R6&lt;'Spek Produk'!$G$35,R6&lt;&gt;0,R6&lt;&gt;""),"Usia masuk lebih rendah dari fitur produk",IF(OR(O6&gt;_xlfn.IFS(R6+K6+(L6/12)&lt;='Spek Produk'!$C$40,'Spek Produk'!$D$40,R6+K6+(L6/12)&gt;'Spek Produk'!$C$40,'Spek Produk'!$D$41),T6&gt;_xlfn.IFS(R6+K6+(L6/12)&lt;='Spek Produk'!$C$40,'Spek Produk'!$D$40,R6+K6+(L6/12)&gt;'Spek Produk'!$C$40,'Spek Produk'!$D$41),IFERROR(VLOOKUP(R6,IF('Spek Produk'!$F$9="Syariah",Medic!$A$21:$L$27,Medic!$A$12:$L$18),MATCH(T6,IF('Spek Produk'!$F$9="Syariah",Medic!$B$21:$L$21,Medic!$B$12:$L$12),TRUE)+1)="-","")),"UP lebih besar dari fitur produk",IF(K6+L6/12&gt;'Spek Produk'!$I$34,"Masa asuransi lebih besar dari fitur produk",IF(AND(R6+K6+L6/12&gt;'Spek Produk'!$H$36,R6&lt;&gt;0,R6&lt;&gt;""),"Maksimum masa asuransi untuk nasabah berusia "&amp;R6&amp;" tahun adalah "&amp;MAX(0,'Spek Produk'!$H$36-R6)&amp;" tahun",IF(AND(0&lt;K6+L6/12,K6+L6/12&lt;'Spek Produk'!$G$34),"Masa asuransi lebih Kecil dari fitur produk"," ")))))))</f>
        <v xml:space="preserve"> </v>
      </c>
      <c r="Z6" s="107"/>
    </row>
    <row r="7" spans="1:26" x14ac:dyDescent="0.25">
      <c r="A7" s="43">
        <f>+A6+1</f>
        <v>2</v>
      </c>
      <c r="B7" s="34" t="s">
        <v>99</v>
      </c>
      <c r="C7" s="35" t="s">
        <v>68</v>
      </c>
      <c r="D7" s="34" t="s">
        <v>72</v>
      </c>
      <c r="E7" s="36" t="s">
        <v>104</v>
      </c>
      <c r="F7" s="33" t="s">
        <v>70</v>
      </c>
      <c r="G7" s="33" t="s">
        <v>11</v>
      </c>
      <c r="H7" s="37" t="s">
        <v>80</v>
      </c>
      <c r="I7" s="88">
        <v>26500</v>
      </c>
      <c r="J7" s="88">
        <v>45777</v>
      </c>
      <c r="K7" s="33">
        <v>0</v>
      </c>
      <c r="L7" s="33">
        <v>4</v>
      </c>
      <c r="M7" s="33" t="s">
        <v>91</v>
      </c>
      <c r="N7" s="33" t="s">
        <v>111</v>
      </c>
      <c r="O7" s="38">
        <v>75000000</v>
      </c>
      <c r="Q7" s="108">
        <v>0</v>
      </c>
      <c r="R7" s="39">
        <f t="shared" ref="R7:R55" si="1">IFERROR(INT(YEARFRAC(I7,J7,0)+0.5),"")</f>
        <v>53</v>
      </c>
      <c r="S7" s="111">
        <f t="shared" si="0"/>
        <v>3.38</v>
      </c>
      <c r="T7" s="105">
        <f>IF(N7="Yes",IF(O7/(1-(IFERROR(IF(R7=0,0,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
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Q7/100),"Perhatikan Ketentuan Usia + Masa Asuransi")/1000))&gt;'Spek Produk'!$F$8,"UP lebih besar dari fitur produk",O7/(1-(IFERROR(IF(R7=0,0,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
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Q7/100),"Perhatikan Ketentuan Usia + Masa Asuransi")/1000))),O7)</f>
        <v>75000000</v>
      </c>
      <c r="U7" s="40" t="str">
        <f>IF(Y7&lt;&gt;" ",Y7,IFERROR(VLOOKUP(R7,IF('Spek Produk'!$F$9="Syariah",Medic!$A$21:$L$27,Medic!$A$12:$L$18),MATCH(T7,IF('Spek Produk'!$F$9="Syariah",Medic!$B$21:$L$21,Medic!$B$12:$L$12),TRUE)+1),""))</f>
        <v>Non Medical Check Up</v>
      </c>
      <c r="V7" s="91">
        <f t="shared" ref="V7:V37" si="2">IF(Y7&lt;&gt;" ",Y7,IF(T7="","",IFERROR(IF(R7=0,0,ROUND(IF(K7*12+L7&lt;12,VLOOKUP(K7*12+L7,Faktor_Multiplier,2,FALSE)*VLOOKUP(R7,IF(M7="Menurun",Premium_Table_Dec,Premium_Table_Flat),2,FALSE),VLOOKUP(R7,IF(M7="Menurun",Premium_Table_Dec,Premium_Table_Flat),K7+1,FALSE)+IFERROR((VLOOKUP(R7,IF(M7="Menurun",Premium_Table_Dec,Premium_Table_Flat),K7+2,FALSE)-VLOOKUP(R7,IF(M7="Menurun",Premium_Table_Dec,Premium_Table_Flat),K7+1,FALSE)),0)*L7/12),2)*T7/1000),"Perhatikan Ketentuan Usia + Masa Asuransi")))</f>
        <v>253500</v>
      </c>
      <c r="W7" s="41">
        <f t="shared" ref="W7:W55" si="3">IFERROR(IF(Y7&lt;&gt;" ",Y7,IF(O7="","",V7*Q7/100)),"Perhatikan Ketentuan Usia + Masa Asuransi")</f>
        <v>0</v>
      </c>
      <c r="X7" s="91">
        <f t="shared" ref="X7:X55" si="4">IFERROR(IF(Y7&lt;&gt;" ",Y7,IF(O7="","",V7+W7)),"Perhatikan Ketentuan Usia + Masa Asuransi")</f>
        <v>253500</v>
      </c>
      <c r="Y7" s="77" t="str" cm="1">
        <f t="array" ref="Y7">IF(M7="Menurun",IF(AND(R7&gt;'Spek Produk'!$I$23,R7&lt;&gt;""),"Usia masuk lebih besar dari fitur produk",IF(AND(R7&lt;'Spek Produk'!$G$23,R7&lt;&gt;0,R7&lt;&gt;""),"Usia masuk lebih rendah dari fitur produk",IF(OR(O7&gt;_xlfn.IFS(R7+K7+(L7/12)&lt;='Spek Produk'!$C$40,'Spek Produk'!$D$40,R7+K7+(L7/12)&gt;'Spek Produk'!$C$40,'Spek Produk'!$D$41),T7&gt;_xlfn.IFS(R7+K7+(L7/12)&lt;='Spek Produk'!$C$40,'Spek Produk'!$D$40,R7+K7+(L7/12)&gt;'Spek Produk'!$C$40,'Spek Produk'!$D$41),IFERROR(VLOOKUP(R7,IF('Spek Produk'!$F$9="Syariah",Medic!$A$21:$L$27,Medic!$A$12:$L$18),MATCH(T7,IF('Spek Produk'!$F$9="Syariah",Medic!$B$21:$L$21,Medic!$B$12:$L$12),TRUE)+1)="-","")),"UP lebih besar dari fitur produk",IF(K7+L7/12&gt;'Spek Produk'!$I$22,"Masa asuransi lebih besar dari fitur produk",IF(AND(R7+K7+L7/12&gt;'Spek Produk'!$H$24,R7&lt;&gt;0,R7&lt;&gt;""),"Maksimum masa asuransi untuk nasabah berusia "&amp;R7&amp;" tahun adalah "&amp;MAX(0,'Spek Produk'!$H$24-R7)&amp;" tahun",IF(AND(0&lt;K7+L7/12,K7+L7/12&lt;'Spek Produk'!$G$22),"Masa asuransi lebih kecil dari fitur produk"," ")))))),IF(AND(R7&gt;'Spek Produk'!$I$35,R7&lt;&gt;""),"Usia masuk lebih besar dari fitur produk",IF(AND(R7&lt;'Spek Produk'!$G$35,R7&lt;&gt;0,R7&lt;&gt;""),"Usia masuk lebih rendah dari fitur produk",IF(OR(O7&gt;_xlfn.IFS(R7+K7+(L7/12)&lt;='Spek Produk'!$C$40,'Spek Produk'!$D$40,R7+K7+(L7/12)&gt;'Spek Produk'!$C$40,'Spek Produk'!$D$41),T7&gt;_xlfn.IFS(R7+K7+(L7/12)&lt;='Spek Produk'!$C$40,'Spek Produk'!$D$40,R7+K7+(L7/12)&gt;'Spek Produk'!$C$40,'Spek Produk'!$D$41),IFERROR(VLOOKUP(R7,IF('Spek Produk'!$F$9="Syariah",Medic!$A$21:$L$27,Medic!$A$12:$L$18),MATCH(T7,IF('Spek Produk'!$F$9="Syariah",Medic!$B$21:$L$21,Medic!$B$12:$L$12),TRUE)+1)="-","")),"UP lebih besar dari fitur produk",IF(K7+L7/12&gt;'Spek Produk'!$I$34,"Masa asuransi lebih besar dari fitur produk",IF(AND(R7+K7+L7/12&gt;'Spek Produk'!$H$36,R7&lt;&gt;0,R7&lt;&gt;""),"Maksimum masa asuransi untuk nasabah berusia "&amp;R7&amp;" tahun adalah "&amp;MAX(0,'Spek Produk'!$H$36-R7)&amp;" tahun",IF(AND(0&lt;K7+L7/12,K7+L7/12&lt;'Spek Produk'!$G$34),"Masa asuransi lebih Kecil dari fitur produk"," ")))))))</f>
        <v xml:space="preserve"> </v>
      </c>
      <c r="Z7" s="77"/>
    </row>
    <row r="8" spans="1:26" x14ac:dyDescent="0.25">
      <c r="A8" s="43">
        <f t="shared" ref="A8:A55" si="5">+A7+1</f>
        <v>3</v>
      </c>
      <c r="B8" s="34" t="s">
        <v>100</v>
      </c>
      <c r="C8" s="35" t="s">
        <v>68</v>
      </c>
      <c r="D8" s="34" t="s">
        <v>73</v>
      </c>
      <c r="E8" s="36" t="s">
        <v>105</v>
      </c>
      <c r="F8" s="33" t="s">
        <v>70</v>
      </c>
      <c r="G8" s="33" t="s">
        <v>11</v>
      </c>
      <c r="H8" s="37" t="s">
        <v>81</v>
      </c>
      <c r="I8" s="88">
        <v>25194</v>
      </c>
      <c r="J8" s="88">
        <v>45777</v>
      </c>
      <c r="K8" s="33">
        <v>5</v>
      </c>
      <c r="L8" s="33">
        <v>0</v>
      </c>
      <c r="M8" s="33" t="s">
        <v>91</v>
      </c>
      <c r="N8" s="33" t="s">
        <v>110</v>
      </c>
      <c r="O8" s="38">
        <v>400000000</v>
      </c>
      <c r="Q8" s="108">
        <v>20</v>
      </c>
      <c r="R8" s="39">
        <f t="shared" si="1"/>
        <v>56</v>
      </c>
      <c r="S8" s="111">
        <f t="shared" si="0"/>
        <v>37.32</v>
      </c>
      <c r="T8" s="105">
        <f ca="1">IF(N8="Yes",IF(O8/(1-(IFERROR(IF(R8=0,0,ROUND(IF(K8*12+L8&lt;12,VLOOKUP(K8*12+L8,Faktor_Multiplier,2,FALSE)*VLOOKUP(R8,IF(M8="Menurun",Premium_Table_Dec,Premium_Table_Flat),2,FALSE),VLOOKUP(R8,IF(M8="Menurun",Premium_Table_Dec,Premium_Table_Flat),K8+1,FALSE)+IFERROR((VLOOKUP(R8,IF(M8="Menurun",Premium_Table_Dec,Premium_Table_Flat),K8+2,FALSE)-VLOOKUP(R8,IF(M8="Menurun",Premium_Table_Dec,Premium_Table_Flat),K8+1,FALSE)),0)*L8/12),2)+
ROUND(IF(K8*12+L8&lt;12,VLOOKUP(K8*12+L8,Faktor_Multiplier,2,FALSE)*VLOOKUP(R8,IF(M8="Menurun",Premium_Table_Dec,Premium_Table_Flat),2,FALSE),VLOOKUP(R8,IF(M8="Menurun",Premium_Table_Dec,Premium_Table_Flat),K8+1,FALSE)+IFERROR((VLOOKUP(R8,IF(M8="Menurun",Premium_Table_Dec,Premium_Table_Flat),K8+2,FALSE)-VLOOKUP(R8,IF(M8="Menurun",Premium_Table_Dec,Premium_Table_Flat),K8+1,FALSE)),0)*L8/12),2)*Q8/100),"Perhatikan Ketentuan Usia + Masa Asuransi")/1000))&gt;'Spek Produk'!$F$8,"UP lebih besar dari fitur produk",O8/(1-(IFERROR(IF(R8=0,0,ROUND(IF(K8*12+L8&lt;12,VLOOKUP(K8*12+L8,Faktor_Multiplier,2,FALSE)*VLOOKUP(R8,IF(M8="Menurun",Premium_Table_Dec,Premium_Table_Flat),2,FALSE),VLOOKUP(R8,IF(M8="Menurun",Premium_Table_Dec,Premium_Table_Flat),K8+1,FALSE)+IFERROR((VLOOKUP(R8,IF(M8="Menurun",Premium_Table_Dec,Premium_Table_Flat),K8+2,FALSE)-VLOOKUP(R8,IF(M8="Menurun",Premium_Table_Dec,Premium_Table_Flat),K8+1,FALSE)),0)*L8/12),2)+
ROUND(IF(K8*12+L8&lt;12,VLOOKUP(K8*12+L8,Faktor_Multiplier,2,FALSE)*VLOOKUP(R8,IF(M8="Menurun",Premium_Table_Dec,Premium_Table_Flat),2,FALSE),VLOOKUP(R8,IF(M8="Menurun",Premium_Table_Dec,Premium_Table_Flat),K8+1,FALSE)+IFERROR((VLOOKUP(R8,IF(M8="Menurun",Premium_Table_Dec,Premium_Table_Flat),K8+2,FALSE)-VLOOKUP(R8,IF(M8="Menurun",Premium_Table_Dec,Premium_Table_Flat),K8+1,FALSE)),0)*L8/12),2)*Q8/100),"Perhatikan Ketentuan Usia + Masa Asuransi")/1000))),O8)</f>
        <v>418753454.71600145</v>
      </c>
      <c r="U8" s="40" t="str">
        <f ca="1">IF(Y8&lt;&gt;" ",Y8,IFERROR(VLOOKUP(R8,IF('Spek Produk'!$F$9="Syariah",Medic!$A$21:$L$27,Medic!$A$12:$L$18),MATCH(T8,IF('Spek Produk'!$F$9="Syariah",Medic!$B$21:$L$21,Medic!$B$12:$L$12),TRUE)+1),""))</f>
        <v>Non Medical Check Up</v>
      </c>
      <c r="V8" s="91">
        <f t="shared" ca="1" si="2"/>
        <v>15627878.930001175</v>
      </c>
      <c r="W8" s="41">
        <f t="shared" ca="1" si="3"/>
        <v>3125575.786000235</v>
      </c>
      <c r="X8" s="91">
        <f t="shared" ca="1" si="4"/>
        <v>18753454.71600141</v>
      </c>
      <c r="Y8" s="77" t="str" cm="1">
        <f t="array" aca="1" ref="Y8" ca="1">IF(M8="Menurun",IF(AND(R8&gt;'Spek Produk'!$I$23,R8&lt;&gt;""),"Usia masuk lebih besar dari fitur produk",IF(AND(R8&lt;'Spek Produk'!$G$23,R8&lt;&gt;0,R8&lt;&gt;""),"Usia masuk lebih rendah dari fitur produk",IF(OR(O8&gt;_xlfn.IFS(R8+K8+(L8/12)&lt;='Spek Produk'!$C$40,'Spek Produk'!$D$40,R8+K8+(L8/12)&gt;'Spek Produk'!$C$40,'Spek Produk'!$D$41),T8&gt;_xlfn.IFS(R8+K8+(L8/12)&lt;='Spek Produk'!$C$40,'Spek Produk'!$D$40,R8+K8+(L8/12)&gt;'Spek Produk'!$C$40,'Spek Produk'!$D$41),IFERROR(VLOOKUP(R8,IF('Spek Produk'!$F$9="Syariah",Medic!$A$21:$L$27,Medic!$A$12:$L$18),MATCH(T8,IF('Spek Produk'!$F$9="Syariah",Medic!$B$21:$L$21,Medic!$B$12:$L$12),TRUE)+1)="-","")),"UP lebih besar dari fitur produk",IF(K8+L8/12&gt;'Spek Produk'!$I$22,"Masa asuransi lebih besar dari fitur produk",IF(AND(R8+K8+L8/12&gt;'Spek Produk'!$H$24,R8&lt;&gt;0,R8&lt;&gt;""),"Maksimum masa asuransi untuk nasabah berusia "&amp;R8&amp;" tahun adalah "&amp;MAX(0,'Spek Produk'!$H$24-R8)&amp;" tahun",IF(AND(0&lt;K8+L8/12,K8+L8/12&lt;'Spek Produk'!$G$22),"Masa asuransi lebih kecil dari fitur produk"," ")))))),IF(AND(R8&gt;'Spek Produk'!$I$35,R8&lt;&gt;""),"Usia masuk lebih besar dari fitur produk",IF(AND(R8&lt;'Spek Produk'!$G$35,R8&lt;&gt;0,R8&lt;&gt;""),"Usia masuk lebih rendah dari fitur produk",IF(OR(O8&gt;_xlfn.IFS(R8+K8+(L8/12)&lt;='Spek Produk'!$C$40,'Spek Produk'!$D$40,R8+K8+(L8/12)&gt;'Spek Produk'!$C$40,'Spek Produk'!$D$41),T8&gt;_xlfn.IFS(R8+K8+(L8/12)&lt;='Spek Produk'!$C$40,'Spek Produk'!$D$40,R8+K8+(L8/12)&gt;'Spek Produk'!$C$40,'Spek Produk'!$D$41),IFERROR(VLOOKUP(R8,IF('Spek Produk'!$F$9="Syariah",Medic!$A$21:$L$27,Medic!$A$12:$L$18),MATCH(T8,IF('Spek Produk'!$F$9="Syariah",Medic!$B$21:$L$21,Medic!$B$12:$L$12),TRUE)+1)="-","")),"UP lebih besar dari fitur produk",IF(K8+L8/12&gt;'Spek Produk'!$I$34,"Masa asuransi lebih besar dari fitur produk",IF(AND(R8+K8+L8/12&gt;'Spek Produk'!$H$36,R8&lt;&gt;0,R8&lt;&gt;""),"Maksimum masa asuransi untuk nasabah berusia "&amp;R8&amp;" tahun adalah "&amp;MAX(0,'Spek Produk'!$H$36-R8)&amp;" tahun",IF(AND(0&lt;K8+L8/12,K8+L8/12&lt;'Spek Produk'!$G$34),"Masa asuransi lebih Kecil dari fitur produk"," ")))))))</f>
        <v xml:space="preserve"> </v>
      </c>
      <c r="Z8" s="77"/>
    </row>
    <row r="9" spans="1:26" x14ac:dyDescent="0.25">
      <c r="A9" s="43">
        <f t="shared" si="5"/>
        <v>4</v>
      </c>
      <c r="B9" s="34" t="s">
        <v>101</v>
      </c>
      <c r="C9" s="35" t="s">
        <v>68</v>
      </c>
      <c r="D9" s="34" t="s">
        <v>74</v>
      </c>
      <c r="E9" s="36" t="s">
        <v>106</v>
      </c>
      <c r="F9" s="33" t="s">
        <v>70</v>
      </c>
      <c r="G9" s="33" t="s">
        <v>71</v>
      </c>
      <c r="H9" s="37" t="s">
        <v>82</v>
      </c>
      <c r="I9" s="88">
        <v>23263</v>
      </c>
      <c r="J9" s="88">
        <v>45777</v>
      </c>
      <c r="K9" s="33">
        <v>7</v>
      </c>
      <c r="L9" s="33">
        <v>1</v>
      </c>
      <c r="M9" s="33" t="s">
        <v>91</v>
      </c>
      <c r="N9" s="33" t="s">
        <v>111</v>
      </c>
      <c r="O9" s="38">
        <v>350000000</v>
      </c>
      <c r="Q9" s="108">
        <v>20</v>
      </c>
      <c r="R9" s="39">
        <f t="shared" si="1"/>
        <v>62</v>
      </c>
      <c r="S9" s="111">
        <f t="shared" si="0"/>
        <v>77.44</v>
      </c>
      <c r="T9" s="105">
        <f>IF(N9="Yes",IF(O9/(1-(IFERROR(IF(R9=0,0,ROUND(IF(K9*12+L9&lt;12,VLOOKUP(K9*12+L9,Faktor_Multiplier,2,FALSE)*VLOOKUP(R9,IF(M9="Menurun",Premium_Table_Dec,Premium_Table_Flat),2,FALSE),VLOOKUP(R9,IF(M9="Menurun",Premium_Table_Dec,Premium_Table_Flat),K9+1,FALSE)+IFERROR((VLOOKUP(R9,IF(M9="Menurun",Premium_Table_Dec,Premium_Table_Flat),K9+2,FALSE)-VLOOKUP(R9,IF(M9="Menurun",Premium_Table_Dec,Premium_Table_Flat),K9+1,FALSE)),0)*L9/12),2)+
ROUND(IF(K9*12+L9&lt;12,VLOOKUP(K9*12+L9,Faktor_Multiplier,2,FALSE)*VLOOKUP(R9,IF(M9="Menurun",Premium_Table_Dec,Premium_Table_Flat),2,FALSE),VLOOKUP(R9,IF(M9="Menurun",Premium_Table_Dec,Premium_Table_Flat),K9+1,FALSE)+IFERROR((VLOOKUP(R9,IF(M9="Menurun",Premium_Table_Dec,Premium_Table_Flat),K9+2,FALSE)-VLOOKUP(R9,IF(M9="Menurun",Premium_Table_Dec,Premium_Table_Flat),K9+1,FALSE)),0)*L9/12),2)*Q9/100),"Perhatikan Ketentuan Usia + Masa Asuransi")/1000))&gt;'Spek Produk'!$F$8,"UP lebih besar dari fitur produk",O9/(1-(IFERROR(IF(R9=0,0,ROUND(IF(K9*12+L9&lt;12,VLOOKUP(K9*12+L9,Faktor_Multiplier,2,FALSE)*VLOOKUP(R9,IF(M9="Menurun",Premium_Table_Dec,Premium_Table_Flat),2,FALSE),VLOOKUP(R9,IF(M9="Menurun",Premium_Table_Dec,Premium_Table_Flat),K9+1,FALSE)+IFERROR((VLOOKUP(R9,IF(M9="Menurun",Premium_Table_Dec,Premium_Table_Flat),K9+2,FALSE)-VLOOKUP(R9,IF(M9="Menurun",Premium_Table_Dec,Premium_Table_Flat),K9+1,FALSE)),0)*L9/12),2)+
ROUND(IF(K9*12+L9&lt;12,VLOOKUP(K9*12+L9,Faktor_Multiplier,2,FALSE)*VLOOKUP(R9,IF(M9="Menurun",Premium_Table_Dec,Premium_Table_Flat),2,FALSE),VLOOKUP(R9,IF(M9="Menurun",Premium_Table_Dec,Premium_Table_Flat),K9+1,FALSE)+IFERROR((VLOOKUP(R9,IF(M9="Menurun",Premium_Table_Dec,Premium_Table_Flat),K9+2,FALSE)-VLOOKUP(R9,IF(M9="Menurun",Premium_Table_Dec,Premium_Table_Flat),K9+1,FALSE)),0)*L9/12),2)*Q9/100),"Perhatikan Ketentuan Usia + Masa Asuransi")/1000))),O9)</f>
        <v>350000000</v>
      </c>
      <c r="U9" s="40" t="str">
        <f>IF(Y9&lt;&gt;" ",Y9,IFERROR(VLOOKUP(R9,IF('Spek Produk'!$F$9="Syariah",Medic!$A$21:$L$27,Medic!$A$12:$L$18),MATCH(T9,IF('Spek Produk'!$F$9="Syariah",Medic!$B$21:$L$21,Medic!$B$12:$L$12),TRUE)+1),""))</f>
        <v>Non Medical Check Up</v>
      </c>
      <c r="V9" s="91">
        <f t="shared" si="2"/>
        <v>27104000</v>
      </c>
      <c r="W9" s="41">
        <f t="shared" si="3"/>
        <v>5420800</v>
      </c>
      <c r="X9" s="91">
        <f t="shared" si="4"/>
        <v>32524800</v>
      </c>
      <c r="Y9" s="77" t="str" cm="1">
        <f t="array" ref="Y9">IF(M9="Menurun",IF(AND(R9&gt;'Spek Produk'!$I$23,R9&lt;&gt;""),"Usia masuk lebih besar dari fitur produk",IF(AND(R9&lt;'Spek Produk'!$G$23,R9&lt;&gt;0,R9&lt;&gt;""),"Usia masuk lebih rendah dari fitur produk",IF(OR(O9&gt;_xlfn.IFS(R9+K9+(L9/12)&lt;='Spek Produk'!$C$40,'Spek Produk'!$D$40,R9+K9+(L9/12)&gt;'Spek Produk'!$C$40,'Spek Produk'!$D$41),T9&gt;_xlfn.IFS(R9+K9+(L9/12)&lt;='Spek Produk'!$C$40,'Spek Produk'!$D$40,R9+K9+(L9/12)&gt;'Spek Produk'!$C$40,'Spek Produk'!$D$41),IFERROR(VLOOKUP(R9,IF('Spek Produk'!$F$9="Syariah",Medic!$A$21:$L$27,Medic!$A$12:$L$18),MATCH(T9,IF('Spek Produk'!$F$9="Syariah",Medic!$B$21:$L$21,Medic!$B$12:$L$12),TRUE)+1)="-","")),"UP lebih besar dari fitur produk",IF(K9+L9/12&gt;'Spek Produk'!$I$22,"Masa asuransi lebih besar dari fitur produk",IF(AND(R9+K9+L9/12&gt;'Spek Produk'!$H$24,R9&lt;&gt;0,R9&lt;&gt;""),"Maksimum masa asuransi untuk nasabah berusia "&amp;R9&amp;" tahun adalah "&amp;MAX(0,'Spek Produk'!$H$24-R9)&amp;" tahun",IF(AND(0&lt;K9+L9/12,K9+L9/12&lt;'Spek Produk'!$G$22),"Masa asuransi lebih kecil dari fitur produk"," ")))))),IF(AND(R9&gt;'Spek Produk'!$I$35,R9&lt;&gt;""),"Usia masuk lebih besar dari fitur produk",IF(AND(R9&lt;'Spek Produk'!$G$35,R9&lt;&gt;0,R9&lt;&gt;""),"Usia masuk lebih rendah dari fitur produk",IF(OR(O9&gt;_xlfn.IFS(R9+K9+(L9/12)&lt;='Spek Produk'!$C$40,'Spek Produk'!$D$40,R9+K9+(L9/12)&gt;'Spek Produk'!$C$40,'Spek Produk'!$D$41),T9&gt;_xlfn.IFS(R9+K9+(L9/12)&lt;='Spek Produk'!$C$40,'Spek Produk'!$D$40,R9+K9+(L9/12)&gt;'Spek Produk'!$C$40,'Spek Produk'!$D$41),IFERROR(VLOOKUP(R9,IF('Spek Produk'!$F$9="Syariah",Medic!$A$21:$L$27,Medic!$A$12:$L$18),MATCH(T9,IF('Spek Produk'!$F$9="Syariah",Medic!$B$21:$L$21,Medic!$B$12:$L$12),TRUE)+1)="-","")),"UP lebih besar dari fitur produk",IF(K9+L9/12&gt;'Spek Produk'!$I$34,"Masa asuransi lebih besar dari fitur produk",IF(AND(R9+K9+L9/12&gt;'Spek Produk'!$H$36,R9&lt;&gt;0,R9&lt;&gt;""),"Maksimum masa asuransi untuk nasabah berusia "&amp;R9&amp;" tahun adalah "&amp;MAX(0,'Spek Produk'!$H$36-R9)&amp;" tahun",IF(AND(0&lt;K9+L9/12,K9+L9/12&lt;'Spek Produk'!$G$34),"Masa asuransi lebih Kecil dari fitur produk"," ")))))))</f>
        <v xml:space="preserve"> </v>
      </c>
      <c r="Z9" s="77"/>
    </row>
    <row r="10" spans="1:26" x14ac:dyDescent="0.25">
      <c r="A10" s="43">
        <f t="shared" si="5"/>
        <v>5</v>
      </c>
      <c r="B10" s="34" t="s">
        <v>102</v>
      </c>
      <c r="C10" s="35" t="s">
        <v>68</v>
      </c>
      <c r="D10" s="34" t="s">
        <v>75</v>
      </c>
      <c r="E10" s="36" t="s">
        <v>107</v>
      </c>
      <c r="F10" s="33" t="s">
        <v>70</v>
      </c>
      <c r="G10" s="33" t="s">
        <v>11</v>
      </c>
      <c r="H10" s="37" t="s">
        <v>83</v>
      </c>
      <c r="I10" s="88">
        <v>27067</v>
      </c>
      <c r="J10" s="88">
        <v>45777</v>
      </c>
      <c r="K10" s="33">
        <v>5</v>
      </c>
      <c r="L10" s="33">
        <v>0</v>
      </c>
      <c r="M10" s="33" t="s">
        <v>91</v>
      </c>
      <c r="N10" s="33" t="s">
        <v>110</v>
      </c>
      <c r="O10" s="38">
        <v>200000000</v>
      </c>
      <c r="Q10" s="108">
        <v>0</v>
      </c>
      <c r="R10" s="39">
        <f t="shared" si="1"/>
        <v>51</v>
      </c>
      <c r="S10" s="111">
        <f t="shared" si="0"/>
        <v>25.2</v>
      </c>
      <c r="T10" s="105">
        <f ca="1">IF(N10="Yes",IF(O10/(1-(IFERROR(IF(R10=0,0,ROUND(IF(K10*12+L10&lt;12,VLOOKUP(K10*12+L10,Faktor_Multiplier,2,FALSE)*VLOOKUP(R10,IF(M10="Menurun",Premium_Table_Dec,Premium_Table_Flat),2,FALSE),VLOOKUP(R10,IF(M10="Menurun",Premium_Table_Dec,Premium_Table_Flat),K10+1,FALSE)+IFERROR((VLOOKUP(R10,IF(M10="Menurun",Premium_Table_Dec,Premium_Table_Flat),K10+2,FALSE)-VLOOKUP(R10,IF(M10="Menurun",Premium_Table_Dec,Premium_Table_Flat),K10+1,FALSE)),0)*L10/12),2)+
ROUND(IF(K10*12+L10&lt;12,VLOOKUP(K10*12+L10,Faktor_Multiplier,2,FALSE)*VLOOKUP(R10,IF(M10="Menurun",Premium_Table_Dec,Premium_Table_Flat),2,FALSE),VLOOKUP(R10,IF(M10="Menurun",Premium_Table_Dec,Premium_Table_Flat),K10+1,FALSE)+IFERROR((VLOOKUP(R10,IF(M10="Menurun",Premium_Table_Dec,Premium_Table_Flat),K10+2,FALSE)-VLOOKUP(R10,IF(M10="Menurun",Premium_Table_Dec,Premium_Table_Flat),K10+1,FALSE)),0)*L10/12),2)*Q10/100),"Perhatikan Ketentuan Usia + Masa Asuransi")/1000))&gt;'Spek Produk'!$F$8,"UP lebih besar dari fitur produk",O10/(1-(IFERROR(IF(R10=0,0,ROUND(IF(K10*12+L10&lt;12,VLOOKUP(K10*12+L10,Faktor_Multiplier,2,FALSE)*VLOOKUP(R10,IF(M10="Menurun",Premium_Table_Dec,Premium_Table_Flat),2,FALSE),VLOOKUP(R10,IF(M10="Menurun",Premium_Table_Dec,Premium_Table_Flat),K10+1,FALSE)+IFERROR((VLOOKUP(R10,IF(M10="Menurun",Premium_Table_Dec,Premium_Table_Flat),K10+2,FALSE)-VLOOKUP(R10,IF(M10="Menurun",Premium_Table_Dec,Premium_Table_Flat),K10+1,FALSE)),0)*L10/12),2)+
ROUND(IF(K10*12+L10&lt;12,VLOOKUP(K10*12+L10,Faktor_Multiplier,2,FALSE)*VLOOKUP(R10,IF(M10="Menurun",Premium_Table_Dec,Premium_Table_Flat),2,FALSE),VLOOKUP(R10,IF(M10="Menurun",Premium_Table_Dec,Premium_Table_Flat),K10+1,FALSE)+IFERROR((VLOOKUP(R10,IF(M10="Menurun",Premium_Table_Dec,Premium_Table_Flat),K10+2,FALSE)-VLOOKUP(R10,IF(M10="Menurun",Premium_Table_Dec,Premium_Table_Flat),K10+1,FALSE)),0)*L10/12),2)*Q10/100),"Perhatikan Ketentuan Usia + Masa Asuransi")/1000))),O10)</f>
        <v>205170291.34181371</v>
      </c>
      <c r="U10" s="40" t="str">
        <f ca="1">IF(Y10&lt;&gt;" ",Y10,IFERROR(VLOOKUP(R10,IF('Spek Produk'!$F$9="Syariah",Medic!$A$21:$L$27,Medic!$A$12:$L$18),MATCH(T10,IF('Spek Produk'!$F$9="Syariah",Medic!$B$21:$L$21,Medic!$B$12:$L$12),TRUE)+1),""))</f>
        <v>Non Medical Check Up</v>
      </c>
      <c r="V10" s="91">
        <f t="shared" ca="1" si="2"/>
        <v>5170291.3418137059</v>
      </c>
      <c r="W10" s="41">
        <f t="shared" ca="1" si="3"/>
        <v>0</v>
      </c>
      <c r="X10" s="91">
        <f t="shared" ca="1" si="4"/>
        <v>5170291.3418137059</v>
      </c>
      <c r="Y10" s="77" t="str" cm="1">
        <f t="array" aca="1" ref="Y10" ca="1">IF(M10="Menurun",IF(AND(R10&gt;'Spek Produk'!$I$23,R10&lt;&gt;""),"Usia masuk lebih besar dari fitur produk",IF(AND(R10&lt;'Spek Produk'!$G$23,R10&lt;&gt;0,R10&lt;&gt;""),"Usia masuk lebih rendah dari fitur produk",IF(OR(O10&gt;_xlfn.IFS(R10+K10+(L10/12)&lt;='Spek Produk'!$C$40,'Spek Produk'!$D$40,R10+K10+(L10/12)&gt;'Spek Produk'!$C$40,'Spek Produk'!$D$41),T10&gt;_xlfn.IFS(R10+K10+(L10/12)&lt;='Spek Produk'!$C$40,'Spek Produk'!$D$40,R10+K10+(L10/12)&gt;'Spek Produk'!$C$40,'Spek Produk'!$D$41),IFERROR(VLOOKUP(R10,IF('Spek Produk'!$F$9="Syariah",Medic!$A$21:$L$27,Medic!$A$12:$L$18),MATCH(T10,IF('Spek Produk'!$F$9="Syariah",Medic!$B$21:$L$21,Medic!$B$12:$L$12),TRUE)+1)="-","")),"UP lebih besar dari fitur produk",IF(K10+L10/12&gt;'Spek Produk'!$I$22,"Masa asuransi lebih besar dari fitur produk",IF(AND(R10+K10+L10/12&gt;'Spek Produk'!$H$24,R10&lt;&gt;0,R10&lt;&gt;""),"Maksimum masa asuransi untuk nasabah berusia "&amp;R10&amp;" tahun adalah "&amp;MAX(0,'Spek Produk'!$H$24-R10)&amp;" tahun",IF(AND(0&lt;K10+L10/12,K10+L10/12&lt;'Spek Produk'!$G$22),"Masa asuransi lebih kecil dari fitur produk"," ")))))),IF(AND(R10&gt;'Spek Produk'!$I$35,R10&lt;&gt;""),"Usia masuk lebih besar dari fitur produk",IF(AND(R10&lt;'Spek Produk'!$G$35,R10&lt;&gt;0,R10&lt;&gt;""),"Usia masuk lebih rendah dari fitur produk",IF(OR(O10&gt;_xlfn.IFS(R10+K10+(L10/12)&lt;='Spek Produk'!$C$40,'Spek Produk'!$D$40,R10+K10+(L10/12)&gt;'Spek Produk'!$C$40,'Spek Produk'!$D$41),T10&gt;_xlfn.IFS(R10+K10+(L10/12)&lt;='Spek Produk'!$C$40,'Spek Produk'!$D$40,R10+K10+(L10/12)&gt;'Spek Produk'!$C$40,'Spek Produk'!$D$41),IFERROR(VLOOKUP(R10,IF('Spek Produk'!$F$9="Syariah",Medic!$A$21:$L$27,Medic!$A$12:$L$18),MATCH(T10,IF('Spek Produk'!$F$9="Syariah",Medic!$B$21:$L$21,Medic!$B$12:$L$12),TRUE)+1)="-","")),"UP lebih besar dari fitur produk",IF(K10+L10/12&gt;'Spek Produk'!$I$34,"Masa asuransi lebih besar dari fitur produk",IF(AND(R10+K10+L10/12&gt;'Spek Produk'!$H$36,R10&lt;&gt;0,R10&lt;&gt;""),"Maksimum masa asuransi untuk nasabah berusia "&amp;R10&amp;" tahun adalah "&amp;MAX(0,'Spek Produk'!$H$36-R10)&amp;" tahun",IF(AND(0&lt;K10+L10/12,K10+L10/12&lt;'Spek Produk'!$G$34),"Masa asuransi lebih Kecil dari fitur produk"," ")))))))</f>
        <v xml:space="preserve"> </v>
      </c>
      <c r="Z10" s="77"/>
    </row>
    <row r="11" spans="1:26" x14ac:dyDescent="0.25">
      <c r="A11" s="43">
        <f t="shared" si="5"/>
        <v>6</v>
      </c>
      <c r="B11" s="34"/>
      <c r="C11" s="35"/>
      <c r="D11" s="34"/>
      <c r="E11" s="36"/>
      <c r="F11" s="33"/>
      <c r="G11" s="33"/>
      <c r="H11" s="37"/>
      <c r="I11" s="88"/>
      <c r="J11" s="88"/>
      <c r="K11" s="33"/>
      <c r="L11" s="33"/>
      <c r="M11" s="33"/>
      <c r="N11" s="33"/>
      <c r="O11" s="38"/>
      <c r="Q11" s="108">
        <v>0</v>
      </c>
      <c r="R11" s="39">
        <f t="shared" si="1"/>
        <v>0</v>
      </c>
      <c r="S11" s="111">
        <f t="shared" si="0"/>
        <v>0</v>
      </c>
      <c r="T11" s="105">
        <f>IF(N11="Yes",IF(O11/(1-(IFERROR(IF(R11=0,0,ROUND(IF(K11*12+L11&lt;12,VLOOKUP(K11*12+L11,Faktor_Multiplier,2,FALSE)*VLOOKUP(R11,IF(M11="Menurun",Premium_Table_Dec,Premium_Table_Flat),2,FALSE),VLOOKUP(R11,IF(M11="Menurun",Premium_Table_Dec,Premium_Table_Flat),K11+1,FALSE)+IFERROR((VLOOKUP(R11,IF(M11="Menurun",Premium_Table_Dec,Premium_Table_Flat),K11+2,FALSE)-VLOOKUP(R11,IF(M11="Menurun",Premium_Table_Dec,Premium_Table_Flat),K11+1,FALSE)),0)*L11/12),2)+
ROUND(IF(K11*12+L11&lt;12,VLOOKUP(K11*12+L11,Faktor_Multiplier,2,FALSE)*VLOOKUP(R11,IF(M11="Menurun",Premium_Table_Dec,Premium_Table_Flat),2,FALSE),VLOOKUP(R11,IF(M11="Menurun",Premium_Table_Dec,Premium_Table_Flat),K11+1,FALSE)+IFERROR((VLOOKUP(R11,IF(M11="Menurun",Premium_Table_Dec,Premium_Table_Flat),K11+2,FALSE)-VLOOKUP(R11,IF(M11="Menurun",Premium_Table_Dec,Premium_Table_Flat),K11+1,FALSE)),0)*L11/12),2)*Q11/100),"Perhatikan Ketentuan Usia + Masa Asuransi")/1000))&gt;'Spek Produk'!$F$8,"UP lebih besar dari fitur produk",O11/(1-(IFERROR(IF(R11=0,0,ROUND(IF(K11*12+L11&lt;12,VLOOKUP(K11*12+L11,Faktor_Multiplier,2,FALSE)*VLOOKUP(R11,IF(M11="Menurun",Premium_Table_Dec,Premium_Table_Flat),2,FALSE),VLOOKUP(R11,IF(M11="Menurun",Premium_Table_Dec,Premium_Table_Flat),K11+1,FALSE)+IFERROR((VLOOKUP(R11,IF(M11="Menurun",Premium_Table_Dec,Premium_Table_Flat),K11+2,FALSE)-VLOOKUP(R11,IF(M11="Menurun",Premium_Table_Dec,Premium_Table_Flat),K11+1,FALSE)),0)*L11/12),2)+
ROUND(IF(K11*12+L11&lt;12,VLOOKUP(K11*12+L11,Faktor_Multiplier,2,FALSE)*VLOOKUP(R11,IF(M11="Menurun",Premium_Table_Dec,Premium_Table_Flat),2,FALSE),VLOOKUP(R11,IF(M11="Menurun",Premium_Table_Dec,Premium_Table_Flat),K11+1,FALSE)+IFERROR((VLOOKUP(R11,IF(M11="Menurun",Premium_Table_Dec,Premium_Table_Flat),K11+2,FALSE)-VLOOKUP(R11,IF(M11="Menurun",Premium_Table_Dec,Premium_Table_Flat),K11+1,FALSE)),0)*L11/12),2)*Q11/100),"Perhatikan Ketentuan Usia + Masa Asuransi")/1000))),O11)</f>
        <v>0</v>
      </c>
      <c r="U11" s="40" t="str">
        <f>IF(Y11&lt;&gt;" ",Y11,IFERROR(VLOOKUP(R11,IF('Spek Produk'!$F$9="Syariah",Medic!$A$21:$L$27,Medic!$A$12:$L$18),MATCH(T11,IF('Spek Produk'!$F$9="Syariah",Medic!$B$21:$L$21,Medic!$B$12:$L$12),TRUE)+1),""))</f>
        <v/>
      </c>
      <c r="V11" s="91">
        <f t="shared" si="2"/>
        <v>0</v>
      </c>
      <c r="W11" s="41" t="str">
        <f t="shared" si="3"/>
        <v/>
      </c>
      <c r="X11" s="91" t="str">
        <f t="shared" si="4"/>
        <v/>
      </c>
      <c r="Y11" s="77" t="str" cm="1">
        <f t="array" ref="Y11">IF(M11="Menurun",IF(AND(R11&gt;'Spek Produk'!$I$23,R11&lt;&gt;""),"Usia masuk lebih besar dari fitur produk",IF(AND(R11&lt;'Spek Produk'!$G$23,R11&lt;&gt;0,R11&lt;&gt;""),"Usia masuk lebih rendah dari fitur produk",IF(OR(O11&gt;_xlfn.IFS(R11+K11+(L11/12)&lt;='Spek Produk'!$C$40,'Spek Produk'!$D$40,R11+K11+(L11/12)&gt;'Spek Produk'!$C$40,'Spek Produk'!$D$41),T11&gt;_xlfn.IFS(R11+K11+(L11/12)&lt;='Spek Produk'!$C$40,'Spek Produk'!$D$40,R11+K11+(L11/12)&gt;'Spek Produk'!$C$40,'Spek Produk'!$D$41),IFERROR(VLOOKUP(R11,IF('Spek Produk'!$F$9="Syariah",Medic!$A$21:$L$27,Medic!$A$12:$L$18),MATCH(T11,IF('Spek Produk'!$F$9="Syariah",Medic!$B$21:$L$21,Medic!$B$12:$L$12),TRUE)+1)="-","")),"UP lebih besar dari fitur produk",IF(K11+L11/12&gt;'Spek Produk'!$I$22,"Masa asuransi lebih besar dari fitur produk",IF(AND(R11+K11+L11/12&gt;'Spek Produk'!$H$24,R11&lt;&gt;0,R11&lt;&gt;""),"Maksimum masa asuransi untuk nasabah berusia "&amp;R11&amp;" tahun adalah "&amp;MAX(0,'Spek Produk'!$H$24-R11)&amp;" tahun",IF(AND(0&lt;K11+L11/12,K11+L11/12&lt;'Spek Produk'!$G$22),"Masa asuransi lebih kecil dari fitur produk"," ")))))),IF(AND(R11&gt;'Spek Produk'!$I$35,R11&lt;&gt;""),"Usia masuk lebih besar dari fitur produk",IF(AND(R11&lt;'Spek Produk'!$G$35,R11&lt;&gt;0,R11&lt;&gt;""),"Usia masuk lebih rendah dari fitur produk",IF(OR(O11&gt;_xlfn.IFS(R11+K11+(L11/12)&lt;='Spek Produk'!$C$40,'Spek Produk'!$D$40,R11+K11+(L11/12)&gt;'Spek Produk'!$C$40,'Spek Produk'!$D$41),T11&gt;_xlfn.IFS(R11+K11+(L11/12)&lt;='Spek Produk'!$C$40,'Spek Produk'!$D$40,R11+K11+(L11/12)&gt;'Spek Produk'!$C$40,'Spek Produk'!$D$41),IFERROR(VLOOKUP(R11,IF('Spek Produk'!$F$9="Syariah",Medic!$A$21:$L$27,Medic!$A$12:$L$18),MATCH(T11,IF('Spek Produk'!$F$9="Syariah",Medic!$B$21:$L$21,Medic!$B$12:$L$12),TRUE)+1)="-","")),"UP lebih besar dari fitur produk",IF(K11+L11/12&gt;'Spek Produk'!$I$34,"Masa asuransi lebih besar dari fitur produk",IF(AND(R11+K11+L11/12&gt;'Spek Produk'!$H$36,R11&lt;&gt;0,R11&lt;&gt;""),"Maksimum masa asuransi untuk nasabah berusia "&amp;R11&amp;" tahun adalah "&amp;MAX(0,'Spek Produk'!$H$36-R11)&amp;" tahun",IF(AND(0&lt;K11+L11/12,K11+L11/12&lt;'Spek Produk'!$G$34),"Masa asuransi lebih Kecil dari fitur produk"," ")))))))</f>
        <v xml:space="preserve"> </v>
      </c>
      <c r="Z11" s="77"/>
    </row>
    <row r="12" spans="1:26" x14ac:dyDescent="0.25">
      <c r="A12" s="43">
        <f t="shared" si="5"/>
        <v>7</v>
      </c>
      <c r="B12" s="34"/>
      <c r="C12" s="35"/>
      <c r="D12" s="34"/>
      <c r="E12" s="36"/>
      <c r="F12" s="33"/>
      <c r="G12" s="33"/>
      <c r="H12" s="37"/>
      <c r="I12" s="88"/>
      <c r="J12" s="88"/>
      <c r="K12" s="33"/>
      <c r="L12" s="33"/>
      <c r="M12" s="33"/>
      <c r="N12" s="33"/>
      <c r="O12" s="38"/>
      <c r="Q12" s="108">
        <v>0</v>
      </c>
      <c r="R12" s="39">
        <f t="shared" si="1"/>
        <v>0</v>
      </c>
      <c r="S12" s="111">
        <f t="shared" si="0"/>
        <v>0</v>
      </c>
      <c r="T12" s="105">
        <f>IF(N12="Yes",IF(O12/(1-(IFERROR(IF(R12=0,0,ROUND(IF(K12*12+L12&lt;12,VLOOKUP(K12*12+L12,Faktor_Multiplier,2,FALSE)*VLOOKUP(R12,IF(M12="Menurun",Premium_Table_Dec,Premium_Table_Flat),2,FALSE),VLOOKUP(R12,IF(M12="Menurun",Premium_Table_Dec,Premium_Table_Flat),K12+1,FALSE)+IFERROR((VLOOKUP(R12,IF(M12="Menurun",Premium_Table_Dec,Premium_Table_Flat),K12+2,FALSE)-VLOOKUP(R12,IF(M12="Menurun",Premium_Table_Dec,Premium_Table_Flat),K12+1,FALSE)),0)*L12/12),2)+
ROUND(IF(K12*12+L12&lt;12,VLOOKUP(K12*12+L12,Faktor_Multiplier,2,FALSE)*VLOOKUP(R12,IF(M12="Menurun",Premium_Table_Dec,Premium_Table_Flat),2,FALSE),VLOOKUP(R12,IF(M12="Menurun",Premium_Table_Dec,Premium_Table_Flat),K12+1,FALSE)+IFERROR((VLOOKUP(R12,IF(M12="Menurun",Premium_Table_Dec,Premium_Table_Flat),K12+2,FALSE)-VLOOKUP(R12,IF(M12="Menurun",Premium_Table_Dec,Premium_Table_Flat),K12+1,FALSE)),0)*L12/12),2)*Q12/100),"Perhatikan Ketentuan Usia + Masa Asuransi")/1000))&gt;'Spek Produk'!$F$8,"UP lebih besar dari fitur produk",O12/(1-(IFERROR(IF(R12=0,0,ROUND(IF(K12*12+L12&lt;12,VLOOKUP(K12*12+L12,Faktor_Multiplier,2,FALSE)*VLOOKUP(R12,IF(M12="Menurun",Premium_Table_Dec,Premium_Table_Flat),2,FALSE),VLOOKUP(R12,IF(M12="Menurun",Premium_Table_Dec,Premium_Table_Flat),K12+1,FALSE)+IFERROR((VLOOKUP(R12,IF(M12="Menurun",Premium_Table_Dec,Premium_Table_Flat),K12+2,FALSE)-VLOOKUP(R12,IF(M12="Menurun",Premium_Table_Dec,Premium_Table_Flat),K12+1,FALSE)),0)*L12/12),2)+
ROUND(IF(K12*12+L12&lt;12,VLOOKUP(K12*12+L12,Faktor_Multiplier,2,FALSE)*VLOOKUP(R12,IF(M12="Menurun",Premium_Table_Dec,Premium_Table_Flat),2,FALSE),VLOOKUP(R12,IF(M12="Menurun",Premium_Table_Dec,Premium_Table_Flat),K12+1,FALSE)+IFERROR((VLOOKUP(R12,IF(M12="Menurun",Premium_Table_Dec,Premium_Table_Flat),K12+2,FALSE)-VLOOKUP(R12,IF(M12="Menurun",Premium_Table_Dec,Premium_Table_Flat),K12+1,FALSE)),0)*L12/12),2)*Q12/100),"Perhatikan Ketentuan Usia + Masa Asuransi")/1000))),O12)</f>
        <v>0</v>
      </c>
      <c r="U12" s="40" t="str">
        <f>IF(Y12&lt;&gt;" ",Y12,IFERROR(VLOOKUP(R12,IF('Spek Produk'!$F$9="Syariah",Medic!$A$21:$L$27,Medic!$A$12:$L$18),MATCH(T12,IF('Spek Produk'!$F$9="Syariah",Medic!$B$21:$L$21,Medic!$B$12:$L$12),TRUE)+1),""))</f>
        <v/>
      </c>
      <c r="V12" s="91">
        <f t="shared" si="2"/>
        <v>0</v>
      </c>
      <c r="W12" s="41" t="str">
        <f t="shared" si="3"/>
        <v/>
      </c>
      <c r="X12" s="91" t="str">
        <f t="shared" si="4"/>
        <v/>
      </c>
      <c r="Y12" s="77" t="str" cm="1">
        <f t="array" ref="Y12">IF(M12="Menurun",IF(AND(R12&gt;'Spek Produk'!$I$23,R12&lt;&gt;""),"Usia masuk lebih besar dari fitur produk",IF(AND(R12&lt;'Spek Produk'!$G$23,R12&lt;&gt;0,R12&lt;&gt;""),"Usia masuk lebih rendah dari fitur produk",IF(OR(O12&gt;_xlfn.IFS(R12+K12+(L12/12)&lt;='Spek Produk'!$C$40,'Spek Produk'!$D$40,R12+K12+(L12/12)&gt;'Spek Produk'!$C$40,'Spek Produk'!$D$41),T12&gt;_xlfn.IFS(R12+K12+(L12/12)&lt;='Spek Produk'!$C$40,'Spek Produk'!$D$40,R12+K12+(L12/12)&gt;'Spek Produk'!$C$40,'Spek Produk'!$D$41),IFERROR(VLOOKUP(R12,IF('Spek Produk'!$F$9="Syariah",Medic!$A$21:$L$27,Medic!$A$12:$L$18),MATCH(T12,IF('Spek Produk'!$F$9="Syariah",Medic!$B$21:$L$21,Medic!$B$12:$L$12),TRUE)+1)="-","")),"UP lebih besar dari fitur produk",IF(K12+L12/12&gt;'Spek Produk'!$I$22,"Masa asuransi lebih besar dari fitur produk",IF(AND(R12+K12+L12/12&gt;'Spek Produk'!$H$24,R12&lt;&gt;0,R12&lt;&gt;""),"Maksimum masa asuransi untuk nasabah berusia "&amp;R12&amp;" tahun adalah "&amp;MAX(0,'Spek Produk'!$H$24-R12)&amp;" tahun",IF(AND(0&lt;K12+L12/12,K12+L12/12&lt;'Spek Produk'!$G$22),"Masa asuransi lebih kecil dari fitur produk"," ")))))),IF(AND(R12&gt;'Spek Produk'!$I$35,R12&lt;&gt;""),"Usia masuk lebih besar dari fitur produk",IF(AND(R12&lt;'Spek Produk'!$G$35,R12&lt;&gt;0,R12&lt;&gt;""),"Usia masuk lebih rendah dari fitur produk",IF(OR(O12&gt;_xlfn.IFS(R12+K12+(L12/12)&lt;='Spek Produk'!$C$40,'Spek Produk'!$D$40,R12+K12+(L12/12)&gt;'Spek Produk'!$C$40,'Spek Produk'!$D$41),T12&gt;_xlfn.IFS(R12+K12+(L12/12)&lt;='Spek Produk'!$C$40,'Spek Produk'!$D$40,R12+K12+(L12/12)&gt;'Spek Produk'!$C$40,'Spek Produk'!$D$41),IFERROR(VLOOKUP(R12,IF('Spek Produk'!$F$9="Syariah",Medic!$A$21:$L$27,Medic!$A$12:$L$18),MATCH(T12,IF('Spek Produk'!$F$9="Syariah",Medic!$B$21:$L$21,Medic!$B$12:$L$12),TRUE)+1)="-","")),"UP lebih besar dari fitur produk",IF(K12+L12/12&gt;'Spek Produk'!$I$34,"Masa asuransi lebih besar dari fitur produk",IF(AND(R12+K12+L12/12&gt;'Spek Produk'!$H$36,R12&lt;&gt;0,R12&lt;&gt;""),"Maksimum masa asuransi untuk nasabah berusia "&amp;R12&amp;" tahun adalah "&amp;MAX(0,'Spek Produk'!$H$36-R12)&amp;" tahun",IF(AND(0&lt;K12+L12/12,K12+L12/12&lt;'Spek Produk'!$G$34),"Masa asuransi lebih Kecil dari fitur produk"," ")))))))</f>
        <v xml:space="preserve"> </v>
      </c>
      <c r="Z12" s="77"/>
    </row>
    <row r="13" spans="1:26" x14ac:dyDescent="0.25">
      <c r="A13" s="43">
        <f t="shared" si="5"/>
        <v>8</v>
      </c>
      <c r="B13" s="34"/>
      <c r="C13" s="35"/>
      <c r="D13" s="34"/>
      <c r="E13" s="36"/>
      <c r="F13" s="33"/>
      <c r="G13" s="33"/>
      <c r="H13" s="37"/>
      <c r="I13" s="88"/>
      <c r="J13" s="88"/>
      <c r="K13" s="33"/>
      <c r="L13" s="33"/>
      <c r="M13" s="33"/>
      <c r="N13" s="33"/>
      <c r="O13" s="38"/>
      <c r="Q13" s="108">
        <v>0</v>
      </c>
      <c r="R13" s="39">
        <f t="shared" si="1"/>
        <v>0</v>
      </c>
      <c r="S13" s="111">
        <f t="shared" si="0"/>
        <v>0</v>
      </c>
      <c r="T13" s="105">
        <f>IF(N13="Yes",IF(O13/(1-(IFERROR(IF(R13=0,0,ROUND(IF(K13*12+L13&lt;12,VLOOKUP(K13*12+L13,Faktor_Multiplier,2,FALSE)*VLOOKUP(R13,IF(M13="Menurun",Premium_Table_Dec,Premium_Table_Flat),2,FALSE),VLOOKUP(R13,IF(M13="Menurun",Premium_Table_Dec,Premium_Table_Flat),K13+1,FALSE)+IFERROR((VLOOKUP(R13,IF(M13="Menurun",Premium_Table_Dec,Premium_Table_Flat),K13+2,FALSE)-VLOOKUP(R13,IF(M13="Menurun",Premium_Table_Dec,Premium_Table_Flat),K13+1,FALSE)),0)*L13/12),2)+
ROUND(IF(K13*12+L13&lt;12,VLOOKUP(K13*12+L13,Faktor_Multiplier,2,FALSE)*VLOOKUP(R13,IF(M13="Menurun",Premium_Table_Dec,Premium_Table_Flat),2,FALSE),VLOOKUP(R13,IF(M13="Menurun",Premium_Table_Dec,Premium_Table_Flat),K13+1,FALSE)+IFERROR((VLOOKUP(R13,IF(M13="Menurun",Premium_Table_Dec,Premium_Table_Flat),K13+2,FALSE)-VLOOKUP(R13,IF(M13="Menurun",Premium_Table_Dec,Premium_Table_Flat),K13+1,FALSE)),0)*L13/12),2)*Q13/100),"Perhatikan Ketentuan Usia + Masa Asuransi")/1000))&gt;'Spek Produk'!$F$8,"UP lebih besar dari fitur produk",O13/(1-(IFERROR(IF(R13=0,0,ROUND(IF(K13*12+L13&lt;12,VLOOKUP(K13*12+L13,Faktor_Multiplier,2,FALSE)*VLOOKUP(R13,IF(M13="Menurun",Premium_Table_Dec,Premium_Table_Flat),2,FALSE),VLOOKUP(R13,IF(M13="Menurun",Premium_Table_Dec,Premium_Table_Flat),K13+1,FALSE)+IFERROR((VLOOKUP(R13,IF(M13="Menurun",Premium_Table_Dec,Premium_Table_Flat),K13+2,FALSE)-VLOOKUP(R13,IF(M13="Menurun",Premium_Table_Dec,Premium_Table_Flat),K13+1,FALSE)),0)*L13/12),2)+
ROUND(IF(K13*12+L13&lt;12,VLOOKUP(K13*12+L13,Faktor_Multiplier,2,FALSE)*VLOOKUP(R13,IF(M13="Menurun",Premium_Table_Dec,Premium_Table_Flat),2,FALSE),VLOOKUP(R13,IF(M13="Menurun",Premium_Table_Dec,Premium_Table_Flat),K13+1,FALSE)+IFERROR((VLOOKUP(R13,IF(M13="Menurun",Premium_Table_Dec,Premium_Table_Flat),K13+2,FALSE)-VLOOKUP(R13,IF(M13="Menurun",Premium_Table_Dec,Premium_Table_Flat),K13+1,FALSE)),0)*L13/12),2)*Q13/100),"Perhatikan Ketentuan Usia + Masa Asuransi")/1000))),O13)</f>
        <v>0</v>
      </c>
      <c r="U13" s="40" t="str">
        <f>IF(Y13&lt;&gt;" ",Y13,IFERROR(VLOOKUP(R13,IF('Spek Produk'!$F$9="Syariah",Medic!$A$21:$L$27,Medic!$A$12:$L$18),MATCH(T13,IF('Spek Produk'!$F$9="Syariah",Medic!$B$21:$L$21,Medic!$B$12:$L$12),TRUE)+1),""))</f>
        <v/>
      </c>
      <c r="V13" s="91">
        <f t="shared" si="2"/>
        <v>0</v>
      </c>
      <c r="W13" s="41" t="str">
        <f t="shared" si="3"/>
        <v/>
      </c>
      <c r="X13" s="91" t="str">
        <f t="shared" si="4"/>
        <v/>
      </c>
      <c r="Y13" s="77" t="str" cm="1">
        <f t="array" ref="Y13">IF(M13="Menurun",IF(AND(R13&gt;'Spek Produk'!$I$23,R13&lt;&gt;""),"Usia masuk lebih besar dari fitur produk",IF(AND(R13&lt;'Spek Produk'!$G$23,R13&lt;&gt;0,R13&lt;&gt;""),"Usia masuk lebih rendah dari fitur produk",IF(OR(O13&gt;_xlfn.IFS(R13+K13+(L13/12)&lt;='Spek Produk'!$C$40,'Spek Produk'!$D$40,R13+K13+(L13/12)&gt;'Spek Produk'!$C$40,'Spek Produk'!$D$41),T13&gt;_xlfn.IFS(R13+K13+(L13/12)&lt;='Spek Produk'!$C$40,'Spek Produk'!$D$40,R13+K13+(L13/12)&gt;'Spek Produk'!$C$40,'Spek Produk'!$D$41),IFERROR(VLOOKUP(R13,IF('Spek Produk'!$F$9="Syariah",Medic!$A$21:$L$27,Medic!$A$12:$L$18),MATCH(T13,IF('Spek Produk'!$F$9="Syariah",Medic!$B$21:$L$21,Medic!$B$12:$L$12),TRUE)+1)="-","")),"UP lebih besar dari fitur produk",IF(K13+L13/12&gt;'Spek Produk'!$I$22,"Masa asuransi lebih besar dari fitur produk",IF(AND(R13+K13+L13/12&gt;'Spek Produk'!$H$24,R13&lt;&gt;0,R13&lt;&gt;""),"Maksimum masa asuransi untuk nasabah berusia "&amp;R13&amp;" tahun adalah "&amp;MAX(0,'Spek Produk'!$H$24-R13)&amp;" tahun",IF(AND(0&lt;K13+L13/12,K13+L13/12&lt;'Spek Produk'!$G$22),"Masa asuransi lebih kecil dari fitur produk"," ")))))),IF(AND(R13&gt;'Spek Produk'!$I$35,R13&lt;&gt;""),"Usia masuk lebih besar dari fitur produk",IF(AND(R13&lt;'Spek Produk'!$G$35,R13&lt;&gt;0,R13&lt;&gt;""),"Usia masuk lebih rendah dari fitur produk",IF(OR(O13&gt;_xlfn.IFS(R13+K13+(L13/12)&lt;='Spek Produk'!$C$40,'Spek Produk'!$D$40,R13+K13+(L13/12)&gt;'Spek Produk'!$C$40,'Spek Produk'!$D$41),T13&gt;_xlfn.IFS(R13+K13+(L13/12)&lt;='Spek Produk'!$C$40,'Spek Produk'!$D$40,R13+K13+(L13/12)&gt;'Spek Produk'!$C$40,'Spek Produk'!$D$41),IFERROR(VLOOKUP(R13,IF('Spek Produk'!$F$9="Syariah",Medic!$A$21:$L$27,Medic!$A$12:$L$18),MATCH(T13,IF('Spek Produk'!$F$9="Syariah",Medic!$B$21:$L$21,Medic!$B$12:$L$12),TRUE)+1)="-","")),"UP lebih besar dari fitur produk",IF(K13+L13/12&gt;'Spek Produk'!$I$34,"Masa asuransi lebih besar dari fitur produk",IF(AND(R13+K13+L13/12&gt;'Spek Produk'!$H$36,R13&lt;&gt;0,R13&lt;&gt;""),"Maksimum masa asuransi untuk nasabah berusia "&amp;R13&amp;" tahun adalah "&amp;MAX(0,'Spek Produk'!$H$36-R13)&amp;" tahun",IF(AND(0&lt;K13+L13/12,K13+L13/12&lt;'Spek Produk'!$G$34),"Masa asuransi lebih Kecil dari fitur produk"," ")))))))</f>
        <v xml:space="preserve"> </v>
      </c>
      <c r="Z13" s="77"/>
    </row>
    <row r="14" spans="1:26" x14ac:dyDescent="0.25">
      <c r="A14" s="43">
        <f t="shared" si="5"/>
        <v>9</v>
      </c>
      <c r="B14" s="34"/>
      <c r="C14" s="35"/>
      <c r="D14" s="34"/>
      <c r="E14" s="36"/>
      <c r="F14" s="33"/>
      <c r="G14" s="33"/>
      <c r="H14" s="37"/>
      <c r="I14" s="88"/>
      <c r="J14" s="88"/>
      <c r="K14" s="33"/>
      <c r="L14" s="33"/>
      <c r="M14" s="33"/>
      <c r="N14" s="33"/>
      <c r="O14" s="38"/>
      <c r="Q14" s="108">
        <v>0</v>
      </c>
      <c r="R14" s="39">
        <f t="shared" si="1"/>
        <v>0</v>
      </c>
      <c r="S14" s="111">
        <f t="shared" si="0"/>
        <v>0</v>
      </c>
      <c r="T14" s="105">
        <f>IF(N14="Yes",IF(O14/(1-(IFERROR(IF(R14=0,0,ROUND(IF(K14*12+L14&lt;12,VLOOKUP(K14*12+L14,Faktor_Multiplier,2,FALSE)*VLOOKUP(R14,IF(M14="Menurun",Premium_Table_Dec,Premium_Table_Flat),2,FALSE),VLOOKUP(R14,IF(M14="Menurun",Premium_Table_Dec,Premium_Table_Flat),K14+1,FALSE)+IFERROR((VLOOKUP(R14,IF(M14="Menurun",Premium_Table_Dec,Premium_Table_Flat),K14+2,FALSE)-VLOOKUP(R14,IF(M14="Menurun",Premium_Table_Dec,Premium_Table_Flat),K14+1,FALSE)),0)*L14/12),2)+
ROUND(IF(K14*12+L14&lt;12,VLOOKUP(K14*12+L14,Faktor_Multiplier,2,FALSE)*VLOOKUP(R14,IF(M14="Menurun",Premium_Table_Dec,Premium_Table_Flat),2,FALSE),VLOOKUP(R14,IF(M14="Menurun",Premium_Table_Dec,Premium_Table_Flat),K14+1,FALSE)+IFERROR((VLOOKUP(R14,IF(M14="Menurun",Premium_Table_Dec,Premium_Table_Flat),K14+2,FALSE)-VLOOKUP(R14,IF(M14="Menurun",Premium_Table_Dec,Premium_Table_Flat),K14+1,FALSE)),0)*L14/12),2)*Q14/100),"Perhatikan Ketentuan Usia + Masa Asuransi")/1000))&gt;'Spek Produk'!$F$8,"UP lebih besar dari fitur produk",O14/(1-(IFERROR(IF(R14=0,0,ROUND(IF(K14*12+L14&lt;12,VLOOKUP(K14*12+L14,Faktor_Multiplier,2,FALSE)*VLOOKUP(R14,IF(M14="Menurun",Premium_Table_Dec,Premium_Table_Flat),2,FALSE),VLOOKUP(R14,IF(M14="Menurun",Premium_Table_Dec,Premium_Table_Flat),K14+1,FALSE)+IFERROR((VLOOKUP(R14,IF(M14="Menurun",Premium_Table_Dec,Premium_Table_Flat),K14+2,FALSE)-VLOOKUP(R14,IF(M14="Menurun",Premium_Table_Dec,Premium_Table_Flat),K14+1,FALSE)),0)*L14/12),2)+
ROUND(IF(K14*12+L14&lt;12,VLOOKUP(K14*12+L14,Faktor_Multiplier,2,FALSE)*VLOOKUP(R14,IF(M14="Menurun",Premium_Table_Dec,Premium_Table_Flat),2,FALSE),VLOOKUP(R14,IF(M14="Menurun",Premium_Table_Dec,Premium_Table_Flat),K14+1,FALSE)+IFERROR((VLOOKUP(R14,IF(M14="Menurun",Premium_Table_Dec,Premium_Table_Flat),K14+2,FALSE)-VLOOKUP(R14,IF(M14="Menurun",Premium_Table_Dec,Premium_Table_Flat),K14+1,FALSE)),0)*L14/12),2)*Q14/100),"Perhatikan Ketentuan Usia + Masa Asuransi")/1000))),O14)</f>
        <v>0</v>
      </c>
      <c r="U14" s="40" t="str">
        <f>IF(Y14&lt;&gt;" ",Y14,IFERROR(VLOOKUP(R14,IF('Spek Produk'!$F$9="Syariah",Medic!$A$21:$L$27,Medic!$A$12:$L$18),MATCH(T14,IF('Spek Produk'!$F$9="Syariah",Medic!$B$21:$L$21,Medic!$B$12:$L$12),TRUE)+1),""))</f>
        <v/>
      </c>
      <c r="V14" s="91">
        <f t="shared" si="2"/>
        <v>0</v>
      </c>
      <c r="W14" s="41" t="str">
        <f t="shared" si="3"/>
        <v/>
      </c>
      <c r="X14" s="91" t="str">
        <f t="shared" si="4"/>
        <v/>
      </c>
      <c r="Y14" s="77" t="str" cm="1">
        <f t="array" ref="Y14">IF(M14="Menurun",IF(AND(R14&gt;'Spek Produk'!$I$23,R14&lt;&gt;""),"Usia masuk lebih besar dari fitur produk",IF(AND(R14&lt;'Spek Produk'!$G$23,R14&lt;&gt;0,R14&lt;&gt;""),"Usia masuk lebih rendah dari fitur produk",IF(OR(O14&gt;_xlfn.IFS(R14+K14+(L14/12)&lt;='Spek Produk'!$C$40,'Spek Produk'!$D$40,R14+K14+(L14/12)&gt;'Spek Produk'!$C$40,'Spek Produk'!$D$41),T14&gt;_xlfn.IFS(R14+K14+(L14/12)&lt;='Spek Produk'!$C$40,'Spek Produk'!$D$40,R14+K14+(L14/12)&gt;'Spek Produk'!$C$40,'Spek Produk'!$D$41),IFERROR(VLOOKUP(R14,IF('Spek Produk'!$F$9="Syariah",Medic!$A$21:$L$27,Medic!$A$12:$L$18),MATCH(T14,IF('Spek Produk'!$F$9="Syariah",Medic!$B$21:$L$21,Medic!$B$12:$L$12),TRUE)+1)="-","")),"UP lebih besar dari fitur produk",IF(K14+L14/12&gt;'Spek Produk'!$I$22,"Masa asuransi lebih besar dari fitur produk",IF(AND(R14+K14+L14/12&gt;'Spek Produk'!$H$24,R14&lt;&gt;0,R14&lt;&gt;""),"Maksimum masa asuransi untuk nasabah berusia "&amp;R14&amp;" tahun adalah "&amp;MAX(0,'Spek Produk'!$H$24-R14)&amp;" tahun",IF(AND(0&lt;K14+L14/12,K14+L14/12&lt;'Spek Produk'!$G$22),"Masa asuransi lebih kecil dari fitur produk"," ")))))),IF(AND(R14&gt;'Spek Produk'!$I$35,R14&lt;&gt;""),"Usia masuk lebih besar dari fitur produk",IF(AND(R14&lt;'Spek Produk'!$G$35,R14&lt;&gt;0,R14&lt;&gt;""),"Usia masuk lebih rendah dari fitur produk",IF(OR(O14&gt;_xlfn.IFS(R14+K14+(L14/12)&lt;='Spek Produk'!$C$40,'Spek Produk'!$D$40,R14+K14+(L14/12)&gt;'Spek Produk'!$C$40,'Spek Produk'!$D$41),T14&gt;_xlfn.IFS(R14+K14+(L14/12)&lt;='Spek Produk'!$C$40,'Spek Produk'!$D$40,R14+K14+(L14/12)&gt;'Spek Produk'!$C$40,'Spek Produk'!$D$41),IFERROR(VLOOKUP(R14,IF('Spek Produk'!$F$9="Syariah",Medic!$A$21:$L$27,Medic!$A$12:$L$18),MATCH(T14,IF('Spek Produk'!$F$9="Syariah",Medic!$B$21:$L$21,Medic!$B$12:$L$12),TRUE)+1)="-","")),"UP lebih besar dari fitur produk",IF(K14+L14/12&gt;'Spek Produk'!$I$34,"Masa asuransi lebih besar dari fitur produk",IF(AND(R14+K14+L14/12&gt;'Spek Produk'!$H$36,R14&lt;&gt;0,R14&lt;&gt;""),"Maksimum masa asuransi untuk nasabah berusia "&amp;R14&amp;" tahun adalah "&amp;MAX(0,'Spek Produk'!$H$36-R14)&amp;" tahun",IF(AND(0&lt;K14+L14/12,K14+L14/12&lt;'Spek Produk'!$G$34),"Masa asuransi lebih Kecil dari fitur produk"," ")))))))</f>
        <v xml:space="preserve"> </v>
      </c>
      <c r="Z14" s="77"/>
    </row>
    <row r="15" spans="1:26" x14ac:dyDescent="0.25">
      <c r="A15" s="43">
        <f t="shared" si="5"/>
        <v>10</v>
      </c>
      <c r="B15" s="34"/>
      <c r="C15" s="35"/>
      <c r="D15" s="34"/>
      <c r="E15" s="36"/>
      <c r="F15" s="33"/>
      <c r="G15" s="33"/>
      <c r="H15" s="37"/>
      <c r="I15" s="88"/>
      <c r="J15" s="88"/>
      <c r="K15" s="33"/>
      <c r="L15" s="33"/>
      <c r="M15" s="33"/>
      <c r="N15" s="33"/>
      <c r="O15" s="38"/>
      <c r="Q15" s="108">
        <v>0</v>
      </c>
      <c r="R15" s="39">
        <f t="shared" si="1"/>
        <v>0</v>
      </c>
      <c r="S15" s="111">
        <f t="shared" si="0"/>
        <v>0</v>
      </c>
      <c r="T15" s="105">
        <f>IF(N15="Yes",IF(O15/(1-(IFERROR(IF(R15=0,0,ROUND(IF(K15*12+L15&lt;12,VLOOKUP(K15*12+L15,Faktor_Multiplier,2,FALSE)*VLOOKUP(R15,IF(M15="Menurun",Premium_Table_Dec,Premium_Table_Flat),2,FALSE),VLOOKUP(R15,IF(M15="Menurun",Premium_Table_Dec,Premium_Table_Flat),K15+1,FALSE)+IFERROR((VLOOKUP(R15,IF(M15="Menurun",Premium_Table_Dec,Premium_Table_Flat),K15+2,FALSE)-VLOOKUP(R15,IF(M15="Menurun",Premium_Table_Dec,Premium_Table_Flat),K15+1,FALSE)),0)*L15/12),2)+
ROUND(IF(K15*12+L15&lt;12,VLOOKUP(K15*12+L15,Faktor_Multiplier,2,FALSE)*VLOOKUP(R15,IF(M15="Menurun",Premium_Table_Dec,Premium_Table_Flat),2,FALSE),VLOOKUP(R15,IF(M15="Menurun",Premium_Table_Dec,Premium_Table_Flat),K15+1,FALSE)+IFERROR((VLOOKUP(R15,IF(M15="Menurun",Premium_Table_Dec,Premium_Table_Flat),K15+2,FALSE)-VLOOKUP(R15,IF(M15="Menurun",Premium_Table_Dec,Premium_Table_Flat),K15+1,FALSE)),0)*L15/12),2)*Q15/100),"Perhatikan Ketentuan Usia + Masa Asuransi")/1000))&gt;'Spek Produk'!$F$8,"UP lebih besar dari fitur produk",O15/(1-(IFERROR(IF(R15=0,0,ROUND(IF(K15*12+L15&lt;12,VLOOKUP(K15*12+L15,Faktor_Multiplier,2,FALSE)*VLOOKUP(R15,IF(M15="Menurun",Premium_Table_Dec,Premium_Table_Flat),2,FALSE),VLOOKUP(R15,IF(M15="Menurun",Premium_Table_Dec,Premium_Table_Flat),K15+1,FALSE)+IFERROR((VLOOKUP(R15,IF(M15="Menurun",Premium_Table_Dec,Premium_Table_Flat),K15+2,FALSE)-VLOOKUP(R15,IF(M15="Menurun",Premium_Table_Dec,Premium_Table_Flat),K15+1,FALSE)),0)*L15/12),2)+
ROUND(IF(K15*12+L15&lt;12,VLOOKUP(K15*12+L15,Faktor_Multiplier,2,FALSE)*VLOOKUP(R15,IF(M15="Menurun",Premium_Table_Dec,Premium_Table_Flat),2,FALSE),VLOOKUP(R15,IF(M15="Menurun",Premium_Table_Dec,Premium_Table_Flat),K15+1,FALSE)+IFERROR((VLOOKUP(R15,IF(M15="Menurun",Premium_Table_Dec,Premium_Table_Flat),K15+2,FALSE)-VLOOKUP(R15,IF(M15="Menurun",Premium_Table_Dec,Premium_Table_Flat),K15+1,FALSE)),0)*L15/12),2)*Q15/100),"Perhatikan Ketentuan Usia + Masa Asuransi")/1000))),O15)</f>
        <v>0</v>
      </c>
      <c r="U15" s="40" t="str">
        <f>IF(Y15&lt;&gt;" ",Y15,IFERROR(VLOOKUP(R15,IF('Spek Produk'!$F$9="Syariah",Medic!$A$21:$L$27,Medic!$A$12:$L$18),MATCH(T15,IF('Spek Produk'!$F$9="Syariah",Medic!$B$21:$L$21,Medic!$B$12:$L$12),TRUE)+1),""))</f>
        <v/>
      </c>
      <c r="V15" s="91">
        <f t="shared" si="2"/>
        <v>0</v>
      </c>
      <c r="W15" s="41" t="str">
        <f t="shared" si="3"/>
        <v/>
      </c>
      <c r="X15" s="91" t="str">
        <f t="shared" si="4"/>
        <v/>
      </c>
      <c r="Y15" s="77" t="str" cm="1">
        <f t="array" ref="Y15">IF(M15="Menurun",IF(AND(R15&gt;'Spek Produk'!$I$23,R15&lt;&gt;""),"Usia masuk lebih besar dari fitur produk",IF(AND(R15&lt;'Spek Produk'!$G$23,R15&lt;&gt;0,R15&lt;&gt;""),"Usia masuk lebih rendah dari fitur produk",IF(OR(O15&gt;_xlfn.IFS(R15+K15+(L15/12)&lt;='Spek Produk'!$C$40,'Spek Produk'!$D$40,R15+K15+(L15/12)&gt;'Spek Produk'!$C$40,'Spek Produk'!$D$41),T15&gt;_xlfn.IFS(R15+K15+(L15/12)&lt;='Spek Produk'!$C$40,'Spek Produk'!$D$40,R15+K15+(L15/12)&gt;'Spek Produk'!$C$40,'Spek Produk'!$D$41),IFERROR(VLOOKUP(R15,IF('Spek Produk'!$F$9="Syariah",Medic!$A$21:$L$27,Medic!$A$12:$L$18),MATCH(T15,IF('Spek Produk'!$F$9="Syariah",Medic!$B$21:$L$21,Medic!$B$12:$L$12),TRUE)+1)="-","")),"UP lebih besar dari fitur produk",IF(K15+L15/12&gt;'Spek Produk'!$I$22,"Masa asuransi lebih besar dari fitur produk",IF(AND(R15+K15+L15/12&gt;'Spek Produk'!$H$24,R15&lt;&gt;0,R15&lt;&gt;""),"Maksimum masa asuransi untuk nasabah berusia "&amp;R15&amp;" tahun adalah "&amp;MAX(0,'Spek Produk'!$H$24-R15)&amp;" tahun",IF(AND(0&lt;K15+L15/12,K15+L15/12&lt;'Spek Produk'!$G$22),"Masa asuransi lebih kecil dari fitur produk"," ")))))),IF(AND(R15&gt;'Spek Produk'!$I$35,R15&lt;&gt;""),"Usia masuk lebih besar dari fitur produk",IF(AND(R15&lt;'Spek Produk'!$G$35,R15&lt;&gt;0,R15&lt;&gt;""),"Usia masuk lebih rendah dari fitur produk",IF(OR(O15&gt;_xlfn.IFS(R15+K15+(L15/12)&lt;='Spek Produk'!$C$40,'Spek Produk'!$D$40,R15+K15+(L15/12)&gt;'Spek Produk'!$C$40,'Spek Produk'!$D$41),T15&gt;_xlfn.IFS(R15+K15+(L15/12)&lt;='Spek Produk'!$C$40,'Spek Produk'!$D$40,R15+K15+(L15/12)&gt;'Spek Produk'!$C$40,'Spek Produk'!$D$41),IFERROR(VLOOKUP(R15,IF('Spek Produk'!$F$9="Syariah",Medic!$A$21:$L$27,Medic!$A$12:$L$18),MATCH(T15,IF('Spek Produk'!$F$9="Syariah",Medic!$B$21:$L$21,Medic!$B$12:$L$12),TRUE)+1)="-","")),"UP lebih besar dari fitur produk",IF(K15+L15/12&gt;'Spek Produk'!$I$34,"Masa asuransi lebih besar dari fitur produk",IF(AND(R15+K15+L15/12&gt;'Spek Produk'!$H$36,R15&lt;&gt;0,R15&lt;&gt;""),"Maksimum masa asuransi untuk nasabah berusia "&amp;R15&amp;" tahun adalah "&amp;MAX(0,'Spek Produk'!$H$36-R15)&amp;" tahun",IF(AND(0&lt;K15+L15/12,K15+L15/12&lt;'Spek Produk'!$G$34),"Masa asuransi lebih Kecil dari fitur produk"," ")))))))</f>
        <v xml:space="preserve"> </v>
      </c>
      <c r="Z15" s="77"/>
    </row>
    <row r="16" spans="1:26" x14ac:dyDescent="0.25">
      <c r="A16" s="43">
        <f t="shared" si="5"/>
        <v>11</v>
      </c>
      <c r="B16" s="34"/>
      <c r="C16" s="35"/>
      <c r="D16" s="34"/>
      <c r="E16" s="36"/>
      <c r="F16" s="33"/>
      <c r="G16" s="33"/>
      <c r="H16" s="37"/>
      <c r="I16" s="88"/>
      <c r="J16" s="88"/>
      <c r="K16" s="33"/>
      <c r="L16" s="33"/>
      <c r="M16" s="33"/>
      <c r="N16" s="33"/>
      <c r="O16" s="38"/>
      <c r="Q16" s="108">
        <v>0</v>
      </c>
      <c r="R16" s="39">
        <f t="shared" si="1"/>
        <v>0</v>
      </c>
      <c r="S16" s="111">
        <f t="shared" si="0"/>
        <v>0</v>
      </c>
      <c r="T16" s="105">
        <f>IF(N16="Yes",IF(O16/(1-(IFERROR(IF(R16=0,0,ROUND(IF(K16*12+L16&lt;12,VLOOKUP(K16*12+L16,Faktor_Multiplier,2,FALSE)*VLOOKUP(R16,IF(M16="Menurun",Premium_Table_Dec,Premium_Table_Flat),2,FALSE),VLOOKUP(R16,IF(M16="Menurun",Premium_Table_Dec,Premium_Table_Flat),K16+1,FALSE)+IFERROR((VLOOKUP(R16,IF(M16="Menurun",Premium_Table_Dec,Premium_Table_Flat),K16+2,FALSE)-VLOOKUP(R16,IF(M16="Menurun",Premium_Table_Dec,Premium_Table_Flat),K16+1,FALSE)),0)*L16/12),2)+
ROUND(IF(K16*12+L16&lt;12,VLOOKUP(K16*12+L16,Faktor_Multiplier,2,FALSE)*VLOOKUP(R16,IF(M16="Menurun",Premium_Table_Dec,Premium_Table_Flat),2,FALSE),VLOOKUP(R16,IF(M16="Menurun",Premium_Table_Dec,Premium_Table_Flat),K16+1,FALSE)+IFERROR((VLOOKUP(R16,IF(M16="Menurun",Premium_Table_Dec,Premium_Table_Flat),K16+2,FALSE)-VLOOKUP(R16,IF(M16="Menurun",Premium_Table_Dec,Premium_Table_Flat),K16+1,FALSE)),0)*L16/12),2)*Q16/100),"Perhatikan Ketentuan Usia + Masa Asuransi")/1000))&gt;'Spek Produk'!$F$8,"UP lebih besar dari fitur produk",O16/(1-(IFERROR(IF(R16=0,0,ROUND(IF(K16*12+L16&lt;12,VLOOKUP(K16*12+L16,Faktor_Multiplier,2,FALSE)*VLOOKUP(R16,IF(M16="Menurun",Premium_Table_Dec,Premium_Table_Flat),2,FALSE),VLOOKUP(R16,IF(M16="Menurun",Premium_Table_Dec,Premium_Table_Flat),K16+1,FALSE)+IFERROR((VLOOKUP(R16,IF(M16="Menurun",Premium_Table_Dec,Premium_Table_Flat),K16+2,FALSE)-VLOOKUP(R16,IF(M16="Menurun",Premium_Table_Dec,Premium_Table_Flat),K16+1,FALSE)),0)*L16/12),2)+
ROUND(IF(K16*12+L16&lt;12,VLOOKUP(K16*12+L16,Faktor_Multiplier,2,FALSE)*VLOOKUP(R16,IF(M16="Menurun",Premium_Table_Dec,Premium_Table_Flat),2,FALSE),VLOOKUP(R16,IF(M16="Menurun",Premium_Table_Dec,Premium_Table_Flat),K16+1,FALSE)+IFERROR((VLOOKUP(R16,IF(M16="Menurun",Premium_Table_Dec,Premium_Table_Flat),K16+2,FALSE)-VLOOKUP(R16,IF(M16="Menurun",Premium_Table_Dec,Premium_Table_Flat),K16+1,FALSE)),0)*L16/12),2)*Q16/100),"Perhatikan Ketentuan Usia + Masa Asuransi")/1000))),O16)</f>
        <v>0</v>
      </c>
      <c r="U16" s="40" t="str">
        <f>IF(Y16&lt;&gt;" ",Y16,IFERROR(VLOOKUP(R16,IF('Spek Produk'!$F$9="Syariah",Medic!$A$21:$L$27,Medic!$A$12:$L$18),MATCH(T16,IF('Spek Produk'!$F$9="Syariah",Medic!$B$21:$L$21,Medic!$B$12:$L$12),TRUE)+1),""))</f>
        <v/>
      </c>
      <c r="V16" s="91">
        <f t="shared" si="2"/>
        <v>0</v>
      </c>
      <c r="W16" s="41" t="str">
        <f t="shared" si="3"/>
        <v/>
      </c>
      <c r="X16" s="91" t="str">
        <f t="shared" si="4"/>
        <v/>
      </c>
      <c r="Y16" s="77" t="str" cm="1">
        <f t="array" ref="Y16">IF(M16="Menurun",IF(AND(R16&gt;'Spek Produk'!$I$23,R16&lt;&gt;""),"Usia masuk lebih besar dari fitur produk",IF(AND(R16&lt;'Spek Produk'!$G$23,R16&lt;&gt;0,R16&lt;&gt;""),"Usia masuk lebih rendah dari fitur produk",IF(OR(O16&gt;_xlfn.IFS(R16+K16+(L16/12)&lt;='Spek Produk'!$C$40,'Spek Produk'!$D$40,R16+K16+(L16/12)&gt;'Spek Produk'!$C$40,'Spek Produk'!$D$41),T16&gt;_xlfn.IFS(R16+K16+(L16/12)&lt;='Spek Produk'!$C$40,'Spek Produk'!$D$40,R16+K16+(L16/12)&gt;'Spek Produk'!$C$40,'Spek Produk'!$D$41),IFERROR(VLOOKUP(R16,IF('Spek Produk'!$F$9="Syariah",Medic!$A$21:$L$27,Medic!$A$12:$L$18),MATCH(T16,IF('Spek Produk'!$F$9="Syariah",Medic!$B$21:$L$21,Medic!$B$12:$L$12),TRUE)+1)="-","")),"UP lebih besar dari fitur produk",IF(K16+L16/12&gt;'Spek Produk'!$I$22,"Masa asuransi lebih besar dari fitur produk",IF(AND(R16+K16+L16/12&gt;'Spek Produk'!$H$24,R16&lt;&gt;0,R16&lt;&gt;""),"Maksimum masa asuransi untuk nasabah berusia "&amp;R16&amp;" tahun adalah "&amp;MAX(0,'Spek Produk'!$H$24-R16)&amp;" tahun",IF(AND(0&lt;K16+L16/12,K16+L16/12&lt;'Spek Produk'!$G$22),"Masa asuransi lebih kecil dari fitur produk"," ")))))),IF(AND(R16&gt;'Spek Produk'!$I$35,R16&lt;&gt;""),"Usia masuk lebih besar dari fitur produk",IF(AND(R16&lt;'Spek Produk'!$G$35,R16&lt;&gt;0,R16&lt;&gt;""),"Usia masuk lebih rendah dari fitur produk",IF(OR(O16&gt;_xlfn.IFS(R16+K16+(L16/12)&lt;='Spek Produk'!$C$40,'Spek Produk'!$D$40,R16+K16+(L16/12)&gt;'Spek Produk'!$C$40,'Spek Produk'!$D$41),T16&gt;_xlfn.IFS(R16+K16+(L16/12)&lt;='Spek Produk'!$C$40,'Spek Produk'!$D$40,R16+K16+(L16/12)&gt;'Spek Produk'!$C$40,'Spek Produk'!$D$41),IFERROR(VLOOKUP(R16,IF('Spek Produk'!$F$9="Syariah",Medic!$A$21:$L$27,Medic!$A$12:$L$18),MATCH(T16,IF('Spek Produk'!$F$9="Syariah",Medic!$B$21:$L$21,Medic!$B$12:$L$12),TRUE)+1)="-","")),"UP lebih besar dari fitur produk",IF(K16+L16/12&gt;'Spek Produk'!$I$34,"Masa asuransi lebih besar dari fitur produk",IF(AND(R16+K16+L16/12&gt;'Spek Produk'!$H$36,R16&lt;&gt;0,R16&lt;&gt;""),"Maksimum masa asuransi untuk nasabah berusia "&amp;R16&amp;" tahun adalah "&amp;MAX(0,'Spek Produk'!$H$36-R16)&amp;" tahun",IF(AND(0&lt;K16+L16/12,K16+L16/12&lt;'Spek Produk'!$G$34),"Masa asuransi lebih Kecil dari fitur produk"," ")))))))</f>
        <v xml:space="preserve"> </v>
      </c>
      <c r="Z16" s="77"/>
    </row>
    <row r="17" spans="1:26" x14ac:dyDescent="0.25">
      <c r="A17" s="43">
        <f t="shared" si="5"/>
        <v>12</v>
      </c>
      <c r="B17" s="34"/>
      <c r="C17" s="35"/>
      <c r="D17" s="34"/>
      <c r="E17" s="36"/>
      <c r="F17" s="33"/>
      <c r="G17" s="33"/>
      <c r="H17" s="37"/>
      <c r="I17" s="88"/>
      <c r="J17" s="88"/>
      <c r="K17" s="33"/>
      <c r="L17" s="33"/>
      <c r="M17" s="33"/>
      <c r="N17" s="33"/>
      <c r="O17" s="38"/>
      <c r="Q17" s="108">
        <v>0</v>
      </c>
      <c r="R17" s="39">
        <f t="shared" si="1"/>
        <v>0</v>
      </c>
      <c r="S17" s="111">
        <f t="shared" si="0"/>
        <v>0</v>
      </c>
      <c r="T17" s="105">
        <f>IF(N17="Yes",IF(O17/(1-(IFERROR(IF(R17=0,0,ROUND(IF(K17*12+L17&lt;12,VLOOKUP(K17*12+L17,Faktor_Multiplier,2,FALSE)*VLOOKUP(R17,IF(M17="Menurun",Premium_Table_Dec,Premium_Table_Flat),2,FALSE),VLOOKUP(R17,IF(M17="Menurun",Premium_Table_Dec,Premium_Table_Flat),K17+1,FALSE)+IFERROR((VLOOKUP(R17,IF(M17="Menurun",Premium_Table_Dec,Premium_Table_Flat),K17+2,FALSE)-VLOOKUP(R17,IF(M17="Menurun",Premium_Table_Dec,Premium_Table_Flat),K17+1,FALSE)),0)*L17/12),2)+
ROUND(IF(K17*12+L17&lt;12,VLOOKUP(K17*12+L17,Faktor_Multiplier,2,FALSE)*VLOOKUP(R17,IF(M17="Menurun",Premium_Table_Dec,Premium_Table_Flat),2,FALSE),VLOOKUP(R17,IF(M17="Menurun",Premium_Table_Dec,Premium_Table_Flat),K17+1,FALSE)+IFERROR((VLOOKUP(R17,IF(M17="Menurun",Premium_Table_Dec,Premium_Table_Flat),K17+2,FALSE)-VLOOKUP(R17,IF(M17="Menurun",Premium_Table_Dec,Premium_Table_Flat),K17+1,FALSE)),0)*L17/12),2)*Q17/100),"Perhatikan Ketentuan Usia + Masa Asuransi")/1000))&gt;'Spek Produk'!$F$8,"UP lebih besar dari fitur produk",O17/(1-(IFERROR(IF(R17=0,0,ROUND(IF(K17*12+L17&lt;12,VLOOKUP(K17*12+L17,Faktor_Multiplier,2,FALSE)*VLOOKUP(R17,IF(M17="Menurun",Premium_Table_Dec,Premium_Table_Flat),2,FALSE),VLOOKUP(R17,IF(M17="Menurun",Premium_Table_Dec,Premium_Table_Flat),K17+1,FALSE)+IFERROR((VLOOKUP(R17,IF(M17="Menurun",Premium_Table_Dec,Premium_Table_Flat),K17+2,FALSE)-VLOOKUP(R17,IF(M17="Menurun",Premium_Table_Dec,Premium_Table_Flat),K17+1,FALSE)),0)*L17/12),2)+
ROUND(IF(K17*12+L17&lt;12,VLOOKUP(K17*12+L17,Faktor_Multiplier,2,FALSE)*VLOOKUP(R17,IF(M17="Menurun",Premium_Table_Dec,Premium_Table_Flat),2,FALSE),VLOOKUP(R17,IF(M17="Menurun",Premium_Table_Dec,Premium_Table_Flat),K17+1,FALSE)+IFERROR((VLOOKUP(R17,IF(M17="Menurun",Premium_Table_Dec,Premium_Table_Flat),K17+2,FALSE)-VLOOKUP(R17,IF(M17="Menurun",Premium_Table_Dec,Premium_Table_Flat),K17+1,FALSE)),0)*L17/12),2)*Q17/100),"Perhatikan Ketentuan Usia + Masa Asuransi")/1000))),O17)</f>
        <v>0</v>
      </c>
      <c r="U17" s="40" t="str">
        <f>IF(Y17&lt;&gt;" ",Y17,IFERROR(VLOOKUP(R17,IF('Spek Produk'!$F$9="Syariah",Medic!$A$21:$L$27,Medic!$A$12:$L$18),MATCH(T17,IF('Spek Produk'!$F$9="Syariah",Medic!$B$21:$L$21,Medic!$B$12:$L$12),TRUE)+1),""))</f>
        <v/>
      </c>
      <c r="V17" s="91">
        <f t="shared" si="2"/>
        <v>0</v>
      </c>
      <c r="W17" s="41" t="str">
        <f t="shared" si="3"/>
        <v/>
      </c>
      <c r="X17" s="91" t="str">
        <f t="shared" si="4"/>
        <v/>
      </c>
      <c r="Y17" s="77" t="str" cm="1">
        <f t="array" ref="Y17">IF(M17="Menurun",IF(AND(R17&gt;'Spek Produk'!$I$23,R17&lt;&gt;""),"Usia masuk lebih besar dari fitur produk",IF(AND(R17&lt;'Spek Produk'!$G$23,R17&lt;&gt;0,R17&lt;&gt;""),"Usia masuk lebih rendah dari fitur produk",IF(OR(O17&gt;_xlfn.IFS(R17+K17+(L17/12)&lt;='Spek Produk'!$C$40,'Spek Produk'!$D$40,R17+K17+(L17/12)&gt;'Spek Produk'!$C$40,'Spek Produk'!$D$41),T17&gt;_xlfn.IFS(R17+K17+(L17/12)&lt;='Spek Produk'!$C$40,'Spek Produk'!$D$40,R17+K17+(L17/12)&gt;'Spek Produk'!$C$40,'Spek Produk'!$D$41),IFERROR(VLOOKUP(R17,IF('Spek Produk'!$F$9="Syariah",Medic!$A$21:$L$27,Medic!$A$12:$L$18),MATCH(T17,IF('Spek Produk'!$F$9="Syariah",Medic!$B$21:$L$21,Medic!$B$12:$L$12),TRUE)+1)="-","")),"UP lebih besar dari fitur produk",IF(K17+L17/12&gt;'Spek Produk'!$I$22,"Masa asuransi lebih besar dari fitur produk",IF(AND(R17+K17+L17/12&gt;'Spek Produk'!$H$24,R17&lt;&gt;0,R17&lt;&gt;""),"Maksimum masa asuransi untuk nasabah berusia "&amp;R17&amp;" tahun adalah "&amp;MAX(0,'Spek Produk'!$H$24-R17)&amp;" tahun",IF(AND(0&lt;K17+L17/12,K17+L17/12&lt;'Spek Produk'!$G$22),"Masa asuransi lebih kecil dari fitur produk"," ")))))),IF(AND(R17&gt;'Spek Produk'!$I$35,R17&lt;&gt;""),"Usia masuk lebih besar dari fitur produk",IF(AND(R17&lt;'Spek Produk'!$G$35,R17&lt;&gt;0,R17&lt;&gt;""),"Usia masuk lebih rendah dari fitur produk",IF(OR(O17&gt;_xlfn.IFS(R17+K17+(L17/12)&lt;='Spek Produk'!$C$40,'Spek Produk'!$D$40,R17+K17+(L17/12)&gt;'Spek Produk'!$C$40,'Spek Produk'!$D$41),T17&gt;_xlfn.IFS(R17+K17+(L17/12)&lt;='Spek Produk'!$C$40,'Spek Produk'!$D$40,R17+K17+(L17/12)&gt;'Spek Produk'!$C$40,'Spek Produk'!$D$41),IFERROR(VLOOKUP(R17,IF('Spek Produk'!$F$9="Syariah",Medic!$A$21:$L$27,Medic!$A$12:$L$18),MATCH(T17,IF('Spek Produk'!$F$9="Syariah",Medic!$B$21:$L$21,Medic!$B$12:$L$12),TRUE)+1)="-","")),"UP lebih besar dari fitur produk",IF(K17+L17/12&gt;'Spek Produk'!$I$34,"Masa asuransi lebih besar dari fitur produk",IF(AND(R17+K17+L17/12&gt;'Spek Produk'!$H$36,R17&lt;&gt;0,R17&lt;&gt;""),"Maksimum masa asuransi untuk nasabah berusia "&amp;R17&amp;" tahun adalah "&amp;MAX(0,'Spek Produk'!$H$36-R17)&amp;" tahun",IF(AND(0&lt;K17+L17/12,K17+L17/12&lt;'Spek Produk'!$G$34),"Masa asuransi lebih Kecil dari fitur produk"," ")))))))</f>
        <v xml:space="preserve"> </v>
      </c>
      <c r="Z17" s="77"/>
    </row>
    <row r="18" spans="1:26" x14ac:dyDescent="0.25">
      <c r="A18" s="43">
        <f t="shared" si="5"/>
        <v>13</v>
      </c>
      <c r="B18" s="34"/>
      <c r="C18" s="35"/>
      <c r="D18" s="34"/>
      <c r="E18" s="36"/>
      <c r="F18" s="33"/>
      <c r="G18" s="33"/>
      <c r="H18" s="37"/>
      <c r="I18" s="88"/>
      <c r="J18" s="88"/>
      <c r="K18" s="33"/>
      <c r="L18" s="33"/>
      <c r="M18" s="33"/>
      <c r="N18" s="33"/>
      <c r="O18" s="38"/>
      <c r="Q18" s="108">
        <v>0</v>
      </c>
      <c r="R18" s="39">
        <f t="shared" si="1"/>
        <v>0</v>
      </c>
      <c r="S18" s="111">
        <f t="shared" si="0"/>
        <v>0</v>
      </c>
      <c r="T18" s="105">
        <f>IF(N18="Yes",IF(O18/(1-(IFERROR(IF(R18=0,0,ROUND(IF(K18*12+L18&lt;12,VLOOKUP(K18*12+L18,Faktor_Multiplier,2,FALSE)*VLOOKUP(R18,IF(M18="Menurun",Premium_Table_Dec,Premium_Table_Flat),2,FALSE),VLOOKUP(R18,IF(M18="Menurun",Premium_Table_Dec,Premium_Table_Flat),K18+1,FALSE)+IFERROR((VLOOKUP(R18,IF(M18="Menurun",Premium_Table_Dec,Premium_Table_Flat),K18+2,FALSE)-VLOOKUP(R18,IF(M18="Menurun",Premium_Table_Dec,Premium_Table_Flat),K18+1,FALSE)),0)*L18/12),2)+
ROUND(IF(K18*12+L18&lt;12,VLOOKUP(K18*12+L18,Faktor_Multiplier,2,FALSE)*VLOOKUP(R18,IF(M18="Menurun",Premium_Table_Dec,Premium_Table_Flat),2,FALSE),VLOOKUP(R18,IF(M18="Menurun",Premium_Table_Dec,Premium_Table_Flat),K18+1,FALSE)+IFERROR((VLOOKUP(R18,IF(M18="Menurun",Premium_Table_Dec,Premium_Table_Flat),K18+2,FALSE)-VLOOKUP(R18,IF(M18="Menurun",Premium_Table_Dec,Premium_Table_Flat),K18+1,FALSE)),0)*L18/12),2)*Q18/100),"Perhatikan Ketentuan Usia + Masa Asuransi")/1000))&gt;'Spek Produk'!$F$8,"UP lebih besar dari fitur produk",O18/(1-(IFERROR(IF(R18=0,0,ROUND(IF(K18*12+L18&lt;12,VLOOKUP(K18*12+L18,Faktor_Multiplier,2,FALSE)*VLOOKUP(R18,IF(M18="Menurun",Premium_Table_Dec,Premium_Table_Flat),2,FALSE),VLOOKUP(R18,IF(M18="Menurun",Premium_Table_Dec,Premium_Table_Flat),K18+1,FALSE)+IFERROR((VLOOKUP(R18,IF(M18="Menurun",Premium_Table_Dec,Premium_Table_Flat),K18+2,FALSE)-VLOOKUP(R18,IF(M18="Menurun",Premium_Table_Dec,Premium_Table_Flat),K18+1,FALSE)),0)*L18/12),2)+
ROUND(IF(K18*12+L18&lt;12,VLOOKUP(K18*12+L18,Faktor_Multiplier,2,FALSE)*VLOOKUP(R18,IF(M18="Menurun",Premium_Table_Dec,Premium_Table_Flat),2,FALSE),VLOOKUP(R18,IF(M18="Menurun",Premium_Table_Dec,Premium_Table_Flat),K18+1,FALSE)+IFERROR((VLOOKUP(R18,IF(M18="Menurun",Premium_Table_Dec,Premium_Table_Flat),K18+2,FALSE)-VLOOKUP(R18,IF(M18="Menurun",Premium_Table_Dec,Premium_Table_Flat),K18+1,FALSE)),0)*L18/12),2)*Q18/100),"Perhatikan Ketentuan Usia + Masa Asuransi")/1000))),O18)</f>
        <v>0</v>
      </c>
      <c r="U18" s="40" t="str">
        <f>IF(Y18&lt;&gt;" ",Y18,IFERROR(VLOOKUP(R18,IF('Spek Produk'!$F$9="Syariah",Medic!$A$21:$L$27,Medic!$A$12:$L$18),MATCH(T18,IF('Spek Produk'!$F$9="Syariah",Medic!$B$21:$L$21,Medic!$B$12:$L$12),TRUE)+1),""))</f>
        <v/>
      </c>
      <c r="V18" s="91">
        <f t="shared" si="2"/>
        <v>0</v>
      </c>
      <c r="W18" s="41" t="str">
        <f t="shared" si="3"/>
        <v/>
      </c>
      <c r="X18" s="91" t="str">
        <f t="shared" si="4"/>
        <v/>
      </c>
      <c r="Y18" s="77" t="str" cm="1">
        <f t="array" ref="Y18">IF(M18="Menurun",IF(AND(R18&gt;'Spek Produk'!$I$23,R18&lt;&gt;""),"Usia masuk lebih besar dari fitur produk",IF(AND(R18&lt;'Spek Produk'!$G$23,R18&lt;&gt;0,R18&lt;&gt;""),"Usia masuk lebih rendah dari fitur produk",IF(OR(O18&gt;_xlfn.IFS(R18+K18+(L18/12)&lt;='Spek Produk'!$C$40,'Spek Produk'!$D$40,R18+K18+(L18/12)&gt;'Spek Produk'!$C$40,'Spek Produk'!$D$41),T18&gt;_xlfn.IFS(R18+K18+(L18/12)&lt;='Spek Produk'!$C$40,'Spek Produk'!$D$40,R18+K18+(L18/12)&gt;'Spek Produk'!$C$40,'Spek Produk'!$D$41),IFERROR(VLOOKUP(R18,IF('Spek Produk'!$F$9="Syariah",Medic!$A$21:$L$27,Medic!$A$12:$L$18),MATCH(T18,IF('Spek Produk'!$F$9="Syariah",Medic!$B$21:$L$21,Medic!$B$12:$L$12),TRUE)+1)="-","")),"UP lebih besar dari fitur produk",IF(K18+L18/12&gt;'Spek Produk'!$I$22,"Masa asuransi lebih besar dari fitur produk",IF(AND(R18+K18+L18/12&gt;'Spek Produk'!$H$24,R18&lt;&gt;0,R18&lt;&gt;""),"Maksimum masa asuransi untuk nasabah berusia "&amp;R18&amp;" tahun adalah "&amp;MAX(0,'Spek Produk'!$H$24-R18)&amp;" tahun",IF(AND(0&lt;K18+L18/12,K18+L18/12&lt;'Spek Produk'!$G$22),"Masa asuransi lebih kecil dari fitur produk"," ")))))),IF(AND(R18&gt;'Spek Produk'!$I$35,R18&lt;&gt;""),"Usia masuk lebih besar dari fitur produk",IF(AND(R18&lt;'Spek Produk'!$G$35,R18&lt;&gt;0,R18&lt;&gt;""),"Usia masuk lebih rendah dari fitur produk",IF(OR(O18&gt;_xlfn.IFS(R18+K18+(L18/12)&lt;='Spek Produk'!$C$40,'Spek Produk'!$D$40,R18+K18+(L18/12)&gt;'Spek Produk'!$C$40,'Spek Produk'!$D$41),T18&gt;_xlfn.IFS(R18+K18+(L18/12)&lt;='Spek Produk'!$C$40,'Spek Produk'!$D$40,R18+K18+(L18/12)&gt;'Spek Produk'!$C$40,'Spek Produk'!$D$41),IFERROR(VLOOKUP(R18,IF('Spek Produk'!$F$9="Syariah",Medic!$A$21:$L$27,Medic!$A$12:$L$18),MATCH(T18,IF('Spek Produk'!$F$9="Syariah",Medic!$B$21:$L$21,Medic!$B$12:$L$12),TRUE)+1)="-","")),"UP lebih besar dari fitur produk",IF(K18+L18/12&gt;'Spek Produk'!$I$34,"Masa asuransi lebih besar dari fitur produk",IF(AND(R18+K18+L18/12&gt;'Spek Produk'!$H$36,R18&lt;&gt;0,R18&lt;&gt;""),"Maksimum masa asuransi untuk nasabah berusia "&amp;R18&amp;" tahun adalah "&amp;MAX(0,'Spek Produk'!$H$36-R18)&amp;" tahun",IF(AND(0&lt;K18+L18/12,K18+L18/12&lt;'Spek Produk'!$G$34),"Masa asuransi lebih Kecil dari fitur produk"," ")))))))</f>
        <v xml:space="preserve"> </v>
      </c>
      <c r="Z18" s="77"/>
    </row>
    <row r="19" spans="1:26" x14ac:dyDescent="0.25">
      <c r="A19" s="43">
        <f t="shared" si="5"/>
        <v>14</v>
      </c>
      <c r="B19" s="34"/>
      <c r="C19" s="35"/>
      <c r="D19" s="34"/>
      <c r="E19" s="36"/>
      <c r="F19" s="33"/>
      <c r="G19" s="33"/>
      <c r="H19" s="37"/>
      <c r="I19" s="88"/>
      <c r="J19" s="88"/>
      <c r="K19" s="33"/>
      <c r="L19" s="33"/>
      <c r="M19" s="33"/>
      <c r="N19" s="33"/>
      <c r="O19" s="38"/>
      <c r="Q19" s="108">
        <v>0</v>
      </c>
      <c r="R19" s="39">
        <f t="shared" si="1"/>
        <v>0</v>
      </c>
      <c r="S19" s="111">
        <f t="shared" si="0"/>
        <v>0</v>
      </c>
      <c r="T19" s="105">
        <f>IF(N19="Yes",IF(O19/(1-(IFERROR(IF(R19=0,0,ROUND(IF(K19*12+L19&lt;12,VLOOKUP(K19*12+L19,Faktor_Multiplier,2,FALSE)*VLOOKUP(R19,IF(M19="Menurun",Premium_Table_Dec,Premium_Table_Flat),2,FALSE),VLOOKUP(R19,IF(M19="Menurun",Premium_Table_Dec,Premium_Table_Flat),K19+1,FALSE)+IFERROR((VLOOKUP(R19,IF(M19="Menurun",Premium_Table_Dec,Premium_Table_Flat),K19+2,FALSE)-VLOOKUP(R19,IF(M19="Menurun",Premium_Table_Dec,Premium_Table_Flat),K19+1,FALSE)),0)*L19/12),2)+
ROUND(IF(K19*12+L19&lt;12,VLOOKUP(K19*12+L19,Faktor_Multiplier,2,FALSE)*VLOOKUP(R19,IF(M19="Menurun",Premium_Table_Dec,Premium_Table_Flat),2,FALSE),VLOOKUP(R19,IF(M19="Menurun",Premium_Table_Dec,Premium_Table_Flat),K19+1,FALSE)+IFERROR((VLOOKUP(R19,IF(M19="Menurun",Premium_Table_Dec,Premium_Table_Flat),K19+2,FALSE)-VLOOKUP(R19,IF(M19="Menurun",Premium_Table_Dec,Premium_Table_Flat),K19+1,FALSE)),0)*L19/12),2)*Q19/100),"Perhatikan Ketentuan Usia + Masa Asuransi")/1000))&gt;'Spek Produk'!$F$8,"UP lebih besar dari fitur produk",O19/(1-(IFERROR(IF(R19=0,0,ROUND(IF(K19*12+L19&lt;12,VLOOKUP(K19*12+L19,Faktor_Multiplier,2,FALSE)*VLOOKUP(R19,IF(M19="Menurun",Premium_Table_Dec,Premium_Table_Flat),2,FALSE),VLOOKUP(R19,IF(M19="Menurun",Premium_Table_Dec,Premium_Table_Flat),K19+1,FALSE)+IFERROR((VLOOKUP(R19,IF(M19="Menurun",Premium_Table_Dec,Premium_Table_Flat),K19+2,FALSE)-VLOOKUP(R19,IF(M19="Menurun",Premium_Table_Dec,Premium_Table_Flat),K19+1,FALSE)),0)*L19/12),2)+
ROUND(IF(K19*12+L19&lt;12,VLOOKUP(K19*12+L19,Faktor_Multiplier,2,FALSE)*VLOOKUP(R19,IF(M19="Menurun",Premium_Table_Dec,Premium_Table_Flat),2,FALSE),VLOOKUP(R19,IF(M19="Menurun",Premium_Table_Dec,Premium_Table_Flat),K19+1,FALSE)+IFERROR((VLOOKUP(R19,IF(M19="Menurun",Premium_Table_Dec,Premium_Table_Flat),K19+2,FALSE)-VLOOKUP(R19,IF(M19="Menurun",Premium_Table_Dec,Premium_Table_Flat),K19+1,FALSE)),0)*L19/12),2)*Q19/100),"Perhatikan Ketentuan Usia + Masa Asuransi")/1000))),O19)</f>
        <v>0</v>
      </c>
      <c r="U19" s="40" t="str">
        <f>IF(Y19&lt;&gt;" ",Y19,IFERROR(VLOOKUP(R19,IF('Spek Produk'!$F$9="Syariah",Medic!$A$21:$L$27,Medic!$A$12:$L$18),MATCH(T19,IF('Spek Produk'!$F$9="Syariah",Medic!$B$21:$L$21,Medic!$B$12:$L$12),TRUE)+1),""))</f>
        <v/>
      </c>
      <c r="V19" s="91">
        <f t="shared" si="2"/>
        <v>0</v>
      </c>
      <c r="W19" s="41" t="str">
        <f t="shared" si="3"/>
        <v/>
      </c>
      <c r="X19" s="91" t="str">
        <f t="shared" si="4"/>
        <v/>
      </c>
      <c r="Y19" s="77" t="str" cm="1">
        <f t="array" ref="Y19">IF(M19="Menurun",IF(AND(R19&gt;'Spek Produk'!$I$23,R19&lt;&gt;""),"Usia masuk lebih besar dari fitur produk",IF(AND(R19&lt;'Spek Produk'!$G$23,R19&lt;&gt;0,R19&lt;&gt;""),"Usia masuk lebih rendah dari fitur produk",IF(OR(O19&gt;_xlfn.IFS(R19+K19+(L19/12)&lt;='Spek Produk'!$C$40,'Spek Produk'!$D$40,R19+K19+(L19/12)&gt;'Spek Produk'!$C$40,'Spek Produk'!$D$41),T19&gt;_xlfn.IFS(R19+K19+(L19/12)&lt;='Spek Produk'!$C$40,'Spek Produk'!$D$40,R19+K19+(L19/12)&gt;'Spek Produk'!$C$40,'Spek Produk'!$D$41),IFERROR(VLOOKUP(R19,IF('Spek Produk'!$F$9="Syariah",Medic!$A$21:$L$27,Medic!$A$12:$L$18),MATCH(T19,IF('Spek Produk'!$F$9="Syariah",Medic!$B$21:$L$21,Medic!$B$12:$L$12),TRUE)+1)="-","")),"UP lebih besar dari fitur produk",IF(K19+L19/12&gt;'Spek Produk'!$I$22,"Masa asuransi lebih besar dari fitur produk",IF(AND(R19+K19+L19/12&gt;'Spek Produk'!$H$24,R19&lt;&gt;0,R19&lt;&gt;""),"Maksimum masa asuransi untuk nasabah berusia "&amp;R19&amp;" tahun adalah "&amp;MAX(0,'Spek Produk'!$H$24-R19)&amp;" tahun",IF(AND(0&lt;K19+L19/12,K19+L19/12&lt;'Spek Produk'!$G$22),"Masa asuransi lebih kecil dari fitur produk"," ")))))),IF(AND(R19&gt;'Spek Produk'!$I$35,R19&lt;&gt;""),"Usia masuk lebih besar dari fitur produk",IF(AND(R19&lt;'Spek Produk'!$G$35,R19&lt;&gt;0,R19&lt;&gt;""),"Usia masuk lebih rendah dari fitur produk",IF(OR(O19&gt;_xlfn.IFS(R19+K19+(L19/12)&lt;='Spek Produk'!$C$40,'Spek Produk'!$D$40,R19+K19+(L19/12)&gt;'Spek Produk'!$C$40,'Spek Produk'!$D$41),T19&gt;_xlfn.IFS(R19+K19+(L19/12)&lt;='Spek Produk'!$C$40,'Spek Produk'!$D$40,R19+K19+(L19/12)&gt;'Spek Produk'!$C$40,'Spek Produk'!$D$41),IFERROR(VLOOKUP(R19,IF('Spek Produk'!$F$9="Syariah",Medic!$A$21:$L$27,Medic!$A$12:$L$18),MATCH(T19,IF('Spek Produk'!$F$9="Syariah",Medic!$B$21:$L$21,Medic!$B$12:$L$12),TRUE)+1)="-","")),"UP lebih besar dari fitur produk",IF(K19+L19/12&gt;'Spek Produk'!$I$34,"Masa asuransi lebih besar dari fitur produk",IF(AND(R19+K19+L19/12&gt;'Spek Produk'!$H$36,R19&lt;&gt;0,R19&lt;&gt;""),"Maksimum masa asuransi untuk nasabah berusia "&amp;R19&amp;" tahun adalah "&amp;MAX(0,'Spek Produk'!$H$36-R19)&amp;" tahun",IF(AND(0&lt;K19+L19/12,K19+L19/12&lt;'Spek Produk'!$G$34),"Masa asuransi lebih Kecil dari fitur produk"," ")))))))</f>
        <v xml:space="preserve"> </v>
      </c>
      <c r="Z19" s="77"/>
    </row>
    <row r="20" spans="1:26" x14ac:dyDescent="0.25">
      <c r="A20" s="43">
        <f t="shared" si="5"/>
        <v>15</v>
      </c>
      <c r="B20" s="34"/>
      <c r="C20" s="35"/>
      <c r="D20" s="34"/>
      <c r="E20" s="36"/>
      <c r="F20" s="33"/>
      <c r="G20" s="33"/>
      <c r="H20" s="37"/>
      <c r="I20" s="88"/>
      <c r="J20" s="88"/>
      <c r="K20" s="33"/>
      <c r="L20" s="33"/>
      <c r="M20" s="33"/>
      <c r="N20" s="33"/>
      <c r="O20" s="38"/>
      <c r="Q20" s="108">
        <v>0</v>
      </c>
      <c r="R20" s="39">
        <f t="shared" si="1"/>
        <v>0</v>
      </c>
      <c r="S20" s="111">
        <f t="shared" si="0"/>
        <v>0</v>
      </c>
      <c r="T20" s="105">
        <f>IF(N20="Yes",IF(O20/(1-(IFERROR(IF(R20=0,0,ROUND(IF(K20*12+L20&lt;12,VLOOKUP(K20*12+L20,Faktor_Multiplier,2,FALSE)*VLOOKUP(R20,IF(M20="Menurun",Premium_Table_Dec,Premium_Table_Flat),2,FALSE),VLOOKUP(R20,IF(M20="Menurun",Premium_Table_Dec,Premium_Table_Flat),K20+1,FALSE)+IFERROR((VLOOKUP(R20,IF(M20="Menurun",Premium_Table_Dec,Premium_Table_Flat),K20+2,FALSE)-VLOOKUP(R20,IF(M20="Menurun",Premium_Table_Dec,Premium_Table_Flat),K20+1,FALSE)),0)*L20/12),2)+
ROUND(IF(K20*12+L20&lt;12,VLOOKUP(K20*12+L20,Faktor_Multiplier,2,FALSE)*VLOOKUP(R20,IF(M20="Menurun",Premium_Table_Dec,Premium_Table_Flat),2,FALSE),VLOOKUP(R20,IF(M20="Menurun",Premium_Table_Dec,Premium_Table_Flat),K20+1,FALSE)+IFERROR((VLOOKUP(R20,IF(M20="Menurun",Premium_Table_Dec,Premium_Table_Flat),K20+2,FALSE)-VLOOKUP(R20,IF(M20="Menurun",Premium_Table_Dec,Premium_Table_Flat),K20+1,FALSE)),0)*L20/12),2)*Q20/100),"Perhatikan Ketentuan Usia + Masa Asuransi")/1000))&gt;'Spek Produk'!$F$8,"UP lebih besar dari fitur produk",O20/(1-(IFERROR(IF(R20=0,0,ROUND(IF(K20*12+L20&lt;12,VLOOKUP(K20*12+L20,Faktor_Multiplier,2,FALSE)*VLOOKUP(R20,IF(M20="Menurun",Premium_Table_Dec,Premium_Table_Flat),2,FALSE),VLOOKUP(R20,IF(M20="Menurun",Premium_Table_Dec,Premium_Table_Flat),K20+1,FALSE)+IFERROR((VLOOKUP(R20,IF(M20="Menurun",Premium_Table_Dec,Premium_Table_Flat),K20+2,FALSE)-VLOOKUP(R20,IF(M20="Menurun",Premium_Table_Dec,Premium_Table_Flat),K20+1,FALSE)),0)*L20/12),2)+
ROUND(IF(K20*12+L20&lt;12,VLOOKUP(K20*12+L20,Faktor_Multiplier,2,FALSE)*VLOOKUP(R20,IF(M20="Menurun",Premium_Table_Dec,Premium_Table_Flat),2,FALSE),VLOOKUP(R20,IF(M20="Menurun",Premium_Table_Dec,Premium_Table_Flat),K20+1,FALSE)+IFERROR((VLOOKUP(R20,IF(M20="Menurun",Premium_Table_Dec,Premium_Table_Flat),K20+2,FALSE)-VLOOKUP(R20,IF(M20="Menurun",Premium_Table_Dec,Premium_Table_Flat),K20+1,FALSE)),0)*L20/12),2)*Q20/100),"Perhatikan Ketentuan Usia + Masa Asuransi")/1000))),O20)</f>
        <v>0</v>
      </c>
      <c r="U20" s="40" t="str">
        <f>IF(Y20&lt;&gt;" ",Y20,IFERROR(VLOOKUP(R20,IF('Spek Produk'!$F$9="Syariah",Medic!$A$21:$L$27,Medic!$A$12:$L$18),MATCH(T20,IF('Spek Produk'!$F$9="Syariah",Medic!$B$21:$L$21,Medic!$B$12:$L$12),TRUE)+1),""))</f>
        <v/>
      </c>
      <c r="V20" s="91">
        <f t="shared" si="2"/>
        <v>0</v>
      </c>
      <c r="W20" s="41" t="str">
        <f t="shared" si="3"/>
        <v/>
      </c>
      <c r="X20" s="91" t="str">
        <f t="shared" si="4"/>
        <v/>
      </c>
      <c r="Y20" s="77" t="str" cm="1">
        <f t="array" ref="Y20">IF(M20="Menurun",IF(AND(R20&gt;'Spek Produk'!$I$23,R20&lt;&gt;""),"Usia masuk lebih besar dari fitur produk",IF(AND(R20&lt;'Spek Produk'!$G$23,R20&lt;&gt;0,R20&lt;&gt;""),"Usia masuk lebih rendah dari fitur produk",IF(OR(O20&gt;_xlfn.IFS(R20+K20+(L20/12)&lt;='Spek Produk'!$C$40,'Spek Produk'!$D$40,R20+K20+(L20/12)&gt;'Spek Produk'!$C$40,'Spek Produk'!$D$41),T20&gt;_xlfn.IFS(R20+K20+(L20/12)&lt;='Spek Produk'!$C$40,'Spek Produk'!$D$40,R20+K20+(L20/12)&gt;'Spek Produk'!$C$40,'Spek Produk'!$D$41),IFERROR(VLOOKUP(R20,IF('Spek Produk'!$F$9="Syariah",Medic!$A$21:$L$27,Medic!$A$12:$L$18),MATCH(T20,IF('Spek Produk'!$F$9="Syariah",Medic!$B$21:$L$21,Medic!$B$12:$L$12),TRUE)+1)="-","")),"UP lebih besar dari fitur produk",IF(K20+L20/12&gt;'Spek Produk'!$I$22,"Masa asuransi lebih besar dari fitur produk",IF(AND(R20+K20+L20/12&gt;'Spek Produk'!$H$24,R20&lt;&gt;0,R20&lt;&gt;""),"Maksimum masa asuransi untuk nasabah berusia "&amp;R20&amp;" tahun adalah "&amp;MAX(0,'Spek Produk'!$H$24-R20)&amp;" tahun",IF(AND(0&lt;K20+L20/12,K20+L20/12&lt;'Spek Produk'!$G$22),"Masa asuransi lebih kecil dari fitur produk"," ")))))),IF(AND(R20&gt;'Spek Produk'!$I$35,R20&lt;&gt;""),"Usia masuk lebih besar dari fitur produk",IF(AND(R20&lt;'Spek Produk'!$G$35,R20&lt;&gt;0,R20&lt;&gt;""),"Usia masuk lebih rendah dari fitur produk",IF(OR(O20&gt;_xlfn.IFS(R20+K20+(L20/12)&lt;='Spek Produk'!$C$40,'Spek Produk'!$D$40,R20+K20+(L20/12)&gt;'Spek Produk'!$C$40,'Spek Produk'!$D$41),T20&gt;_xlfn.IFS(R20+K20+(L20/12)&lt;='Spek Produk'!$C$40,'Spek Produk'!$D$40,R20+K20+(L20/12)&gt;'Spek Produk'!$C$40,'Spek Produk'!$D$41),IFERROR(VLOOKUP(R20,IF('Spek Produk'!$F$9="Syariah",Medic!$A$21:$L$27,Medic!$A$12:$L$18),MATCH(T20,IF('Spek Produk'!$F$9="Syariah",Medic!$B$21:$L$21,Medic!$B$12:$L$12),TRUE)+1)="-","")),"UP lebih besar dari fitur produk",IF(K20+L20/12&gt;'Spek Produk'!$I$34,"Masa asuransi lebih besar dari fitur produk",IF(AND(R20+K20+L20/12&gt;'Spek Produk'!$H$36,R20&lt;&gt;0,R20&lt;&gt;""),"Maksimum masa asuransi untuk nasabah berusia "&amp;R20&amp;" tahun adalah "&amp;MAX(0,'Spek Produk'!$H$36-R20)&amp;" tahun",IF(AND(0&lt;K20+L20/12,K20+L20/12&lt;'Spek Produk'!$G$34),"Masa asuransi lebih Kecil dari fitur produk"," ")))))))</f>
        <v xml:space="preserve"> </v>
      </c>
      <c r="Z20" s="77"/>
    </row>
    <row r="21" spans="1:26" x14ac:dyDescent="0.25">
      <c r="A21" s="43">
        <f t="shared" si="5"/>
        <v>16</v>
      </c>
      <c r="B21" s="34"/>
      <c r="C21" s="35"/>
      <c r="D21" s="34"/>
      <c r="E21" s="36"/>
      <c r="F21" s="33"/>
      <c r="G21" s="33"/>
      <c r="H21" s="37"/>
      <c r="I21" s="88"/>
      <c r="J21" s="88"/>
      <c r="K21" s="33"/>
      <c r="L21" s="33"/>
      <c r="M21" s="33"/>
      <c r="N21" s="33"/>
      <c r="O21" s="38"/>
      <c r="Q21" s="108">
        <v>0</v>
      </c>
      <c r="R21" s="39">
        <f t="shared" si="1"/>
        <v>0</v>
      </c>
      <c r="S21" s="111">
        <f t="shared" si="0"/>
        <v>0</v>
      </c>
      <c r="T21" s="105">
        <f>IF(N21="Yes",IF(O21/(1-(IFERROR(IF(R21=0,0,ROUND(IF(K21*12+L21&lt;12,VLOOKUP(K21*12+L21,Faktor_Multiplier,2,FALSE)*VLOOKUP(R21,IF(M21="Menurun",Premium_Table_Dec,Premium_Table_Flat),2,FALSE),VLOOKUP(R21,IF(M21="Menurun",Premium_Table_Dec,Premium_Table_Flat),K21+1,FALSE)+IFERROR((VLOOKUP(R21,IF(M21="Menurun",Premium_Table_Dec,Premium_Table_Flat),K21+2,FALSE)-VLOOKUP(R21,IF(M21="Menurun",Premium_Table_Dec,Premium_Table_Flat),K21+1,FALSE)),0)*L21/12),2)+
ROUND(IF(K21*12+L21&lt;12,VLOOKUP(K21*12+L21,Faktor_Multiplier,2,FALSE)*VLOOKUP(R21,IF(M21="Menurun",Premium_Table_Dec,Premium_Table_Flat),2,FALSE),VLOOKUP(R21,IF(M21="Menurun",Premium_Table_Dec,Premium_Table_Flat),K21+1,FALSE)+IFERROR((VLOOKUP(R21,IF(M21="Menurun",Premium_Table_Dec,Premium_Table_Flat),K21+2,FALSE)-VLOOKUP(R21,IF(M21="Menurun",Premium_Table_Dec,Premium_Table_Flat),K21+1,FALSE)),0)*L21/12),2)*Q21/100),"Perhatikan Ketentuan Usia + Masa Asuransi")/1000))&gt;'Spek Produk'!$F$8,"UP lebih besar dari fitur produk",O21/(1-(IFERROR(IF(R21=0,0,ROUND(IF(K21*12+L21&lt;12,VLOOKUP(K21*12+L21,Faktor_Multiplier,2,FALSE)*VLOOKUP(R21,IF(M21="Menurun",Premium_Table_Dec,Premium_Table_Flat),2,FALSE),VLOOKUP(R21,IF(M21="Menurun",Premium_Table_Dec,Premium_Table_Flat),K21+1,FALSE)+IFERROR((VLOOKUP(R21,IF(M21="Menurun",Premium_Table_Dec,Premium_Table_Flat),K21+2,FALSE)-VLOOKUP(R21,IF(M21="Menurun",Premium_Table_Dec,Premium_Table_Flat),K21+1,FALSE)),0)*L21/12),2)+
ROUND(IF(K21*12+L21&lt;12,VLOOKUP(K21*12+L21,Faktor_Multiplier,2,FALSE)*VLOOKUP(R21,IF(M21="Menurun",Premium_Table_Dec,Premium_Table_Flat),2,FALSE),VLOOKUP(R21,IF(M21="Menurun",Premium_Table_Dec,Premium_Table_Flat),K21+1,FALSE)+IFERROR((VLOOKUP(R21,IF(M21="Menurun",Premium_Table_Dec,Premium_Table_Flat),K21+2,FALSE)-VLOOKUP(R21,IF(M21="Menurun",Premium_Table_Dec,Premium_Table_Flat),K21+1,FALSE)),0)*L21/12),2)*Q21/100),"Perhatikan Ketentuan Usia + Masa Asuransi")/1000))),O21)</f>
        <v>0</v>
      </c>
      <c r="U21" s="40" t="str">
        <f>IF(Y21&lt;&gt;" ",Y21,IFERROR(VLOOKUP(R21,IF('Spek Produk'!$F$9="Syariah",Medic!$A$21:$L$27,Medic!$A$12:$L$18),MATCH(T21,IF('Spek Produk'!$F$9="Syariah",Medic!$B$21:$L$21,Medic!$B$12:$L$12),TRUE)+1),""))</f>
        <v/>
      </c>
      <c r="V21" s="91">
        <f t="shared" si="2"/>
        <v>0</v>
      </c>
      <c r="W21" s="41" t="str">
        <f t="shared" si="3"/>
        <v/>
      </c>
      <c r="X21" s="91" t="str">
        <f t="shared" si="4"/>
        <v/>
      </c>
      <c r="Y21" s="77" t="str" cm="1">
        <f t="array" ref="Y21">IF(M21="Menurun",IF(AND(R21&gt;'Spek Produk'!$I$23,R21&lt;&gt;""),"Usia masuk lebih besar dari fitur produk",IF(AND(R21&lt;'Spek Produk'!$G$23,R21&lt;&gt;0,R21&lt;&gt;""),"Usia masuk lebih rendah dari fitur produk",IF(OR(O21&gt;_xlfn.IFS(R21+K21+(L21/12)&lt;='Spek Produk'!$C$40,'Spek Produk'!$D$40,R21+K21+(L21/12)&gt;'Spek Produk'!$C$40,'Spek Produk'!$D$41),T21&gt;_xlfn.IFS(R21+K21+(L21/12)&lt;='Spek Produk'!$C$40,'Spek Produk'!$D$40,R21+K21+(L21/12)&gt;'Spek Produk'!$C$40,'Spek Produk'!$D$41),IFERROR(VLOOKUP(R21,IF('Spek Produk'!$F$9="Syariah",Medic!$A$21:$L$27,Medic!$A$12:$L$18),MATCH(T21,IF('Spek Produk'!$F$9="Syariah",Medic!$B$21:$L$21,Medic!$B$12:$L$12),TRUE)+1)="-","")),"UP lebih besar dari fitur produk",IF(K21+L21/12&gt;'Spek Produk'!$I$22,"Masa asuransi lebih besar dari fitur produk",IF(AND(R21+K21+L21/12&gt;'Spek Produk'!$H$24,R21&lt;&gt;0,R21&lt;&gt;""),"Maksimum masa asuransi untuk nasabah berusia "&amp;R21&amp;" tahun adalah "&amp;MAX(0,'Spek Produk'!$H$24-R21)&amp;" tahun",IF(AND(0&lt;K21+L21/12,K21+L21/12&lt;'Spek Produk'!$G$22),"Masa asuransi lebih kecil dari fitur produk"," ")))))),IF(AND(R21&gt;'Spek Produk'!$I$35,R21&lt;&gt;""),"Usia masuk lebih besar dari fitur produk",IF(AND(R21&lt;'Spek Produk'!$G$35,R21&lt;&gt;0,R21&lt;&gt;""),"Usia masuk lebih rendah dari fitur produk",IF(OR(O21&gt;_xlfn.IFS(R21+K21+(L21/12)&lt;='Spek Produk'!$C$40,'Spek Produk'!$D$40,R21+K21+(L21/12)&gt;'Spek Produk'!$C$40,'Spek Produk'!$D$41),T21&gt;_xlfn.IFS(R21+K21+(L21/12)&lt;='Spek Produk'!$C$40,'Spek Produk'!$D$40,R21+K21+(L21/12)&gt;'Spek Produk'!$C$40,'Spek Produk'!$D$41),IFERROR(VLOOKUP(R21,IF('Spek Produk'!$F$9="Syariah",Medic!$A$21:$L$27,Medic!$A$12:$L$18),MATCH(T21,IF('Spek Produk'!$F$9="Syariah",Medic!$B$21:$L$21,Medic!$B$12:$L$12),TRUE)+1)="-","")),"UP lebih besar dari fitur produk",IF(K21+L21/12&gt;'Spek Produk'!$I$34,"Masa asuransi lebih besar dari fitur produk",IF(AND(R21+K21+L21/12&gt;'Spek Produk'!$H$36,R21&lt;&gt;0,R21&lt;&gt;""),"Maksimum masa asuransi untuk nasabah berusia "&amp;R21&amp;" tahun adalah "&amp;MAX(0,'Spek Produk'!$H$36-R21)&amp;" tahun",IF(AND(0&lt;K21+L21/12,K21+L21/12&lt;'Spek Produk'!$G$34),"Masa asuransi lebih Kecil dari fitur produk"," ")))))))</f>
        <v xml:space="preserve"> </v>
      </c>
      <c r="Z21" s="77"/>
    </row>
    <row r="22" spans="1:26" x14ac:dyDescent="0.25">
      <c r="A22" s="43">
        <f t="shared" si="5"/>
        <v>17</v>
      </c>
      <c r="B22" s="34"/>
      <c r="C22" s="35"/>
      <c r="D22" s="34"/>
      <c r="E22" s="36"/>
      <c r="F22" s="33"/>
      <c r="G22" s="33"/>
      <c r="H22" s="37"/>
      <c r="I22" s="88"/>
      <c r="J22" s="88"/>
      <c r="K22" s="33"/>
      <c r="L22" s="33"/>
      <c r="M22" s="33"/>
      <c r="N22" s="33"/>
      <c r="O22" s="38"/>
      <c r="Q22" s="108">
        <v>0</v>
      </c>
      <c r="R22" s="39">
        <f t="shared" si="1"/>
        <v>0</v>
      </c>
      <c r="S22" s="111">
        <f t="shared" si="0"/>
        <v>0</v>
      </c>
      <c r="T22" s="105">
        <f>IF(N22="Yes",IF(O22/(1-(IFERROR(IF(R22=0,0,ROUND(IF(K22*12+L22&lt;12,VLOOKUP(K22*12+L22,Faktor_Multiplier,2,FALSE)*VLOOKUP(R22,IF(M22="Menurun",Premium_Table_Dec,Premium_Table_Flat),2,FALSE),VLOOKUP(R22,IF(M22="Menurun",Premium_Table_Dec,Premium_Table_Flat),K22+1,FALSE)+IFERROR((VLOOKUP(R22,IF(M22="Menurun",Premium_Table_Dec,Premium_Table_Flat),K22+2,FALSE)-VLOOKUP(R22,IF(M22="Menurun",Premium_Table_Dec,Premium_Table_Flat),K22+1,FALSE)),0)*L22/12),2)+
ROUND(IF(K22*12+L22&lt;12,VLOOKUP(K22*12+L22,Faktor_Multiplier,2,FALSE)*VLOOKUP(R22,IF(M22="Menurun",Premium_Table_Dec,Premium_Table_Flat),2,FALSE),VLOOKUP(R22,IF(M22="Menurun",Premium_Table_Dec,Premium_Table_Flat),K22+1,FALSE)+IFERROR((VLOOKUP(R22,IF(M22="Menurun",Premium_Table_Dec,Premium_Table_Flat),K22+2,FALSE)-VLOOKUP(R22,IF(M22="Menurun",Premium_Table_Dec,Premium_Table_Flat),K22+1,FALSE)),0)*L22/12),2)*Q22/100),"Perhatikan Ketentuan Usia + Masa Asuransi")/1000))&gt;'Spek Produk'!$F$8,"UP lebih besar dari fitur produk",O22/(1-(IFERROR(IF(R22=0,0,ROUND(IF(K22*12+L22&lt;12,VLOOKUP(K22*12+L22,Faktor_Multiplier,2,FALSE)*VLOOKUP(R22,IF(M22="Menurun",Premium_Table_Dec,Premium_Table_Flat),2,FALSE),VLOOKUP(R22,IF(M22="Menurun",Premium_Table_Dec,Premium_Table_Flat),K22+1,FALSE)+IFERROR((VLOOKUP(R22,IF(M22="Menurun",Premium_Table_Dec,Premium_Table_Flat),K22+2,FALSE)-VLOOKUP(R22,IF(M22="Menurun",Premium_Table_Dec,Premium_Table_Flat),K22+1,FALSE)),0)*L22/12),2)+
ROUND(IF(K22*12+L22&lt;12,VLOOKUP(K22*12+L22,Faktor_Multiplier,2,FALSE)*VLOOKUP(R22,IF(M22="Menurun",Premium_Table_Dec,Premium_Table_Flat),2,FALSE),VLOOKUP(R22,IF(M22="Menurun",Premium_Table_Dec,Premium_Table_Flat),K22+1,FALSE)+IFERROR((VLOOKUP(R22,IF(M22="Menurun",Premium_Table_Dec,Premium_Table_Flat),K22+2,FALSE)-VLOOKUP(R22,IF(M22="Menurun",Premium_Table_Dec,Premium_Table_Flat),K22+1,FALSE)),0)*L22/12),2)*Q22/100),"Perhatikan Ketentuan Usia + Masa Asuransi")/1000))),O22)</f>
        <v>0</v>
      </c>
      <c r="U22" s="40" t="str">
        <f>IF(Y22&lt;&gt;" ",Y22,IFERROR(VLOOKUP(R22,IF('Spek Produk'!$F$9="Syariah",Medic!$A$21:$L$27,Medic!$A$12:$L$18),MATCH(T22,IF('Spek Produk'!$F$9="Syariah",Medic!$B$21:$L$21,Medic!$B$12:$L$12),TRUE)+1),""))</f>
        <v/>
      </c>
      <c r="V22" s="91">
        <f t="shared" si="2"/>
        <v>0</v>
      </c>
      <c r="W22" s="41" t="str">
        <f t="shared" si="3"/>
        <v/>
      </c>
      <c r="X22" s="91" t="str">
        <f t="shared" si="4"/>
        <v/>
      </c>
      <c r="Y22" s="77" t="str" cm="1">
        <f t="array" ref="Y22">IF(M22="Menurun",IF(AND(R22&gt;'Spek Produk'!$I$23,R22&lt;&gt;""),"Usia masuk lebih besar dari fitur produk",IF(AND(R22&lt;'Spek Produk'!$G$23,R22&lt;&gt;0,R22&lt;&gt;""),"Usia masuk lebih rendah dari fitur produk",IF(OR(O22&gt;_xlfn.IFS(R22+K22+(L22/12)&lt;='Spek Produk'!$C$40,'Spek Produk'!$D$40,R22+K22+(L22/12)&gt;'Spek Produk'!$C$40,'Spek Produk'!$D$41),T22&gt;_xlfn.IFS(R22+K22+(L22/12)&lt;='Spek Produk'!$C$40,'Spek Produk'!$D$40,R22+K22+(L22/12)&gt;'Spek Produk'!$C$40,'Spek Produk'!$D$41),IFERROR(VLOOKUP(R22,IF('Spek Produk'!$F$9="Syariah",Medic!$A$21:$L$27,Medic!$A$12:$L$18),MATCH(T22,IF('Spek Produk'!$F$9="Syariah",Medic!$B$21:$L$21,Medic!$B$12:$L$12),TRUE)+1)="-","")),"UP lebih besar dari fitur produk",IF(K22+L22/12&gt;'Spek Produk'!$I$22,"Masa asuransi lebih besar dari fitur produk",IF(AND(R22+K22+L22/12&gt;'Spek Produk'!$H$24,R22&lt;&gt;0,R22&lt;&gt;""),"Maksimum masa asuransi untuk nasabah berusia "&amp;R22&amp;" tahun adalah "&amp;MAX(0,'Spek Produk'!$H$24-R22)&amp;" tahun",IF(AND(0&lt;K22+L22/12,K22+L22/12&lt;'Spek Produk'!$G$22),"Masa asuransi lebih kecil dari fitur produk"," ")))))),IF(AND(R22&gt;'Spek Produk'!$I$35,R22&lt;&gt;""),"Usia masuk lebih besar dari fitur produk",IF(AND(R22&lt;'Spek Produk'!$G$35,R22&lt;&gt;0,R22&lt;&gt;""),"Usia masuk lebih rendah dari fitur produk",IF(OR(O22&gt;_xlfn.IFS(R22+K22+(L22/12)&lt;='Spek Produk'!$C$40,'Spek Produk'!$D$40,R22+K22+(L22/12)&gt;'Spek Produk'!$C$40,'Spek Produk'!$D$41),T22&gt;_xlfn.IFS(R22+K22+(L22/12)&lt;='Spek Produk'!$C$40,'Spek Produk'!$D$40,R22+K22+(L22/12)&gt;'Spek Produk'!$C$40,'Spek Produk'!$D$41),IFERROR(VLOOKUP(R22,IF('Spek Produk'!$F$9="Syariah",Medic!$A$21:$L$27,Medic!$A$12:$L$18),MATCH(T22,IF('Spek Produk'!$F$9="Syariah",Medic!$B$21:$L$21,Medic!$B$12:$L$12),TRUE)+1)="-","")),"UP lebih besar dari fitur produk",IF(K22+L22/12&gt;'Spek Produk'!$I$34,"Masa asuransi lebih besar dari fitur produk",IF(AND(R22+K22+L22/12&gt;'Spek Produk'!$H$36,R22&lt;&gt;0,R22&lt;&gt;""),"Maksimum masa asuransi untuk nasabah berusia "&amp;R22&amp;" tahun adalah "&amp;MAX(0,'Spek Produk'!$H$36-R22)&amp;" tahun",IF(AND(0&lt;K22+L22/12,K22+L22/12&lt;'Spek Produk'!$G$34),"Masa asuransi lebih Kecil dari fitur produk"," ")))))))</f>
        <v xml:space="preserve"> </v>
      </c>
      <c r="Z22" s="77"/>
    </row>
    <row r="23" spans="1:26" x14ac:dyDescent="0.25">
      <c r="A23" s="43">
        <f t="shared" si="5"/>
        <v>18</v>
      </c>
      <c r="B23" s="34"/>
      <c r="C23" s="35"/>
      <c r="D23" s="34"/>
      <c r="E23" s="36"/>
      <c r="F23" s="33"/>
      <c r="G23" s="33"/>
      <c r="H23" s="37"/>
      <c r="I23" s="88"/>
      <c r="J23" s="88"/>
      <c r="K23" s="33"/>
      <c r="L23" s="33"/>
      <c r="M23" s="33"/>
      <c r="N23" s="33"/>
      <c r="O23" s="38"/>
      <c r="Q23" s="108">
        <v>0</v>
      </c>
      <c r="R23" s="39">
        <f t="shared" si="1"/>
        <v>0</v>
      </c>
      <c r="S23" s="111">
        <f t="shared" si="0"/>
        <v>0</v>
      </c>
      <c r="T23" s="105">
        <f>IF(N23="Yes",IF(O23/(1-(IFERROR(IF(R23=0,0,ROUND(IF(K23*12+L23&lt;12,VLOOKUP(K23*12+L23,Faktor_Multiplier,2,FALSE)*VLOOKUP(R23,IF(M23="Menurun",Premium_Table_Dec,Premium_Table_Flat),2,FALSE),VLOOKUP(R23,IF(M23="Menurun",Premium_Table_Dec,Premium_Table_Flat),K23+1,FALSE)+IFERROR((VLOOKUP(R23,IF(M23="Menurun",Premium_Table_Dec,Premium_Table_Flat),K23+2,FALSE)-VLOOKUP(R23,IF(M23="Menurun",Premium_Table_Dec,Premium_Table_Flat),K23+1,FALSE)),0)*L23/12),2)+
ROUND(IF(K23*12+L23&lt;12,VLOOKUP(K23*12+L23,Faktor_Multiplier,2,FALSE)*VLOOKUP(R23,IF(M23="Menurun",Premium_Table_Dec,Premium_Table_Flat),2,FALSE),VLOOKUP(R23,IF(M23="Menurun",Premium_Table_Dec,Premium_Table_Flat),K23+1,FALSE)+IFERROR((VLOOKUP(R23,IF(M23="Menurun",Premium_Table_Dec,Premium_Table_Flat),K23+2,FALSE)-VLOOKUP(R23,IF(M23="Menurun",Premium_Table_Dec,Premium_Table_Flat),K23+1,FALSE)),0)*L23/12),2)*Q23/100),"Perhatikan Ketentuan Usia + Masa Asuransi")/1000))&gt;'Spek Produk'!$F$8,"UP lebih besar dari fitur produk",O23/(1-(IFERROR(IF(R23=0,0,ROUND(IF(K23*12+L23&lt;12,VLOOKUP(K23*12+L23,Faktor_Multiplier,2,FALSE)*VLOOKUP(R23,IF(M23="Menurun",Premium_Table_Dec,Premium_Table_Flat),2,FALSE),VLOOKUP(R23,IF(M23="Menurun",Premium_Table_Dec,Premium_Table_Flat),K23+1,FALSE)+IFERROR((VLOOKUP(R23,IF(M23="Menurun",Premium_Table_Dec,Premium_Table_Flat),K23+2,FALSE)-VLOOKUP(R23,IF(M23="Menurun",Premium_Table_Dec,Premium_Table_Flat),K23+1,FALSE)),0)*L23/12),2)+
ROUND(IF(K23*12+L23&lt;12,VLOOKUP(K23*12+L23,Faktor_Multiplier,2,FALSE)*VLOOKUP(R23,IF(M23="Menurun",Premium_Table_Dec,Premium_Table_Flat),2,FALSE),VLOOKUP(R23,IF(M23="Menurun",Premium_Table_Dec,Premium_Table_Flat),K23+1,FALSE)+IFERROR((VLOOKUP(R23,IF(M23="Menurun",Premium_Table_Dec,Premium_Table_Flat),K23+2,FALSE)-VLOOKUP(R23,IF(M23="Menurun",Premium_Table_Dec,Premium_Table_Flat),K23+1,FALSE)),0)*L23/12),2)*Q23/100),"Perhatikan Ketentuan Usia + Masa Asuransi")/1000))),O23)</f>
        <v>0</v>
      </c>
      <c r="U23" s="40" t="str">
        <f>IF(Y23&lt;&gt;" ",Y23,IFERROR(VLOOKUP(R23,IF('Spek Produk'!$F$9="Syariah",Medic!$A$21:$L$27,Medic!$A$12:$L$18),MATCH(T23,IF('Spek Produk'!$F$9="Syariah",Medic!$B$21:$L$21,Medic!$B$12:$L$12),TRUE)+1),""))</f>
        <v/>
      </c>
      <c r="V23" s="91">
        <f t="shared" si="2"/>
        <v>0</v>
      </c>
      <c r="W23" s="41" t="str">
        <f t="shared" si="3"/>
        <v/>
      </c>
      <c r="X23" s="91" t="str">
        <f t="shared" si="4"/>
        <v/>
      </c>
      <c r="Y23" s="77" t="str" cm="1">
        <f t="array" ref="Y23">IF(M23="Menurun",IF(AND(R23&gt;'Spek Produk'!$I$23,R23&lt;&gt;""),"Usia masuk lebih besar dari fitur produk",IF(AND(R23&lt;'Spek Produk'!$G$23,R23&lt;&gt;0,R23&lt;&gt;""),"Usia masuk lebih rendah dari fitur produk",IF(OR(O23&gt;_xlfn.IFS(R23+K23+(L23/12)&lt;='Spek Produk'!$C$40,'Spek Produk'!$D$40,R23+K23+(L23/12)&gt;'Spek Produk'!$C$40,'Spek Produk'!$D$41),T23&gt;_xlfn.IFS(R23+K23+(L23/12)&lt;='Spek Produk'!$C$40,'Spek Produk'!$D$40,R23+K23+(L23/12)&gt;'Spek Produk'!$C$40,'Spek Produk'!$D$41),IFERROR(VLOOKUP(R23,IF('Spek Produk'!$F$9="Syariah",Medic!$A$21:$L$27,Medic!$A$12:$L$18),MATCH(T23,IF('Spek Produk'!$F$9="Syariah",Medic!$B$21:$L$21,Medic!$B$12:$L$12),TRUE)+1)="-","")),"UP lebih besar dari fitur produk",IF(K23+L23/12&gt;'Spek Produk'!$I$22,"Masa asuransi lebih besar dari fitur produk",IF(AND(R23+K23+L23/12&gt;'Spek Produk'!$H$24,R23&lt;&gt;0,R23&lt;&gt;""),"Maksimum masa asuransi untuk nasabah berusia "&amp;R23&amp;" tahun adalah "&amp;MAX(0,'Spek Produk'!$H$24-R23)&amp;" tahun",IF(AND(0&lt;K23+L23/12,K23+L23/12&lt;'Spek Produk'!$G$22),"Masa asuransi lebih kecil dari fitur produk"," ")))))),IF(AND(R23&gt;'Spek Produk'!$I$35,R23&lt;&gt;""),"Usia masuk lebih besar dari fitur produk",IF(AND(R23&lt;'Spek Produk'!$G$35,R23&lt;&gt;0,R23&lt;&gt;""),"Usia masuk lebih rendah dari fitur produk",IF(OR(O23&gt;_xlfn.IFS(R23+K23+(L23/12)&lt;='Spek Produk'!$C$40,'Spek Produk'!$D$40,R23+K23+(L23/12)&gt;'Spek Produk'!$C$40,'Spek Produk'!$D$41),T23&gt;_xlfn.IFS(R23+K23+(L23/12)&lt;='Spek Produk'!$C$40,'Spek Produk'!$D$40,R23+K23+(L23/12)&gt;'Spek Produk'!$C$40,'Spek Produk'!$D$41),IFERROR(VLOOKUP(R23,IF('Spek Produk'!$F$9="Syariah",Medic!$A$21:$L$27,Medic!$A$12:$L$18),MATCH(T23,IF('Spek Produk'!$F$9="Syariah",Medic!$B$21:$L$21,Medic!$B$12:$L$12),TRUE)+1)="-","")),"UP lebih besar dari fitur produk",IF(K23+L23/12&gt;'Spek Produk'!$I$34,"Masa asuransi lebih besar dari fitur produk",IF(AND(R23+K23+L23/12&gt;'Spek Produk'!$H$36,R23&lt;&gt;0,R23&lt;&gt;""),"Maksimum masa asuransi untuk nasabah berusia "&amp;R23&amp;" tahun adalah "&amp;MAX(0,'Spek Produk'!$H$36-R23)&amp;" tahun",IF(AND(0&lt;K23+L23/12,K23+L23/12&lt;'Spek Produk'!$G$34),"Masa asuransi lebih Kecil dari fitur produk"," ")))))))</f>
        <v xml:space="preserve"> </v>
      </c>
      <c r="Z23" s="77"/>
    </row>
    <row r="24" spans="1:26" x14ac:dyDescent="0.25">
      <c r="A24" s="43">
        <f t="shared" si="5"/>
        <v>19</v>
      </c>
      <c r="B24" s="34"/>
      <c r="C24" s="35"/>
      <c r="D24" s="34"/>
      <c r="E24" s="36"/>
      <c r="F24" s="33"/>
      <c r="G24" s="33"/>
      <c r="H24" s="37"/>
      <c r="I24" s="88"/>
      <c r="J24" s="88"/>
      <c r="K24" s="33"/>
      <c r="L24" s="33"/>
      <c r="M24" s="33"/>
      <c r="N24" s="33"/>
      <c r="O24" s="38"/>
      <c r="Q24" s="108">
        <v>0</v>
      </c>
      <c r="R24" s="39">
        <f t="shared" si="1"/>
        <v>0</v>
      </c>
      <c r="S24" s="111">
        <f t="shared" si="0"/>
        <v>0</v>
      </c>
      <c r="T24" s="105">
        <f>IF(N24="Yes",IF(O24/(1-(IFERROR(IF(R24=0,0,ROUND(IF(K24*12+L24&lt;12,VLOOKUP(K24*12+L24,Faktor_Multiplier,2,FALSE)*VLOOKUP(R24,IF(M24="Menurun",Premium_Table_Dec,Premium_Table_Flat),2,FALSE),VLOOKUP(R24,IF(M24="Menurun",Premium_Table_Dec,Premium_Table_Flat),K24+1,FALSE)+IFERROR((VLOOKUP(R24,IF(M24="Menurun",Premium_Table_Dec,Premium_Table_Flat),K24+2,FALSE)-VLOOKUP(R24,IF(M24="Menurun",Premium_Table_Dec,Premium_Table_Flat),K24+1,FALSE)),0)*L24/12),2)+
ROUND(IF(K24*12+L24&lt;12,VLOOKUP(K24*12+L24,Faktor_Multiplier,2,FALSE)*VLOOKUP(R24,IF(M24="Menurun",Premium_Table_Dec,Premium_Table_Flat),2,FALSE),VLOOKUP(R24,IF(M24="Menurun",Premium_Table_Dec,Premium_Table_Flat),K24+1,FALSE)+IFERROR((VLOOKUP(R24,IF(M24="Menurun",Premium_Table_Dec,Premium_Table_Flat),K24+2,FALSE)-VLOOKUP(R24,IF(M24="Menurun",Premium_Table_Dec,Premium_Table_Flat),K24+1,FALSE)),0)*L24/12),2)*Q24/100),"Perhatikan Ketentuan Usia + Masa Asuransi")/1000))&gt;'Spek Produk'!$F$8,"UP lebih besar dari fitur produk",O24/(1-(IFERROR(IF(R24=0,0,ROUND(IF(K24*12+L24&lt;12,VLOOKUP(K24*12+L24,Faktor_Multiplier,2,FALSE)*VLOOKUP(R24,IF(M24="Menurun",Premium_Table_Dec,Premium_Table_Flat),2,FALSE),VLOOKUP(R24,IF(M24="Menurun",Premium_Table_Dec,Premium_Table_Flat),K24+1,FALSE)+IFERROR((VLOOKUP(R24,IF(M24="Menurun",Premium_Table_Dec,Premium_Table_Flat),K24+2,FALSE)-VLOOKUP(R24,IF(M24="Menurun",Premium_Table_Dec,Premium_Table_Flat),K24+1,FALSE)),0)*L24/12),2)+
ROUND(IF(K24*12+L24&lt;12,VLOOKUP(K24*12+L24,Faktor_Multiplier,2,FALSE)*VLOOKUP(R24,IF(M24="Menurun",Premium_Table_Dec,Premium_Table_Flat),2,FALSE),VLOOKUP(R24,IF(M24="Menurun",Premium_Table_Dec,Premium_Table_Flat),K24+1,FALSE)+IFERROR((VLOOKUP(R24,IF(M24="Menurun",Premium_Table_Dec,Premium_Table_Flat),K24+2,FALSE)-VLOOKUP(R24,IF(M24="Menurun",Premium_Table_Dec,Premium_Table_Flat),K24+1,FALSE)),0)*L24/12),2)*Q24/100),"Perhatikan Ketentuan Usia + Masa Asuransi")/1000))),O24)</f>
        <v>0</v>
      </c>
      <c r="U24" s="40" t="str">
        <f>IF(Y24&lt;&gt;" ",Y24,IFERROR(VLOOKUP(R24,IF('Spek Produk'!$F$9="Syariah",Medic!$A$21:$L$27,Medic!$A$12:$L$18),MATCH(T24,IF('Spek Produk'!$F$9="Syariah",Medic!$B$21:$L$21,Medic!$B$12:$L$12),TRUE)+1),""))</f>
        <v/>
      </c>
      <c r="V24" s="91">
        <f t="shared" si="2"/>
        <v>0</v>
      </c>
      <c r="W24" s="41" t="str">
        <f t="shared" si="3"/>
        <v/>
      </c>
      <c r="X24" s="91" t="str">
        <f t="shared" si="4"/>
        <v/>
      </c>
      <c r="Y24" s="77" t="str" cm="1">
        <f t="array" ref="Y24">IF(M24="Menurun",IF(AND(R24&gt;'Spek Produk'!$I$23,R24&lt;&gt;""),"Usia masuk lebih besar dari fitur produk",IF(AND(R24&lt;'Spek Produk'!$G$23,R24&lt;&gt;0,R24&lt;&gt;""),"Usia masuk lebih rendah dari fitur produk",IF(OR(O24&gt;_xlfn.IFS(R24+K24+(L24/12)&lt;='Spek Produk'!$C$40,'Spek Produk'!$D$40,R24+K24+(L24/12)&gt;'Spek Produk'!$C$40,'Spek Produk'!$D$41),T24&gt;_xlfn.IFS(R24+K24+(L24/12)&lt;='Spek Produk'!$C$40,'Spek Produk'!$D$40,R24+K24+(L24/12)&gt;'Spek Produk'!$C$40,'Spek Produk'!$D$41),IFERROR(VLOOKUP(R24,IF('Spek Produk'!$F$9="Syariah",Medic!$A$21:$L$27,Medic!$A$12:$L$18),MATCH(T24,IF('Spek Produk'!$F$9="Syariah",Medic!$B$21:$L$21,Medic!$B$12:$L$12),TRUE)+1)="-","")),"UP lebih besar dari fitur produk",IF(K24+L24/12&gt;'Spek Produk'!$I$22,"Masa asuransi lebih besar dari fitur produk",IF(AND(R24+K24+L24/12&gt;'Spek Produk'!$H$24,R24&lt;&gt;0,R24&lt;&gt;""),"Maksimum masa asuransi untuk nasabah berusia "&amp;R24&amp;" tahun adalah "&amp;MAX(0,'Spek Produk'!$H$24-R24)&amp;" tahun",IF(AND(0&lt;K24+L24/12,K24+L24/12&lt;'Spek Produk'!$G$22),"Masa asuransi lebih kecil dari fitur produk"," ")))))),IF(AND(R24&gt;'Spek Produk'!$I$35,R24&lt;&gt;""),"Usia masuk lebih besar dari fitur produk",IF(AND(R24&lt;'Spek Produk'!$G$35,R24&lt;&gt;0,R24&lt;&gt;""),"Usia masuk lebih rendah dari fitur produk",IF(OR(O24&gt;_xlfn.IFS(R24+K24+(L24/12)&lt;='Spek Produk'!$C$40,'Spek Produk'!$D$40,R24+K24+(L24/12)&gt;'Spek Produk'!$C$40,'Spek Produk'!$D$41),T24&gt;_xlfn.IFS(R24+K24+(L24/12)&lt;='Spek Produk'!$C$40,'Spek Produk'!$D$40,R24+K24+(L24/12)&gt;'Spek Produk'!$C$40,'Spek Produk'!$D$41),IFERROR(VLOOKUP(R24,IF('Spek Produk'!$F$9="Syariah",Medic!$A$21:$L$27,Medic!$A$12:$L$18),MATCH(T24,IF('Spek Produk'!$F$9="Syariah",Medic!$B$21:$L$21,Medic!$B$12:$L$12),TRUE)+1)="-","")),"UP lebih besar dari fitur produk",IF(K24+L24/12&gt;'Spek Produk'!$I$34,"Masa asuransi lebih besar dari fitur produk",IF(AND(R24+K24+L24/12&gt;'Spek Produk'!$H$36,R24&lt;&gt;0,R24&lt;&gt;""),"Maksimum masa asuransi untuk nasabah berusia "&amp;R24&amp;" tahun adalah "&amp;MAX(0,'Spek Produk'!$H$36-R24)&amp;" tahun",IF(AND(0&lt;K24+L24/12,K24+L24/12&lt;'Spek Produk'!$G$34),"Masa asuransi lebih Kecil dari fitur produk"," ")))))))</f>
        <v xml:space="preserve"> </v>
      </c>
      <c r="Z24" s="77"/>
    </row>
    <row r="25" spans="1:26" x14ac:dyDescent="0.25">
      <c r="A25" s="43">
        <f t="shared" si="5"/>
        <v>20</v>
      </c>
      <c r="B25" s="34"/>
      <c r="C25" s="35"/>
      <c r="D25" s="34"/>
      <c r="E25" s="36"/>
      <c r="F25" s="33"/>
      <c r="G25" s="33"/>
      <c r="H25" s="37"/>
      <c r="I25" s="88"/>
      <c r="J25" s="88"/>
      <c r="K25" s="33"/>
      <c r="L25" s="33"/>
      <c r="M25" s="33"/>
      <c r="N25" s="33"/>
      <c r="O25" s="38"/>
      <c r="Q25" s="108">
        <v>0</v>
      </c>
      <c r="R25" s="39">
        <f t="shared" si="1"/>
        <v>0</v>
      </c>
      <c r="S25" s="111">
        <f t="shared" si="0"/>
        <v>0</v>
      </c>
      <c r="T25" s="105">
        <f>IF(N25="Yes",IF(O25/(1-(IFERROR(IF(R25=0,0,ROUND(IF(K25*12+L25&lt;12,VLOOKUP(K25*12+L25,Faktor_Multiplier,2,FALSE)*VLOOKUP(R25,IF(M25="Menurun",Premium_Table_Dec,Premium_Table_Flat),2,FALSE),VLOOKUP(R25,IF(M25="Menurun",Premium_Table_Dec,Premium_Table_Flat),K25+1,FALSE)+IFERROR((VLOOKUP(R25,IF(M25="Menurun",Premium_Table_Dec,Premium_Table_Flat),K25+2,FALSE)-VLOOKUP(R25,IF(M25="Menurun",Premium_Table_Dec,Premium_Table_Flat),K25+1,FALSE)),0)*L25/12),2)+
ROUND(IF(K25*12+L25&lt;12,VLOOKUP(K25*12+L25,Faktor_Multiplier,2,FALSE)*VLOOKUP(R25,IF(M25="Menurun",Premium_Table_Dec,Premium_Table_Flat),2,FALSE),VLOOKUP(R25,IF(M25="Menurun",Premium_Table_Dec,Premium_Table_Flat),K25+1,FALSE)+IFERROR((VLOOKUP(R25,IF(M25="Menurun",Premium_Table_Dec,Premium_Table_Flat),K25+2,FALSE)-VLOOKUP(R25,IF(M25="Menurun",Premium_Table_Dec,Premium_Table_Flat),K25+1,FALSE)),0)*L25/12),2)*Q25/100),"Perhatikan Ketentuan Usia + Masa Asuransi")/1000))&gt;'Spek Produk'!$F$8,"UP lebih besar dari fitur produk",O25/(1-(IFERROR(IF(R25=0,0,ROUND(IF(K25*12+L25&lt;12,VLOOKUP(K25*12+L25,Faktor_Multiplier,2,FALSE)*VLOOKUP(R25,IF(M25="Menurun",Premium_Table_Dec,Premium_Table_Flat),2,FALSE),VLOOKUP(R25,IF(M25="Menurun",Premium_Table_Dec,Premium_Table_Flat),K25+1,FALSE)+IFERROR((VLOOKUP(R25,IF(M25="Menurun",Premium_Table_Dec,Premium_Table_Flat),K25+2,FALSE)-VLOOKUP(R25,IF(M25="Menurun",Premium_Table_Dec,Premium_Table_Flat),K25+1,FALSE)),0)*L25/12),2)+
ROUND(IF(K25*12+L25&lt;12,VLOOKUP(K25*12+L25,Faktor_Multiplier,2,FALSE)*VLOOKUP(R25,IF(M25="Menurun",Premium_Table_Dec,Premium_Table_Flat),2,FALSE),VLOOKUP(R25,IF(M25="Menurun",Premium_Table_Dec,Premium_Table_Flat),K25+1,FALSE)+IFERROR((VLOOKUP(R25,IF(M25="Menurun",Premium_Table_Dec,Premium_Table_Flat),K25+2,FALSE)-VLOOKUP(R25,IF(M25="Menurun",Premium_Table_Dec,Premium_Table_Flat),K25+1,FALSE)),0)*L25/12),2)*Q25/100),"Perhatikan Ketentuan Usia + Masa Asuransi")/1000))),O25)</f>
        <v>0</v>
      </c>
      <c r="U25" s="40" t="str">
        <f>IF(Y25&lt;&gt;" ",Y25,IFERROR(VLOOKUP(R25,IF('Spek Produk'!$F$9="Syariah",Medic!$A$21:$L$27,Medic!$A$12:$L$18),MATCH(T25,IF('Spek Produk'!$F$9="Syariah",Medic!$B$21:$L$21,Medic!$B$12:$L$12),TRUE)+1),""))</f>
        <v/>
      </c>
      <c r="V25" s="91">
        <f t="shared" si="2"/>
        <v>0</v>
      </c>
      <c r="W25" s="41" t="str">
        <f t="shared" si="3"/>
        <v/>
      </c>
      <c r="X25" s="91" t="str">
        <f t="shared" si="4"/>
        <v/>
      </c>
      <c r="Y25" s="77" t="str" cm="1">
        <f t="array" ref="Y25">IF(M25="Menurun",IF(AND(R25&gt;'Spek Produk'!$I$23,R25&lt;&gt;""),"Usia masuk lebih besar dari fitur produk",IF(AND(R25&lt;'Spek Produk'!$G$23,R25&lt;&gt;0,R25&lt;&gt;""),"Usia masuk lebih rendah dari fitur produk",IF(OR(O25&gt;_xlfn.IFS(R25+K25+(L25/12)&lt;='Spek Produk'!$C$40,'Spek Produk'!$D$40,R25+K25+(L25/12)&gt;'Spek Produk'!$C$40,'Spek Produk'!$D$41),T25&gt;_xlfn.IFS(R25+K25+(L25/12)&lt;='Spek Produk'!$C$40,'Spek Produk'!$D$40,R25+K25+(L25/12)&gt;'Spek Produk'!$C$40,'Spek Produk'!$D$41),IFERROR(VLOOKUP(R25,IF('Spek Produk'!$F$9="Syariah",Medic!$A$21:$L$27,Medic!$A$12:$L$18),MATCH(T25,IF('Spek Produk'!$F$9="Syariah",Medic!$B$21:$L$21,Medic!$B$12:$L$12),TRUE)+1)="-","")),"UP lebih besar dari fitur produk",IF(K25+L25/12&gt;'Spek Produk'!$I$22,"Masa asuransi lebih besar dari fitur produk",IF(AND(R25+K25+L25/12&gt;'Spek Produk'!$H$24,R25&lt;&gt;0,R25&lt;&gt;""),"Maksimum masa asuransi untuk nasabah berusia "&amp;R25&amp;" tahun adalah "&amp;MAX(0,'Spek Produk'!$H$24-R25)&amp;" tahun",IF(AND(0&lt;K25+L25/12,K25+L25/12&lt;'Spek Produk'!$G$22),"Masa asuransi lebih kecil dari fitur produk"," ")))))),IF(AND(R25&gt;'Spek Produk'!$I$35,R25&lt;&gt;""),"Usia masuk lebih besar dari fitur produk",IF(AND(R25&lt;'Spek Produk'!$G$35,R25&lt;&gt;0,R25&lt;&gt;""),"Usia masuk lebih rendah dari fitur produk",IF(OR(O25&gt;_xlfn.IFS(R25+K25+(L25/12)&lt;='Spek Produk'!$C$40,'Spek Produk'!$D$40,R25+K25+(L25/12)&gt;'Spek Produk'!$C$40,'Spek Produk'!$D$41),T25&gt;_xlfn.IFS(R25+K25+(L25/12)&lt;='Spek Produk'!$C$40,'Spek Produk'!$D$40,R25+K25+(L25/12)&gt;'Spek Produk'!$C$40,'Spek Produk'!$D$41),IFERROR(VLOOKUP(R25,IF('Spek Produk'!$F$9="Syariah",Medic!$A$21:$L$27,Medic!$A$12:$L$18),MATCH(T25,IF('Spek Produk'!$F$9="Syariah",Medic!$B$21:$L$21,Medic!$B$12:$L$12),TRUE)+1)="-","")),"UP lebih besar dari fitur produk",IF(K25+L25/12&gt;'Spek Produk'!$I$34,"Masa asuransi lebih besar dari fitur produk",IF(AND(R25+K25+L25/12&gt;'Spek Produk'!$H$36,R25&lt;&gt;0,R25&lt;&gt;""),"Maksimum masa asuransi untuk nasabah berusia "&amp;R25&amp;" tahun adalah "&amp;MAX(0,'Spek Produk'!$H$36-R25)&amp;" tahun",IF(AND(0&lt;K25+L25/12,K25+L25/12&lt;'Spek Produk'!$G$34),"Masa asuransi lebih Kecil dari fitur produk"," ")))))))</f>
        <v xml:space="preserve"> </v>
      </c>
      <c r="Z25" s="77"/>
    </row>
    <row r="26" spans="1:26" x14ac:dyDescent="0.25">
      <c r="A26" s="43">
        <f t="shared" si="5"/>
        <v>21</v>
      </c>
      <c r="B26" s="34"/>
      <c r="C26" s="35"/>
      <c r="D26" s="34"/>
      <c r="E26" s="36"/>
      <c r="F26" s="33"/>
      <c r="G26" s="33"/>
      <c r="H26" s="37"/>
      <c r="I26" s="88"/>
      <c r="J26" s="88"/>
      <c r="K26" s="33"/>
      <c r="L26" s="33"/>
      <c r="M26" s="33"/>
      <c r="N26" s="33"/>
      <c r="O26" s="38"/>
      <c r="Q26" s="108">
        <v>0</v>
      </c>
      <c r="R26" s="39">
        <f t="shared" si="1"/>
        <v>0</v>
      </c>
      <c r="S26" s="111">
        <f t="shared" si="0"/>
        <v>0</v>
      </c>
      <c r="T26" s="105">
        <f>IF(N26="Yes",IF(O26/(1-(IFERROR(IF(R26=0,0,ROUND(IF(K26*12+L26&lt;12,VLOOKUP(K26*12+L26,Faktor_Multiplier,2,FALSE)*VLOOKUP(R26,IF(M26="Menurun",Premium_Table_Dec,Premium_Table_Flat),2,FALSE),VLOOKUP(R26,IF(M26="Menurun",Premium_Table_Dec,Premium_Table_Flat),K26+1,FALSE)+IFERROR((VLOOKUP(R26,IF(M26="Menurun",Premium_Table_Dec,Premium_Table_Flat),K26+2,FALSE)-VLOOKUP(R26,IF(M26="Menurun",Premium_Table_Dec,Premium_Table_Flat),K26+1,FALSE)),0)*L26/12),2)+
ROUND(IF(K26*12+L26&lt;12,VLOOKUP(K26*12+L26,Faktor_Multiplier,2,FALSE)*VLOOKUP(R26,IF(M26="Menurun",Premium_Table_Dec,Premium_Table_Flat),2,FALSE),VLOOKUP(R26,IF(M26="Menurun",Premium_Table_Dec,Premium_Table_Flat),K26+1,FALSE)+IFERROR((VLOOKUP(R26,IF(M26="Menurun",Premium_Table_Dec,Premium_Table_Flat),K26+2,FALSE)-VLOOKUP(R26,IF(M26="Menurun",Premium_Table_Dec,Premium_Table_Flat),K26+1,FALSE)),0)*L26/12),2)*Q26/100),"Perhatikan Ketentuan Usia + Masa Asuransi")/1000))&gt;'Spek Produk'!$F$8,"UP lebih besar dari fitur produk",O26/(1-(IFERROR(IF(R26=0,0,ROUND(IF(K26*12+L26&lt;12,VLOOKUP(K26*12+L26,Faktor_Multiplier,2,FALSE)*VLOOKUP(R26,IF(M26="Menurun",Premium_Table_Dec,Premium_Table_Flat),2,FALSE),VLOOKUP(R26,IF(M26="Menurun",Premium_Table_Dec,Premium_Table_Flat),K26+1,FALSE)+IFERROR((VLOOKUP(R26,IF(M26="Menurun",Premium_Table_Dec,Premium_Table_Flat),K26+2,FALSE)-VLOOKUP(R26,IF(M26="Menurun",Premium_Table_Dec,Premium_Table_Flat),K26+1,FALSE)),0)*L26/12),2)+
ROUND(IF(K26*12+L26&lt;12,VLOOKUP(K26*12+L26,Faktor_Multiplier,2,FALSE)*VLOOKUP(R26,IF(M26="Menurun",Premium_Table_Dec,Premium_Table_Flat),2,FALSE),VLOOKUP(R26,IF(M26="Menurun",Premium_Table_Dec,Premium_Table_Flat),K26+1,FALSE)+IFERROR((VLOOKUP(R26,IF(M26="Menurun",Premium_Table_Dec,Premium_Table_Flat),K26+2,FALSE)-VLOOKUP(R26,IF(M26="Menurun",Premium_Table_Dec,Premium_Table_Flat),K26+1,FALSE)),0)*L26/12),2)*Q26/100),"Perhatikan Ketentuan Usia + Masa Asuransi")/1000))),O26)</f>
        <v>0</v>
      </c>
      <c r="U26" s="40" t="str">
        <f>IF(Y26&lt;&gt;" ",Y26,IFERROR(VLOOKUP(R26,IF('Spek Produk'!$F$9="Syariah",Medic!$A$21:$L$27,Medic!$A$12:$L$18),MATCH(T26,IF('Spek Produk'!$F$9="Syariah",Medic!$B$21:$L$21,Medic!$B$12:$L$12),TRUE)+1),""))</f>
        <v/>
      </c>
      <c r="V26" s="91">
        <f t="shared" si="2"/>
        <v>0</v>
      </c>
      <c r="W26" s="41" t="str">
        <f t="shared" si="3"/>
        <v/>
      </c>
      <c r="X26" s="91" t="str">
        <f t="shared" si="4"/>
        <v/>
      </c>
      <c r="Y26" s="77" t="str" cm="1">
        <f t="array" ref="Y26">IF(M26="Menurun",IF(AND(R26&gt;'Spek Produk'!$I$23,R26&lt;&gt;""),"Usia masuk lebih besar dari fitur produk",IF(AND(R26&lt;'Spek Produk'!$G$23,R26&lt;&gt;0,R26&lt;&gt;""),"Usia masuk lebih rendah dari fitur produk",IF(OR(O26&gt;_xlfn.IFS(R26+K26+(L26/12)&lt;='Spek Produk'!$C$40,'Spek Produk'!$D$40,R26+K26+(L26/12)&gt;'Spek Produk'!$C$40,'Spek Produk'!$D$41),T26&gt;_xlfn.IFS(R26+K26+(L26/12)&lt;='Spek Produk'!$C$40,'Spek Produk'!$D$40,R26+K26+(L26/12)&gt;'Spek Produk'!$C$40,'Spek Produk'!$D$41),IFERROR(VLOOKUP(R26,IF('Spek Produk'!$F$9="Syariah",Medic!$A$21:$L$27,Medic!$A$12:$L$18),MATCH(T26,IF('Spek Produk'!$F$9="Syariah",Medic!$B$21:$L$21,Medic!$B$12:$L$12),TRUE)+1)="-","")),"UP lebih besar dari fitur produk",IF(K26+L26/12&gt;'Spek Produk'!$I$22,"Masa asuransi lebih besar dari fitur produk",IF(AND(R26+K26+L26/12&gt;'Spek Produk'!$H$24,R26&lt;&gt;0,R26&lt;&gt;""),"Maksimum masa asuransi untuk nasabah berusia "&amp;R26&amp;" tahun adalah "&amp;MAX(0,'Spek Produk'!$H$24-R26)&amp;" tahun",IF(AND(0&lt;K26+L26/12,K26+L26/12&lt;'Spek Produk'!$G$22),"Masa asuransi lebih kecil dari fitur produk"," ")))))),IF(AND(R26&gt;'Spek Produk'!$I$35,R26&lt;&gt;""),"Usia masuk lebih besar dari fitur produk",IF(AND(R26&lt;'Spek Produk'!$G$35,R26&lt;&gt;0,R26&lt;&gt;""),"Usia masuk lebih rendah dari fitur produk",IF(OR(O26&gt;_xlfn.IFS(R26+K26+(L26/12)&lt;='Spek Produk'!$C$40,'Spek Produk'!$D$40,R26+K26+(L26/12)&gt;'Spek Produk'!$C$40,'Spek Produk'!$D$41),T26&gt;_xlfn.IFS(R26+K26+(L26/12)&lt;='Spek Produk'!$C$40,'Spek Produk'!$D$40,R26+K26+(L26/12)&gt;'Spek Produk'!$C$40,'Spek Produk'!$D$41),IFERROR(VLOOKUP(R26,IF('Spek Produk'!$F$9="Syariah",Medic!$A$21:$L$27,Medic!$A$12:$L$18),MATCH(T26,IF('Spek Produk'!$F$9="Syariah",Medic!$B$21:$L$21,Medic!$B$12:$L$12),TRUE)+1)="-","")),"UP lebih besar dari fitur produk",IF(K26+L26/12&gt;'Spek Produk'!$I$34,"Masa asuransi lebih besar dari fitur produk",IF(AND(R26+K26+L26/12&gt;'Spek Produk'!$H$36,R26&lt;&gt;0,R26&lt;&gt;""),"Maksimum masa asuransi untuk nasabah berusia "&amp;R26&amp;" tahun adalah "&amp;MAX(0,'Spek Produk'!$H$36-R26)&amp;" tahun",IF(AND(0&lt;K26+L26/12,K26+L26/12&lt;'Spek Produk'!$G$34),"Masa asuransi lebih Kecil dari fitur produk"," ")))))))</f>
        <v xml:space="preserve"> </v>
      </c>
      <c r="Z26" s="77"/>
    </row>
    <row r="27" spans="1:26" x14ac:dyDescent="0.25">
      <c r="A27" s="43">
        <f t="shared" si="5"/>
        <v>22</v>
      </c>
      <c r="B27" s="34"/>
      <c r="C27" s="35"/>
      <c r="D27" s="34"/>
      <c r="E27" s="36"/>
      <c r="F27" s="33"/>
      <c r="G27" s="33"/>
      <c r="H27" s="37"/>
      <c r="I27" s="88"/>
      <c r="J27" s="88"/>
      <c r="K27" s="33"/>
      <c r="L27" s="33"/>
      <c r="M27" s="33"/>
      <c r="N27" s="33"/>
      <c r="O27" s="38"/>
      <c r="Q27" s="108">
        <v>0</v>
      </c>
      <c r="R27" s="39">
        <f t="shared" si="1"/>
        <v>0</v>
      </c>
      <c r="S27" s="111">
        <f t="shared" si="0"/>
        <v>0</v>
      </c>
      <c r="T27" s="105">
        <f>IF(N27="Yes",IF(O27/(1-(IFERROR(IF(R27=0,0,ROUND(IF(K27*12+L27&lt;12,VLOOKUP(K27*12+L27,Faktor_Multiplier,2,FALSE)*VLOOKUP(R27,IF(M27="Menurun",Premium_Table_Dec,Premium_Table_Flat),2,FALSE),VLOOKUP(R27,IF(M27="Menurun",Premium_Table_Dec,Premium_Table_Flat),K27+1,FALSE)+IFERROR((VLOOKUP(R27,IF(M27="Menurun",Premium_Table_Dec,Premium_Table_Flat),K27+2,FALSE)-VLOOKUP(R27,IF(M27="Menurun",Premium_Table_Dec,Premium_Table_Flat),K27+1,FALSE)),0)*L27/12),2)+
ROUND(IF(K27*12+L27&lt;12,VLOOKUP(K27*12+L27,Faktor_Multiplier,2,FALSE)*VLOOKUP(R27,IF(M27="Menurun",Premium_Table_Dec,Premium_Table_Flat),2,FALSE),VLOOKUP(R27,IF(M27="Menurun",Premium_Table_Dec,Premium_Table_Flat),K27+1,FALSE)+IFERROR((VLOOKUP(R27,IF(M27="Menurun",Premium_Table_Dec,Premium_Table_Flat),K27+2,FALSE)-VLOOKUP(R27,IF(M27="Menurun",Premium_Table_Dec,Premium_Table_Flat),K27+1,FALSE)),0)*L27/12),2)*Q27/100),"Perhatikan Ketentuan Usia + Masa Asuransi")/1000))&gt;'Spek Produk'!$F$8,"UP lebih besar dari fitur produk",O27/(1-(IFERROR(IF(R27=0,0,ROUND(IF(K27*12+L27&lt;12,VLOOKUP(K27*12+L27,Faktor_Multiplier,2,FALSE)*VLOOKUP(R27,IF(M27="Menurun",Premium_Table_Dec,Premium_Table_Flat),2,FALSE),VLOOKUP(R27,IF(M27="Menurun",Premium_Table_Dec,Premium_Table_Flat),K27+1,FALSE)+IFERROR((VLOOKUP(R27,IF(M27="Menurun",Premium_Table_Dec,Premium_Table_Flat),K27+2,FALSE)-VLOOKUP(R27,IF(M27="Menurun",Premium_Table_Dec,Premium_Table_Flat),K27+1,FALSE)),0)*L27/12),2)+
ROUND(IF(K27*12+L27&lt;12,VLOOKUP(K27*12+L27,Faktor_Multiplier,2,FALSE)*VLOOKUP(R27,IF(M27="Menurun",Premium_Table_Dec,Premium_Table_Flat),2,FALSE),VLOOKUP(R27,IF(M27="Menurun",Premium_Table_Dec,Premium_Table_Flat),K27+1,FALSE)+IFERROR((VLOOKUP(R27,IF(M27="Menurun",Premium_Table_Dec,Premium_Table_Flat),K27+2,FALSE)-VLOOKUP(R27,IF(M27="Menurun",Premium_Table_Dec,Premium_Table_Flat),K27+1,FALSE)),0)*L27/12),2)*Q27/100),"Perhatikan Ketentuan Usia + Masa Asuransi")/1000))),O27)</f>
        <v>0</v>
      </c>
      <c r="U27" s="40" t="str">
        <f>IF(Y27&lt;&gt;" ",Y27,IFERROR(VLOOKUP(R27,IF('Spek Produk'!$F$9="Syariah",Medic!$A$21:$L$27,Medic!$A$12:$L$18),MATCH(T27,IF('Spek Produk'!$F$9="Syariah",Medic!$B$21:$L$21,Medic!$B$12:$L$12),TRUE)+1),""))</f>
        <v/>
      </c>
      <c r="V27" s="91">
        <f t="shared" si="2"/>
        <v>0</v>
      </c>
      <c r="W27" s="41" t="str">
        <f t="shared" si="3"/>
        <v/>
      </c>
      <c r="X27" s="91" t="str">
        <f t="shared" si="4"/>
        <v/>
      </c>
      <c r="Y27" s="77" t="str" cm="1">
        <f t="array" ref="Y27">IF(M27="Menurun",IF(AND(R27&gt;'Spek Produk'!$I$23,R27&lt;&gt;""),"Usia masuk lebih besar dari fitur produk",IF(AND(R27&lt;'Spek Produk'!$G$23,R27&lt;&gt;0,R27&lt;&gt;""),"Usia masuk lebih rendah dari fitur produk",IF(OR(O27&gt;_xlfn.IFS(R27+K27+(L27/12)&lt;='Spek Produk'!$C$40,'Spek Produk'!$D$40,R27+K27+(L27/12)&gt;'Spek Produk'!$C$40,'Spek Produk'!$D$41),T27&gt;_xlfn.IFS(R27+K27+(L27/12)&lt;='Spek Produk'!$C$40,'Spek Produk'!$D$40,R27+K27+(L27/12)&gt;'Spek Produk'!$C$40,'Spek Produk'!$D$41),IFERROR(VLOOKUP(R27,IF('Spek Produk'!$F$9="Syariah",Medic!$A$21:$L$27,Medic!$A$12:$L$18),MATCH(T27,IF('Spek Produk'!$F$9="Syariah",Medic!$B$21:$L$21,Medic!$B$12:$L$12),TRUE)+1)="-","")),"UP lebih besar dari fitur produk",IF(K27+L27/12&gt;'Spek Produk'!$I$22,"Masa asuransi lebih besar dari fitur produk",IF(AND(R27+K27+L27/12&gt;'Spek Produk'!$H$24,R27&lt;&gt;0,R27&lt;&gt;""),"Maksimum masa asuransi untuk nasabah berusia "&amp;R27&amp;" tahun adalah "&amp;MAX(0,'Spek Produk'!$H$24-R27)&amp;" tahun",IF(AND(0&lt;K27+L27/12,K27+L27/12&lt;'Spek Produk'!$G$22),"Masa asuransi lebih kecil dari fitur produk"," ")))))),IF(AND(R27&gt;'Spek Produk'!$I$35,R27&lt;&gt;""),"Usia masuk lebih besar dari fitur produk",IF(AND(R27&lt;'Spek Produk'!$G$35,R27&lt;&gt;0,R27&lt;&gt;""),"Usia masuk lebih rendah dari fitur produk",IF(OR(O27&gt;_xlfn.IFS(R27+K27+(L27/12)&lt;='Spek Produk'!$C$40,'Spek Produk'!$D$40,R27+K27+(L27/12)&gt;'Spek Produk'!$C$40,'Spek Produk'!$D$41),T27&gt;_xlfn.IFS(R27+K27+(L27/12)&lt;='Spek Produk'!$C$40,'Spek Produk'!$D$40,R27+K27+(L27/12)&gt;'Spek Produk'!$C$40,'Spek Produk'!$D$41),IFERROR(VLOOKUP(R27,IF('Spek Produk'!$F$9="Syariah",Medic!$A$21:$L$27,Medic!$A$12:$L$18),MATCH(T27,IF('Spek Produk'!$F$9="Syariah",Medic!$B$21:$L$21,Medic!$B$12:$L$12),TRUE)+1)="-","")),"UP lebih besar dari fitur produk",IF(K27+L27/12&gt;'Spek Produk'!$I$34,"Masa asuransi lebih besar dari fitur produk",IF(AND(R27+K27+L27/12&gt;'Spek Produk'!$H$36,R27&lt;&gt;0,R27&lt;&gt;""),"Maksimum masa asuransi untuk nasabah berusia "&amp;R27&amp;" tahun adalah "&amp;MAX(0,'Spek Produk'!$H$36-R27)&amp;" tahun",IF(AND(0&lt;K27+L27/12,K27+L27/12&lt;'Spek Produk'!$G$34),"Masa asuransi lebih Kecil dari fitur produk"," ")))))))</f>
        <v xml:space="preserve"> </v>
      </c>
      <c r="Z27" s="77"/>
    </row>
    <row r="28" spans="1:26" x14ac:dyDescent="0.25">
      <c r="A28" s="43">
        <f t="shared" si="5"/>
        <v>23</v>
      </c>
      <c r="B28" s="34"/>
      <c r="C28" s="35"/>
      <c r="D28" s="34"/>
      <c r="E28" s="36"/>
      <c r="F28" s="33"/>
      <c r="G28" s="33"/>
      <c r="H28" s="37"/>
      <c r="I28" s="88"/>
      <c r="J28" s="88"/>
      <c r="K28" s="33"/>
      <c r="L28" s="33"/>
      <c r="M28" s="33"/>
      <c r="N28" s="33"/>
      <c r="O28" s="38"/>
      <c r="Q28" s="108">
        <v>0</v>
      </c>
      <c r="R28" s="39">
        <f t="shared" si="1"/>
        <v>0</v>
      </c>
      <c r="S28" s="111">
        <f t="shared" si="0"/>
        <v>0</v>
      </c>
      <c r="T28" s="105">
        <f>IF(N28="Yes",IF(O28/(1-(IFERROR(IF(R28=0,0,ROUND(IF(K28*12+L28&lt;12,VLOOKUP(K28*12+L28,Faktor_Multiplier,2,FALSE)*VLOOKUP(R28,IF(M28="Menurun",Premium_Table_Dec,Premium_Table_Flat),2,FALSE),VLOOKUP(R28,IF(M28="Menurun",Premium_Table_Dec,Premium_Table_Flat),K28+1,FALSE)+IFERROR((VLOOKUP(R28,IF(M28="Menurun",Premium_Table_Dec,Premium_Table_Flat),K28+2,FALSE)-VLOOKUP(R28,IF(M28="Menurun",Premium_Table_Dec,Premium_Table_Flat),K28+1,FALSE)),0)*L28/12),2)+
ROUND(IF(K28*12+L28&lt;12,VLOOKUP(K28*12+L28,Faktor_Multiplier,2,FALSE)*VLOOKUP(R28,IF(M28="Menurun",Premium_Table_Dec,Premium_Table_Flat),2,FALSE),VLOOKUP(R28,IF(M28="Menurun",Premium_Table_Dec,Premium_Table_Flat),K28+1,FALSE)+IFERROR((VLOOKUP(R28,IF(M28="Menurun",Premium_Table_Dec,Premium_Table_Flat),K28+2,FALSE)-VLOOKUP(R28,IF(M28="Menurun",Premium_Table_Dec,Premium_Table_Flat),K28+1,FALSE)),0)*L28/12),2)*Q28/100),"Perhatikan Ketentuan Usia + Masa Asuransi")/1000))&gt;'Spek Produk'!$F$8,"UP lebih besar dari fitur produk",O28/(1-(IFERROR(IF(R28=0,0,ROUND(IF(K28*12+L28&lt;12,VLOOKUP(K28*12+L28,Faktor_Multiplier,2,FALSE)*VLOOKUP(R28,IF(M28="Menurun",Premium_Table_Dec,Premium_Table_Flat),2,FALSE),VLOOKUP(R28,IF(M28="Menurun",Premium_Table_Dec,Premium_Table_Flat),K28+1,FALSE)+IFERROR((VLOOKUP(R28,IF(M28="Menurun",Premium_Table_Dec,Premium_Table_Flat),K28+2,FALSE)-VLOOKUP(R28,IF(M28="Menurun",Premium_Table_Dec,Premium_Table_Flat),K28+1,FALSE)),0)*L28/12),2)+
ROUND(IF(K28*12+L28&lt;12,VLOOKUP(K28*12+L28,Faktor_Multiplier,2,FALSE)*VLOOKUP(R28,IF(M28="Menurun",Premium_Table_Dec,Premium_Table_Flat),2,FALSE),VLOOKUP(R28,IF(M28="Menurun",Premium_Table_Dec,Premium_Table_Flat),K28+1,FALSE)+IFERROR((VLOOKUP(R28,IF(M28="Menurun",Premium_Table_Dec,Premium_Table_Flat),K28+2,FALSE)-VLOOKUP(R28,IF(M28="Menurun",Premium_Table_Dec,Premium_Table_Flat),K28+1,FALSE)),0)*L28/12),2)*Q28/100),"Perhatikan Ketentuan Usia + Masa Asuransi")/1000))),O28)</f>
        <v>0</v>
      </c>
      <c r="U28" s="40" t="str">
        <f>IF(Y28&lt;&gt;" ",Y28,IFERROR(VLOOKUP(R28,IF('Spek Produk'!$F$9="Syariah",Medic!$A$21:$L$27,Medic!$A$12:$L$18),MATCH(T28,IF('Spek Produk'!$F$9="Syariah",Medic!$B$21:$L$21,Medic!$B$12:$L$12),TRUE)+1),""))</f>
        <v/>
      </c>
      <c r="V28" s="91">
        <f t="shared" si="2"/>
        <v>0</v>
      </c>
      <c r="W28" s="41" t="str">
        <f t="shared" si="3"/>
        <v/>
      </c>
      <c r="X28" s="91" t="str">
        <f t="shared" si="4"/>
        <v/>
      </c>
      <c r="Y28" s="77" t="str" cm="1">
        <f t="array" ref="Y28">IF(M28="Menurun",IF(AND(R28&gt;'Spek Produk'!$I$23,R28&lt;&gt;""),"Usia masuk lebih besar dari fitur produk",IF(AND(R28&lt;'Spek Produk'!$G$23,R28&lt;&gt;0,R28&lt;&gt;""),"Usia masuk lebih rendah dari fitur produk",IF(OR(O28&gt;_xlfn.IFS(R28+K28+(L28/12)&lt;='Spek Produk'!$C$40,'Spek Produk'!$D$40,R28+K28+(L28/12)&gt;'Spek Produk'!$C$40,'Spek Produk'!$D$41),T28&gt;_xlfn.IFS(R28+K28+(L28/12)&lt;='Spek Produk'!$C$40,'Spek Produk'!$D$40,R28+K28+(L28/12)&gt;'Spek Produk'!$C$40,'Spek Produk'!$D$41),IFERROR(VLOOKUP(R28,IF('Spek Produk'!$F$9="Syariah",Medic!$A$21:$L$27,Medic!$A$12:$L$18),MATCH(T28,IF('Spek Produk'!$F$9="Syariah",Medic!$B$21:$L$21,Medic!$B$12:$L$12),TRUE)+1)="-","")),"UP lebih besar dari fitur produk",IF(K28+L28/12&gt;'Spek Produk'!$I$22,"Masa asuransi lebih besar dari fitur produk",IF(AND(R28+K28+L28/12&gt;'Spek Produk'!$H$24,R28&lt;&gt;0,R28&lt;&gt;""),"Maksimum masa asuransi untuk nasabah berusia "&amp;R28&amp;" tahun adalah "&amp;MAX(0,'Spek Produk'!$H$24-R28)&amp;" tahun",IF(AND(0&lt;K28+L28/12,K28+L28/12&lt;'Spek Produk'!$G$22),"Masa asuransi lebih kecil dari fitur produk"," ")))))),IF(AND(R28&gt;'Spek Produk'!$I$35,R28&lt;&gt;""),"Usia masuk lebih besar dari fitur produk",IF(AND(R28&lt;'Spek Produk'!$G$35,R28&lt;&gt;0,R28&lt;&gt;""),"Usia masuk lebih rendah dari fitur produk",IF(OR(O28&gt;_xlfn.IFS(R28+K28+(L28/12)&lt;='Spek Produk'!$C$40,'Spek Produk'!$D$40,R28+K28+(L28/12)&gt;'Spek Produk'!$C$40,'Spek Produk'!$D$41),T28&gt;_xlfn.IFS(R28+K28+(L28/12)&lt;='Spek Produk'!$C$40,'Spek Produk'!$D$40,R28+K28+(L28/12)&gt;'Spek Produk'!$C$40,'Spek Produk'!$D$41),IFERROR(VLOOKUP(R28,IF('Spek Produk'!$F$9="Syariah",Medic!$A$21:$L$27,Medic!$A$12:$L$18),MATCH(T28,IF('Spek Produk'!$F$9="Syariah",Medic!$B$21:$L$21,Medic!$B$12:$L$12),TRUE)+1)="-","")),"UP lebih besar dari fitur produk",IF(K28+L28/12&gt;'Spek Produk'!$I$34,"Masa asuransi lebih besar dari fitur produk",IF(AND(R28+K28+L28/12&gt;'Spek Produk'!$H$36,R28&lt;&gt;0,R28&lt;&gt;""),"Maksimum masa asuransi untuk nasabah berusia "&amp;R28&amp;" tahun adalah "&amp;MAX(0,'Spek Produk'!$H$36-R28)&amp;" tahun",IF(AND(0&lt;K28+L28/12,K28+L28/12&lt;'Spek Produk'!$G$34),"Masa asuransi lebih Kecil dari fitur produk"," ")))))))</f>
        <v xml:space="preserve"> </v>
      </c>
      <c r="Z28" s="77"/>
    </row>
    <row r="29" spans="1:26" x14ac:dyDescent="0.25">
      <c r="A29" s="43">
        <f t="shared" si="5"/>
        <v>24</v>
      </c>
      <c r="B29" s="34"/>
      <c r="C29" s="35"/>
      <c r="D29" s="34"/>
      <c r="E29" s="36"/>
      <c r="F29" s="33"/>
      <c r="G29" s="33"/>
      <c r="H29" s="37"/>
      <c r="I29" s="88"/>
      <c r="J29" s="88"/>
      <c r="K29" s="33"/>
      <c r="L29" s="33"/>
      <c r="M29" s="33"/>
      <c r="N29" s="33"/>
      <c r="O29" s="38"/>
      <c r="Q29" s="108">
        <v>0</v>
      </c>
      <c r="R29" s="39">
        <f t="shared" si="1"/>
        <v>0</v>
      </c>
      <c r="S29" s="111">
        <f t="shared" si="0"/>
        <v>0</v>
      </c>
      <c r="T29" s="105">
        <f>IF(N29="Yes",IF(O29/(1-(IFERROR(IF(R29=0,0,ROUND(IF(K29*12+L29&lt;12,VLOOKUP(K29*12+L29,Faktor_Multiplier,2,FALSE)*VLOOKUP(R29,IF(M29="Menurun",Premium_Table_Dec,Premium_Table_Flat),2,FALSE),VLOOKUP(R29,IF(M29="Menurun",Premium_Table_Dec,Premium_Table_Flat),K29+1,FALSE)+IFERROR((VLOOKUP(R29,IF(M29="Menurun",Premium_Table_Dec,Premium_Table_Flat),K29+2,FALSE)-VLOOKUP(R29,IF(M29="Menurun",Premium_Table_Dec,Premium_Table_Flat),K29+1,FALSE)),0)*L29/12),2)+
ROUND(IF(K29*12+L29&lt;12,VLOOKUP(K29*12+L29,Faktor_Multiplier,2,FALSE)*VLOOKUP(R29,IF(M29="Menurun",Premium_Table_Dec,Premium_Table_Flat),2,FALSE),VLOOKUP(R29,IF(M29="Menurun",Premium_Table_Dec,Premium_Table_Flat),K29+1,FALSE)+IFERROR((VLOOKUP(R29,IF(M29="Menurun",Premium_Table_Dec,Premium_Table_Flat),K29+2,FALSE)-VLOOKUP(R29,IF(M29="Menurun",Premium_Table_Dec,Premium_Table_Flat),K29+1,FALSE)),0)*L29/12),2)*Q29/100),"Perhatikan Ketentuan Usia + Masa Asuransi")/1000))&gt;'Spek Produk'!$F$8,"UP lebih besar dari fitur produk",O29/(1-(IFERROR(IF(R29=0,0,ROUND(IF(K29*12+L29&lt;12,VLOOKUP(K29*12+L29,Faktor_Multiplier,2,FALSE)*VLOOKUP(R29,IF(M29="Menurun",Premium_Table_Dec,Premium_Table_Flat),2,FALSE),VLOOKUP(R29,IF(M29="Menurun",Premium_Table_Dec,Premium_Table_Flat),K29+1,FALSE)+IFERROR((VLOOKUP(R29,IF(M29="Menurun",Premium_Table_Dec,Premium_Table_Flat),K29+2,FALSE)-VLOOKUP(R29,IF(M29="Menurun",Premium_Table_Dec,Premium_Table_Flat),K29+1,FALSE)),0)*L29/12),2)+
ROUND(IF(K29*12+L29&lt;12,VLOOKUP(K29*12+L29,Faktor_Multiplier,2,FALSE)*VLOOKUP(R29,IF(M29="Menurun",Premium_Table_Dec,Premium_Table_Flat),2,FALSE),VLOOKUP(R29,IF(M29="Menurun",Premium_Table_Dec,Premium_Table_Flat),K29+1,FALSE)+IFERROR((VLOOKUP(R29,IF(M29="Menurun",Premium_Table_Dec,Premium_Table_Flat),K29+2,FALSE)-VLOOKUP(R29,IF(M29="Menurun",Premium_Table_Dec,Premium_Table_Flat),K29+1,FALSE)),0)*L29/12),2)*Q29/100),"Perhatikan Ketentuan Usia + Masa Asuransi")/1000))),O29)</f>
        <v>0</v>
      </c>
      <c r="U29" s="40" t="str">
        <f>IF(Y29&lt;&gt;" ",Y29,IFERROR(VLOOKUP(R29,IF('Spek Produk'!$F$9="Syariah",Medic!$A$21:$L$27,Medic!$A$12:$L$18),MATCH(T29,IF('Spek Produk'!$F$9="Syariah",Medic!$B$21:$L$21,Medic!$B$12:$L$12),TRUE)+1),""))</f>
        <v/>
      </c>
      <c r="V29" s="91">
        <f t="shared" si="2"/>
        <v>0</v>
      </c>
      <c r="W29" s="41" t="str">
        <f t="shared" si="3"/>
        <v/>
      </c>
      <c r="X29" s="91" t="str">
        <f t="shared" si="4"/>
        <v/>
      </c>
      <c r="Y29" s="77" t="str" cm="1">
        <f t="array" ref="Y29">IF(M29="Menurun",IF(AND(R29&gt;'Spek Produk'!$I$23,R29&lt;&gt;""),"Usia masuk lebih besar dari fitur produk",IF(AND(R29&lt;'Spek Produk'!$G$23,R29&lt;&gt;0,R29&lt;&gt;""),"Usia masuk lebih rendah dari fitur produk",IF(OR(O29&gt;_xlfn.IFS(R29+K29+(L29/12)&lt;='Spek Produk'!$C$40,'Spek Produk'!$D$40,R29+K29+(L29/12)&gt;'Spek Produk'!$C$40,'Spek Produk'!$D$41),T29&gt;_xlfn.IFS(R29+K29+(L29/12)&lt;='Spek Produk'!$C$40,'Spek Produk'!$D$40,R29+K29+(L29/12)&gt;'Spek Produk'!$C$40,'Spek Produk'!$D$41),IFERROR(VLOOKUP(R29,IF('Spek Produk'!$F$9="Syariah",Medic!$A$21:$L$27,Medic!$A$12:$L$18),MATCH(T29,IF('Spek Produk'!$F$9="Syariah",Medic!$B$21:$L$21,Medic!$B$12:$L$12),TRUE)+1)="-","")),"UP lebih besar dari fitur produk",IF(K29+L29/12&gt;'Spek Produk'!$I$22,"Masa asuransi lebih besar dari fitur produk",IF(AND(R29+K29+L29/12&gt;'Spek Produk'!$H$24,R29&lt;&gt;0,R29&lt;&gt;""),"Maksimum masa asuransi untuk nasabah berusia "&amp;R29&amp;" tahun adalah "&amp;MAX(0,'Spek Produk'!$H$24-R29)&amp;" tahun",IF(AND(0&lt;K29+L29/12,K29+L29/12&lt;'Spek Produk'!$G$22),"Masa asuransi lebih kecil dari fitur produk"," ")))))),IF(AND(R29&gt;'Spek Produk'!$I$35,R29&lt;&gt;""),"Usia masuk lebih besar dari fitur produk",IF(AND(R29&lt;'Spek Produk'!$G$35,R29&lt;&gt;0,R29&lt;&gt;""),"Usia masuk lebih rendah dari fitur produk",IF(OR(O29&gt;_xlfn.IFS(R29+K29+(L29/12)&lt;='Spek Produk'!$C$40,'Spek Produk'!$D$40,R29+K29+(L29/12)&gt;'Spek Produk'!$C$40,'Spek Produk'!$D$41),T29&gt;_xlfn.IFS(R29+K29+(L29/12)&lt;='Spek Produk'!$C$40,'Spek Produk'!$D$40,R29+K29+(L29/12)&gt;'Spek Produk'!$C$40,'Spek Produk'!$D$41),IFERROR(VLOOKUP(R29,IF('Spek Produk'!$F$9="Syariah",Medic!$A$21:$L$27,Medic!$A$12:$L$18),MATCH(T29,IF('Spek Produk'!$F$9="Syariah",Medic!$B$21:$L$21,Medic!$B$12:$L$12),TRUE)+1)="-","")),"UP lebih besar dari fitur produk",IF(K29+L29/12&gt;'Spek Produk'!$I$34,"Masa asuransi lebih besar dari fitur produk",IF(AND(R29+K29+L29/12&gt;'Spek Produk'!$H$36,R29&lt;&gt;0,R29&lt;&gt;""),"Maksimum masa asuransi untuk nasabah berusia "&amp;R29&amp;" tahun adalah "&amp;MAX(0,'Spek Produk'!$H$36-R29)&amp;" tahun",IF(AND(0&lt;K29+L29/12,K29+L29/12&lt;'Spek Produk'!$G$34),"Masa asuransi lebih Kecil dari fitur produk"," ")))))))</f>
        <v xml:space="preserve"> </v>
      </c>
      <c r="Z29" s="77"/>
    </row>
    <row r="30" spans="1:26" x14ac:dyDescent="0.25">
      <c r="A30" s="43">
        <f t="shared" si="5"/>
        <v>25</v>
      </c>
      <c r="B30" s="34"/>
      <c r="C30" s="35"/>
      <c r="D30" s="34"/>
      <c r="E30" s="36"/>
      <c r="F30" s="33"/>
      <c r="G30" s="33"/>
      <c r="H30" s="37"/>
      <c r="I30" s="88"/>
      <c r="J30" s="88"/>
      <c r="K30" s="33"/>
      <c r="L30" s="33"/>
      <c r="M30" s="33"/>
      <c r="N30" s="33"/>
      <c r="O30" s="38"/>
      <c r="Q30" s="108">
        <v>0</v>
      </c>
      <c r="R30" s="39">
        <f t="shared" si="1"/>
        <v>0</v>
      </c>
      <c r="S30" s="111">
        <f t="shared" si="0"/>
        <v>0</v>
      </c>
      <c r="T30" s="105">
        <f>IF(N30="Yes",IF(O30/(1-(IFERROR(IF(R30=0,0,ROUND(IF(K30*12+L30&lt;12,VLOOKUP(K30*12+L30,Faktor_Multiplier,2,FALSE)*VLOOKUP(R30,IF(M30="Menurun",Premium_Table_Dec,Premium_Table_Flat),2,FALSE),VLOOKUP(R30,IF(M30="Menurun",Premium_Table_Dec,Premium_Table_Flat),K30+1,FALSE)+IFERROR((VLOOKUP(R30,IF(M30="Menurun",Premium_Table_Dec,Premium_Table_Flat),K30+2,FALSE)-VLOOKUP(R30,IF(M30="Menurun",Premium_Table_Dec,Premium_Table_Flat),K30+1,FALSE)),0)*L30/12),2)+
ROUND(IF(K30*12+L30&lt;12,VLOOKUP(K30*12+L30,Faktor_Multiplier,2,FALSE)*VLOOKUP(R30,IF(M30="Menurun",Premium_Table_Dec,Premium_Table_Flat),2,FALSE),VLOOKUP(R30,IF(M30="Menurun",Premium_Table_Dec,Premium_Table_Flat),K30+1,FALSE)+IFERROR((VLOOKUP(R30,IF(M30="Menurun",Premium_Table_Dec,Premium_Table_Flat),K30+2,FALSE)-VLOOKUP(R30,IF(M30="Menurun",Premium_Table_Dec,Premium_Table_Flat),K30+1,FALSE)),0)*L30/12),2)*Q30/100),"Perhatikan Ketentuan Usia + Masa Asuransi")/1000))&gt;'Spek Produk'!$F$8,"UP lebih besar dari fitur produk",O30/(1-(IFERROR(IF(R30=0,0,ROUND(IF(K30*12+L30&lt;12,VLOOKUP(K30*12+L30,Faktor_Multiplier,2,FALSE)*VLOOKUP(R30,IF(M30="Menurun",Premium_Table_Dec,Premium_Table_Flat),2,FALSE),VLOOKUP(R30,IF(M30="Menurun",Premium_Table_Dec,Premium_Table_Flat),K30+1,FALSE)+IFERROR((VLOOKUP(R30,IF(M30="Menurun",Premium_Table_Dec,Premium_Table_Flat),K30+2,FALSE)-VLOOKUP(R30,IF(M30="Menurun",Premium_Table_Dec,Premium_Table_Flat),K30+1,FALSE)),0)*L30/12),2)+
ROUND(IF(K30*12+L30&lt;12,VLOOKUP(K30*12+L30,Faktor_Multiplier,2,FALSE)*VLOOKUP(R30,IF(M30="Menurun",Premium_Table_Dec,Premium_Table_Flat),2,FALSE),VLOOKUP(R30,IF(M30="Menurun",Premium_Table_Dec,Premium_Table_Flat),K30+1,FALSE)+IFERROR((VLOOKUP(R30,IF(M30="Menurun",Premium_Table_Dec,Premium_Table_Flat),K30+2,FALSE)-VLOOKUP(R30,IF(M30="Menurun",Premium_Table_Dec,Premium_Table_Flat),K30+1,FALSE)),0)*L30/12),2)*Q30/100),"Perhatikan Ketentuan Usia + Masa Asuransi")/1000))),O30)</f>
        <v>0</v>
      </c>
      <c r="U30" s="40" t="str">
        <f>IF(Y30&lt;&gt;" ",Y30,IFERROR(VLOOKUP(R30,IF('Spek Produk'!$F$9="Syariah",Medic!$A$21:$L$27,Medic!$A$12:$L$18),MATCH(T30,IF('Spek Produk'!$F$9="Syariah",Medic!$B$21:$L$21,Medic!$B$12:$L$12),TRUE)+1),""))</f>
        <v/>
      </c>
      <c r="V30" s="91">
        <f t="shared" si="2"/>
        <v>0</v>
      </c>
      <c r="W30" s="41" t="str">
        <f t="shared" si="3"/>
        <v/>
      </c>
      <c r="X30" s="91" t="str">
        <f t="shared" si="4"/>
        <v/>
      </c>
      <c r="Y30" s="77" t="str" cm="1">
        <f t="array" ref="Y30">IF(M30="Menurun",IF(AND(R30&gt;'Spek Produk'!$I$23,R30&lt;&gt;""),"Usia masuk lebih besar dari fitur produk",IF(AND(R30&lt;'Spek Produk'!$G$23,R30&lt;&gt;0,R30&lt;&gt;""),"Usia masuk lebih rendah dari fitur produk",IF(OR(O30&gt;_xlfn.IFS(R30+K30+(L30/12)&lt;='Spek Produk'!$C$40,'Spek Produk'!$D$40,R30+K30+(L30/12)&gt;'Spek Produk'!$C$40,'Spek Produk'!$D$41),T30&gt;_xlfn.IFS(R30+K30+(L30/12)&lt;='Spek Produk'!$C$40,'Spek Produk'!$D$40,R30+K30+(L30/12)&gt;'Spek Produk'!$C$40,'Spek Produk'!$D$41),IFERROR(VLOOKUP(R30,IF('Spek Produk'!$F$9="Syariah",Medic!$A$21:$L$27,Medic!$A$12:$L$18),MATCH(T30,IF('Spek Produk'!$F$9="Syariah",Medic!$B$21:$L$21,Medic!$B$12:$L$12),TRUE)+1)="-","")),"UP lebih besar dari fitur produk",IF(K30+L30/12&gt;'Spek Produk'!$I$22,"Masa asuransi lebih besar dari fitur produk",IF(AND(R30+K30+L30/12&gt;'Spek Produk'!$H$24,R30&lt;&gt;0,R30&lt;&gt;""),"Maksimum masa asuransi untuk nasabah berusia "&amp;R30&amp;" tahun adalah "&amp;MAX(0,'Spek Produk'!$H$24-R30)&amp;" tahun",IF(AND(0&lt;K30+L30/12,K30+L30/12&lt;'Spek Produk'!$G$22),"Masa asuransi lebih kecil dari fitur produk"," ")))))),IF(AND(R30&gt;'Spek Produk'!$I$35,R30&lt;&gt;""),"Usia masuk lebih besar dari fitur produk",IF(AND(R30&lt;'Spek Produk'!$G$35,R30&lt;&gt;0,R30&lt;&gt;""),"Usia masuk lebih rendah dari fitur produk",IF(OR(O30&gt;_xlfn.IFS(R30+K30+(L30/12)&lt;='Spek Produk'!$C$40,'Spek Produk'!$D$40,R30+K30+(L30/12)&gt;'Spek Produk'!$C$40,'Spek Produk'!$D$41),T30&gt;_xlfn.IFS(R30+K30+(L30/12)&lt;='Spek Produk'!$C$40,'Spek Produk'!$D$40,R30+K30+(L30/12)&gt;'Spek Produk'!$C$40,'Spek Produk'!$D$41),IFERROR(VLOOKUP(R30,IF('Spek Produk'!$F$9="Syariah",Medic!$A$21:$L$27,Medic!$A$12:$L$18),MATCH(T30,IF('Spek Produk'!$F$9="Syariah",Medic!$B$21:$L$21,Medic!$B$12:$L$12),TRUE)+1)="-","")),"UP lebih besar dari fitur produk",IF(K30+L30/12&gt;'Spek Produk'!$I$34,"Masa asuransi lebih besar dari fitur produk",IF(AND(R30+K30+L30/12&gt;'Spek Produk'!$H$36,R30&lt;&gt;0,R30&lt;&gt;""),"Maksimum masa asuransi untuk nasabah berusia "&amp;R30&amp;" tahun adalah "&amp;MAX(0,'Spek Produk'!$H$36-R30)&amp;" tahun",IF(AND(0&lt;K30+L30/12,K30+L30/12&lt;'Spek Produk'!$G$34),"Masa asuransi lebih Kecil dari fitur produk"," ")))))))</f>
        <v xml:space="preserve"> </v>
      </c>
      <c r="Z30" s="77"/>
    </row>
    <row r="31" spans="1:26" x14ac:dyDescent="0.25">
      <c r="A31" s="43">
        <f t="shared" si="5"/>
        <v>26</v>
      </c>
      <c r="B31" s="34"/>
      <c r="C31" s="35"/>
      <c r="D31" s="34"/>
      <c r="E31" s="36"/>
      <c r="F31" s="33"/>
      <c r="G31" s="33"/>
      <c r="H31" s="37"/>
      <c r="I31" s="88"/>
      <c r="J31" s="88"/>
      <c r="K31" s="33"/>
      <c r="L31" s="33"/>
      <c r="M31" s="33"/>
      <c r="N31" s="33"/>
      <c r="O31" s="38"/>
      <c r="Q31" s="108">
        <v>0</v>
      </c>
      <c r="R31" s="39">
        <f t="shared" si="1"/>
        <v>0</v>
      </c>
      <c r="S31" s="111">
        <f t="shared" si="0"/>
        <v>0</v>
      </c>
      <c r="T31" s="105">
        <f>IF(N31="Yes",IF(O31/(1-(IFERROR(IF(R31=0,0,ROUND(IF(K31*12+L31&lt;12,VLOOKUP(K31*12+L31,Faktor_Multiplier,2,FALSE)*VLOOKUP(R31,IF(M31="Menurun",Premium_Table_Dec,Premium_Table_Flat),2,FALSE),VLOOKUP(R31,IF(M31="Menurun",Premium_Table_Dec,Premium_Table_Flat),K31+1,FALSE)+IFERROR((VLOOKUP(R31,IF(M31="Menurun",Premium_Table_Dec,Premium_Table_Flat),K31+2,FALSE)-VLOOKUP(R31,IF(M31="Menurun",Premium_Table_Dec,Premium_Table_Flat),K31+1,FALSE)),0)*L31/12),2)+
ROUND(IF(K31*12+L31&lt;12,VLOOKUP(K31*12+L31,Faktor_Multiplier,2,FALSE)*VLOOKUP(R31,IF(M31="Menurun",Premium_Table_Dec,Premium_Table_Flat),2,FALSE),VLOOKUP(R31,IF(M31="Menurun",Premium_Table_Dec,Premium_Table_Flat),K31+1,FALSE)+IFERROR((VLOOKUP(R31,IF(M31="Menurun",Premium_Table_Dec,Premium_Table_Flat),K31+2,FALSE)-VLOOKUP(R31,IF(M31="Menurun",Premium_Table_Dec,Premium_Table_Flat),K31+1,FALSE)),0)*L31/12),2)*Q31/100),"Perhatikan Ketentuan Usia + Masa Asuransi")/1000))&gt;'Spek Produk'!$F$8,"UP lebih besar dari fitur produk",O31/(1-(IFERROR(IF(R31=0,0,ROUND(IF(K31*12+L31&lt;12,VLOOKUP(K31*12+L31,Faktor_Multiplier,2,FALSE)*VLOOKUP(R31,IF(M31="Menurun",Premium_Table_Dec,Premium_Table_Flat),2,FALSE),VLOOKUP(R31,IF(M31="Menurun",Premium_Table_Dec,Premium_Table_Flat),K31+1,FALSE)+IFERROR((VLOOKUP(R31,IF(M31="Menurun",Premium_Table_Dec,Premium_Table_Flat),K31+2,FALSE)-VLOOKUP(R31,IF(M31="Menurun",Premium_Table_Dec,Premium_Table_Flat),K31+1,FALSE)),0)*L31/12),2)+
ROUND(IF(K31*12+L31&lt;12,VLOOKUP(K31*12+L31,Faktor_Multiplier,2,FALSE)*VLOOKUP(R31,IF(M31="Menurun",Premium_Table_Dec,Premium_Table_Flat),2,FALSE),VLOOKUP(R31,IF(M31="Menurun",Premium_Table_Dec,Premium_Table_Flat),K31+1,FALSE)+IFERROR((VLOOKUP(R31,IF(M31="Menurun",Premium_Table_Dec,Premium_Table_Flat),K31+2,FALSE)-VLOOKUP(R31,IF(M31="Menurun",Premium_Table_Dec,Premium_Table_Flat),K31+1,FALSE)),0)*L31/12),2)*Q31/100),"Perhatikan Ketentuan Usia + Masa Asuransi")/1000))),O31)</f>
        <v>0</v>
      </c>
      <c r="U31" s="40" t="str">
        <f>IF(Y31&lt;&gt;" ",Y31,IFERROR(VLOOKUP(R31,IF('Spek Produk'!$F$9="Syariah",Medic!$A$21:$L$27,Medic!$A$12:$L$18),MATCH(T31,IF('Spek Produk'!$F$9="Syariah",Medic!$B$21:$L$21,Medic!$B$12:$L$12),TRUE)+1),""))</f>
        <v/>
      </c>
      <c r="V31" s="91">
        <f t="shared" si="2"/>
        <v>0</v>
      </c>
      <c r="W31" s="41" t="str">
        <f t="shared" si="3"/>
        <v/>
      </c>
      <c r="X31" s="91" t="str">
        <f t="shared" si="4"/>
        <v/>
      </c>
      <c r="Y31" s="77" t="str" cm="1">
        <f t="array" ref="Y31">IF(M31="Menurun",IF(AND(R31&gt;'Spek Produk'!$I$23,R31&lt;&gt;""),"Usia masuk lebih besar dari fitur produk",IF(AND(R31&lt;'Spek Produk'!$G$23,R31&lt;&gt;0,R31&lt;&gt;""),"Usia masuk lebih rendah dari fitur produk",IF(OR(O31&gt;_xlfn.IFS(R31+K31+(L31/12)&lt;='Spek Produk'!$C$40,'Spek Produk'!$D$40,R31+K31+(L31/12)&gt;'Spek Produk'!$C$40,'Spek Produk'!$D$41),T31&gt;_xlfn.IFS(R31+K31+(L31/12)&lt;='Spek Produk'!$C$40,'Spek Produk'!$D$40,R31+K31+(L31/12)&gt;'Spek Produk'!$C$40,'Spek Produk'!$D$41),IFERROR(VLOOKUP(R31,IF('Spek Produk'!$F$9="Syariah",Medic!$A$21:$L$27,Medic!$A$12:$L$18),MATCH(T31,IF('Spek Produk'!$F$9="Syariah",Medic!$B$21:$L$21,Medic!$B$12:$L$12),TRUE)+1)="-","")),"UP lebih besar dari fitur produk",IF(K31+L31/12&gt;'Spek Produk'!$I$22,"Masa asuransi lebih besar dari fitur produk",IF(AND(R31+K31+L31/12&gt;'Spek Produk'!$H$24,R31&lt;&gt;0,R31&lt;&gt;""),"Maksimum masa asuransi untuk nasabah berusia "&amp;R31&amp;" tahun adalah "&amp;MAX(0,'Spek Produk'!$H$24-R31)&amp;" tahun",IF(AND(0&lt;K31+L31/12,K31+L31/12&lt;'Spek Produk'!$G$22),"Masa asuransi lebih kecil dari fitur produk"," ")))))),IF(AND(R31&gt;'Spek Produk'!$I$35,R31&lt;&gt;""),"Usia masuk lebih besar dari fitur produk",IF(AND(R31&lt;'Spek Produk'!$G$35,R31&lt;&gt;0,R31&lt;&gt;""),"Usia masuk lebih rendah dari fitur produk",IF(OR(O31&gt;_xlfn.IFS(R31+K31+(L31/12)&lt;='Spek Produk'!$C$40,'Spek Produk'!$D$40,R31+K31+(L31/12)&gt;'Spek Produk'!$C$40,'Spek Produk'!$D$41),T31&gt;_xlfn.IFS(R31+K31+(L31/12)&lt;='Spek Produk'!$C$40,'Spek Produk'!$D$40,R31+K31+(L31/12)&gt;'Spek Produk'!$C$40,'Spek Produk'!$D$41),IFERROR(VLOOKUP(R31,IF('Spek Produk'!$F$9="Syariah",Medic!$A$21:$L$27,Medic!$A$12:$L$18),MATCH(T31,IF('Spek Produk'!$F$9="Syariah",Medic!$B$21:$L$21,Medic!$B$12:$L$12),TRUE)+1)="-","")),"UP lebih besar dari fitur produk",IF(K31+L31/12&gt;'Spek Produk'!$I$34,"Masa asuransi lebih besar dari fitur produk",IF(AND(R31+K31+L31/12&gt;'Spek Produk'!$H$36,R31&lt;&gt;0,R31&lt;&gt;""),"Maksimum masa asuransi untuk nasabah berusia "&amp;R31&amp;" tahun adalah "&amp;MAX(0,'Spek Produk'!$H$36-R31)&amp;" tahun",IF(AND(0&lt;K31+L31/12,K31+L31/12&lt;'Spek Produk'!$G$34),"Masa asuransi lebih Kecil dari fitur produk"," ")))))))</f>
        <v xml:space="preserve"> </v>
      </c>
      <c r="Z31" s="77"/>
    </row>
    <row r="32" spans="1:26" x14ac:dyDescent="0.25">
      <c r="A32" s="43">
        <f t="shared" si="5"/>
        <v>27</v>
      </c>
      <c r="B32" s="34"/>
      <c r="C32" s="35"/>
      <c r="D32" s="34"/>
      <c r="E32" s="36"/>
      <c r="F32" s="33"/>
      <c r="G32" s="33"/>
      <c r="H32" s="37"/>
      <c r="I32" s="88"/>
      <c r="J32" s="88"/>
      <c r="K32" s="33"/>
      <c r="L32" s="33"/>
      <c r="M32" s="33"/>
      <c r="N32" s="33"/>
      <c r="O32" s="38"/>
      <c r="Q32" s="108">
        <v>0</v>
      </c>
      <c r="R32" s="39">
        <f t="shared" si="1"/>
        <v>0</v>
      </c>
      <c r="S32" s="111">
        <f t="shared" si="0"/>
        <v>0</v>
      </c>
      <c r="T32" s="105">
        <f>IF(N32="Yes",IF(O32/(1-(IFERROR(IF(R32=0,0,ROUND(IF(K32*12+L32&lt;12,VLOOKUP(K32*12+L32,Faktor_Multiplier,2,FALSE)*VLOOKUP(R32,IF(M32="Menurun",Premium_Table_Dec,Premium_Table_Flat),2,FALSE),VLOOKUP(R32,IF(M32="Menurun",Premium_Table_Dec,Premium_Table_Flat),K32+1,FALSE)+IFERROR((VLOOKUP(R32,IF(M32="Menurun",Premium_Table_Dec,Premium_Table_Flat),K32+2,FALSE)-VLOOKUP(R32,IF(M32="Menurun",Premium_Table_Dec,Premium_Table_Flat),K32+1,FALSE)),0)*L32/12),2)+
ROUND(IF(K32*12+L32&lt;12,VLOOKUP(K32*12+L32,Faktor_Multiplier,2,FALSE)*VLOOKUP(R32,IF(M32="Menurun",Premium_Table_Dec,Premium_Table_Flat),2,FALSE),VLOOKUP(R32,IF(M32="Menurun",Premium_Table_Dec,Premium_Table_Flat),K32+1,FALSE)+IFERROR((VLOOKUP(R32,IF(M32="Menurun",Premium_Table_Dec,Premium_Table_Flat),K32+2,FALSE)-VLOOKUP(R32,IF(M32="Menurun",Premium_Table_Dec,Premium_Table_Flat),K32+1,FALSE)),0)*L32/12),2)*Q32/100),"Perhatikan Ketentuan Usia + Masa Asuransi")/1000))&gt;'Spek Produk'!$F$8,"UP lebih besar dari fitur produk",O32/(1-(IFERROR(IF(R32=0,0,ROUND(IF(K32*12+L32&lt;12,VLOOKUP(K32*12+L32,Faktor_Multiplier,2,FALSE)*VLOOKUP(R32,IF(M32="Menurun",Premium_Table_Dec,Premium_Table_Flat),2,FALSE),VLOOKUP(R32,IF(M32="Menurun",Premium_Table_Dec,Premium_Table_Flat),K32+1,FALSE)+IFERROR((VLOOKUP(R32,IF(M32="Menurun",Premium_Table_Dec,Premium_Table_Flat),K32+2,FALSE)-VLOOKUP(R32,IF(M32="Menurun",Premium_Table_Dec,Premium_Table_Flat),K32+1,FALSE)),0)*L32/12),2)+
ROUND(IF(K32*12+L32&lt;12,VLOOKUP(K32*12+L32,Faktor_Multiplier,2,FALSE)*VLOOKUP(R32,IF(M32="Menurun",Premium_Table_Dec,Premium_Table_Flat),2,FALSE),VLOOKUP(R32,IF(M32="Menurun",Premium_Table_Dec,Premium_Table_Flat),K32+1,FALSE)+IFERROR((VLOOKUP(R32,IF(M32="Menurun",Premium_Table_Dec,Premium_Table_Flat),K32+2,FALSE)-VLOOKUP(R32,IF(M32="Menurun",Premium_Table_Dec,Premium_Table_Flat),K32+1,FALSE)),0)*L32/12),2)*Q32/100),"Perhatikan Ketentuan Usia + Masa Asuransi")/1000))),O32)</f>
        <v>0</v>
      </c>
      <c r="U32" s="40" t="str">
        <f>IF(Y32&lt;&gt;" ",Y32,IFERROR(VLOOKUP(R32,IF('Spek Produk'!$F$9="Syariah",Medic!$A$21:$L$27,Medic!$A$12:$L$18),MATCH(T32,IF('Spek Produk'!$F$9="Syariah",Medic!$B$21:$L$21,Medic!$B$12:$L$12),TRUE)+1),""))</f>
        <v/>
      </c>
      <c r="V32" s="91">
        <f t="shared" si="2"/>
        <v>0</v>
      </c>
      <c r="W32" s="41" t="str">
        <f t="shared" si="3"/>
        <v/>
      </c>
      <c r="X32" s="91" t="str">
        <f t="shared" si="4"/>
        <v/>
      </c>
      <c r="Y32" s="77" t="str" cm="1">
        <f t="array" ref="Y32">IF(M32="Menurun",IF(AND(R32&gt;'Spek Produk'!$I$23,R32&lt;&gt;""),"Usia masuk lebih besar dari fitur produk",IF(AND(R32&lt;'Spek Produk'!$G$23,R32&lt;&gt;0,R32&lt;&gt;""),"Usia masuk lebih rendah dari fitur produk",IF(OR(O32&gt;_xlfn.IFS(R32+K32+(L32/12)&lt;='Spek Produk'!$C$40,'Spek Produk'!$D$40,R32+K32+(L32/12)&gt;'Spek Produk'!$C$40,'Spek Produk'!$D$41),T32&gt;_xlfn.IFS(R32+K32+(L32/12)&lt;='Spek Produk'!$C$40,'Spek Produk'!$D$40,R32+K32+(L32/12)&gt;'Spek Produk'!$C$40,'Spek Produk'!$D$41),IFERROR(VLOOKUP(R32,IF('Spek Produk'!$F$9="Syariah",Medic!$A$21:$L$27,Medic!$A$12:$L$18),MATCH(T32,IF('Spek Produk'!$F$9="Syariah",Medic!$B$21:$L$21,Medic!$B$12:$L$12),TRUE)+1)="-","")),"UP lebih besar dari fitur produk",IF(K32+L32/12&gt;'Spek Produk'!$I$22,"Masa asuransi lebih besar dari fitur produk",IF(AND(R32+K32+L32/12&gt;'Spek Produk'!$H$24,R32&lt;&gt;0,R32&lt;&gt;""),"Maksimum masa asuransi untuk nasabah berusia "&amp;R32&amp;" tahun adalah "&amp;MAX(0,'Spek Produk'!$H$24-R32)&amp;" tahun",IF(AND(0&lt;K32+L32/12,K32+L32/12&lt;'Spek Produk'!$G$22),"Masa asuransi lebih kecil dari fitur produk"," ")))))),IF(AND(R32&gt;'Spek Produk'!$I$35,R32&lt;&gt;""),"Usia masuk lebih besar dari fitur produk",IF(AND(R32&lt;'Spek Produk'!$G$35,R32&lt;&gt;0,R32&lt;&gt;""),"Usia masuk lebih rendah dari fitur produk",IF(OR(O32&gt;_xlfn.IFS(R32+K32+(L32/12)&lt;='Spek Produk'!$C$40,'Spek Produk'!$D$40,R32+K32+(L32/12)&gt;'Spek Produk'!$C$40,'Spek Produk'!$D$41),T32&gt;_xlfn.IFS(R32+K32+(L32/12)&lt;='Spek Produk'!$C$40,'Spek Produk'!$D$40,R32+K32+(L32/12)&gt;'Spek Produk'!$C$40,'Spek Produk'!$D$41),IFERROR(VLOOKUP(R32,IF('Spek Produk'!$F$9="Syariah",Medic!$A$21:$L$27,Medic!$A$12:$L$18),MATCH(T32,IF('Spek Produk'!$F$9="Syariah",Medic!$B$21:$L$21,Medic!$B$12:$L$12),TRUE)+1)="-","")),"UP lebih besar dari fitur produk",IF(K32+L32/12&gt;'Spek Produk'!$I$34,"Masa asuransi lebih besar dari fitur produk",IF(AND(R32+K32+L32/12&gt;'Spek Produk'!$H$36,R32&lt;&gt;0,R32&lt;&gt;""),"Maksimum masa asuransi untuk nasabah berusia "&amp;R32&amp;" tahun adalah "&amp;MAX(0,'Spek Produk'!$H$36-R32)&amp;" tahun",IF(AND(0&lt;K32+L32/12,K32+L32/12&lt;'Spek Produk'!$G$34),"Masa asuransi lebih Kecil dari fitur produk"," ")))))))</f>
        <v xml:space="preserve"> </v>
      </c>
      <c r="Z32" s="77"/>
    </row>
    <row r="33" spans="1:26" x14ac:dyDescent="0.25">
      <c r="A33" s="43">
        <f t="shared" si="5"/>
        <v>28</v>
      </c>
      <c r="B33" s="34"/>
      <c r="C33" s="35"/>
      <c r="D33" s="34"/>
      <c r="E33" s="36"/>
      <c r="F33" s="33"/>
      <c r="G33" s="33"/>
      <c r="H33" s="37"/>
      <c r="I33" s="88"/>
      <c r="J33" s="88"/>
      <c r="K33" s="33"/>
      <c r="L33" s="33"/>
      <c r="M33" s="33"/>
      <c r="N33" s="33"/>
      <c r="O33" s="38"/>
      <c r="Q33" s="108">
        <v>0</v>
      </c>
      <c r="R33" s="39">
        <f t="shared" si="1"/>
        <v>0</v>
      </c>
      <c r="S33" s="111">
        <f t="shared" si="0"/>
        <v>0</v>
      </c>
      <c r="T33" s="105">
        <f>IF(N33="Yes",IF(O33/(1-(IFERROR(IF(R33=0,0,ROUND(IF(K33*12+L33&lt;12,VLOOKUP(K33*12+L33,Faktor_Multiplier,2,FALSE)*VLOOKUP(R33,IF(M33="Menurun",Premium_Table_Dec,Premium_Table_Flat),2,FALSE),VLOOKUP(R33,IF(M33="Menurun",Premium_Table_Dec,Premium_Table_Flat),K33+1,FALSE)+IFERROR((VLOOKUP(R33,IF(M33="Menurun",Premium_Table_Dec,Premium_Table_Flat),K33+2,FALSE)-VLOOKUP(R33,IF(M33="Menurun",Premium_Table_Dec,Premium_Table_Flat),K33+1,FALSE)),0)*L33/12),2)+
ROUND(IF(K33*12+L33&lt;12,VLOOKUP(K33*12+L33,Faktor_Multiplier,2,FALSE)*VLOOKUP(R33,IF(M33="Menurun",Premium_Table_Dec,Premium_Table_Flat),2,FALSE),VLOOKUP(R33,IF(M33="Menurun",Premium_Table_Dec,Premium_Table_Flat),K33+1,FALSE)+IFERROR((VLOOKUP(R33,IF(M33="Menurun",Premium_Table_Dec,Premium_Table_Flat),K33+2,FALSE)-VLOOKUP(R33,IF(M33="Menurun",Premium_Table_Dec,Premium_Table_Flat),K33+1,FALSE)),0)*L33/12),2)*Q33/100),"Perhatikan Ketentuan Usia + Masa Asuransi")/1000))&gt;'Spek Produk'!$F$8,"UP lebih besar dari fitur produk",O33/(1-(IFERROR(IF(R33=0,0,ROUND(IF(K33*12+L33&lt;12,VLOOKUP(K33*12+L33,Faktor_Multiplier,2,FALSE)*VLOOKUP(R33,IF(M33="Menurun",Premium_Table_Dec,Premium_Table_Flat),2,FALSE),VLOOKUP(R33,IF(M33="Menurun",Premium_Table_Dec,Premium_Table_Flat),K33+1,FALSE)+IFERROR((VLOOKUP(R33,IF(M33="Menurun",Premium_Table_Dec,Premium_Table_Flat),K33+2,FALSE)-VLOOKUP(R33,IF(M33="Menurun",Premium_Table_Dec,Premium_Table_Flat),K33+1,FALSE)),0)*L33/12),2)+
ROUND(IF(K33*12+L33&lt;12,VLOOKUP(K33*12+L33,Faktor_Multiplier,2,FALSE)*VLOOKUP(R33,IF(M33="Menurun",Premium_Table_Dec,Premium_Table_Flat),2,FALSE),VLOOKUP(R33,IF(M33="Menurun",Premium_Table_Dec,Premium_Table_Flat),K33+1,FALSE)+IFERROR((VLOOKUP(R33,IF(M33="Menurun",Premium_Table_Dec,Premium_Table_Flat),K33+2,FALSE)-VLOOKUP(R33,IF(M33="Menurun",Premium_Table_Dec,Premium_Table_Flat),K33+1,FALSE)),0)*L33/12),2)*Q33/100),"Perhatikan Ketentuan Usia + Masa Asuransi")/1000))),O33)</f>
        <v>0</v>
      </c>
      <c r="U33" s="40" t="str">
        <f>IF(Y33&lt;&gt;" ",Y33,IFERROR(VLOOKUP(R33,IF('Spek Produk'!$F$9="Syariah",Medic!$A$21:$L$27,Medic!$A$12:$L$18),MATCH(T33,IF('Spek Produk'!$F$9="Syariah",Medic!$B$21:$L$21,Medic!$B$12:$L$12),TRUE)+1),""))</f>
        <v/>
      </c>
      <c r="V33" s="91">
        <f t="shared" si="2"/>
        <v>0</v>
      </c>
      <c r="W33" s="41" t="str">
        <f t="shared" si="3"/>
        <v/>
      </c>
      <c r="X33" s="91" t="str">
        <f t="shared" si="4"/>
        <v/>
      </c>
      <c r="Y33" s="77" t="str" cm="1">
        <f t="array" ref="Y33">IF(M33="Menurun",IF(AND(R33&gt;'Spek Produk'!$I$23,R33&lt;&gt;""),"Usia masuk lebih besar dari fitur produk",IF(AND(R33&lt;'Spek Produk'!$G$23,R33&lt;&gt;0,R33&lt;&gt;""),"Usia masuk lebih rendah dari fitur produk",IF(OR(O33&gt;_xlfn.IFS(R33+K33+(L33/12)&lt;='Spek Produk'!$C$40,'Spek Produk'!$D$40,R33+K33+(L33/12)&gt;'Spek Produk'!$C$40,'Spek Produk'!$D$41),T33&gt;_xlfn.IFS(R33+K33+(L33/12)&lt;='Spek Produk'!$C$40,'Spek Produk'!$D$40,R33+K33+(L33/12)&gt;'Spek Produk'!$C$40,'Spek Produk'!$D$41),IFERROR(VLOOKUP(R33,IF('Spek Produk'!$F$9="Syariah",Medic!$A$21:$L$27,Medic!$A$12:$L$18),MATCH(T33,IF('Spek Produk'!$F$9="Syariah",Medic!$B$21:$L$21,Medic!$B$12:$L$12),TRUE)+1)="-","")),"UP lebih besar dari fitur produk",IF(K33+L33/12&gt;'Spek Produk'!$I$22,"Masa asuransi lebih besar dari fitur produk",IF(AND(R33+K33+L33/12&gt;'Spek Produk'!$H$24,R33&lt;&gt;0,R33&lt;&gt;""),"Maksimum masa asuransi untuk nasabah berusia "&amp;R33&amp;" tahun adalah "&amp;MAX(0,'Spek Produk'!$H$24-R33)&amp;" tahun",IF(AND(0&lt;K33+L33/12,K33+L33/12&lt;'Spek Produk'!$G$22),"Masa asuransi lebih kecil dari fitur produk"," ")))))),IF(AND(R33&gt;'Spek Produk'!$I$35,R33&lt;&gt;""),"Usia masuk lebih besar dari fitur produk",IF(AND(R33&lt;'Spek Produk'!$G$35,R33&lt;&gt;0,R33&lt;&gt;""),"Usia masuk lebih rendah dari fitur produk",IF(OR(O33&gt;_xlfn.IFS(R33+K33+(L33/12)&lt;='Spek Produk'!$C$40,'Spek Produk'!$D$40,R33+K33+(L33/12)&gt;'Spek Produk'!$C$40,'Spek Produk'!$D$41),T33&gt;_xlfn.IFS(R33+K33+(L33/12)&lt;='Spek Produk'!$C$40,'Spek Produk'!$D$40,R33+K33+(L33/12)&gt;'Spek Produk'!$C$40,'Spek Produk'!$D$41),IFERROR(VLOOKUP(R33,IF('Spek Produk'!$F$9="Syariah",Medic!$A$21:$L$27,Medic!$A$12:$L$18),MATCH(T33,IF('Spek Produk'!$F$9="Syariah",Medic!$B$21:$L$21,Medic!$B$12:$L$12),TRUE)+1)="-","")),"UP lebih besar dari fitur produk",IF(K33+L33/12&gt;'Spek Produk'!$I$34,"Masa asuransi lebih besar dari fitur produk",IF(AND(R33+K33+L33/12&gt;'Spek Produk'!$H$36,R33&lt;&gt;0,R33&lt;&gt;""),"Maksimum masa asuransi untuk nasabah berusia "&amp;R33&amp;" tahun adalah "&amp;MAX(0,'Spek Produk'!$H$36-R33)&amp;" tahun",IF(AND(0&lt;K33+L33/12,K33+L33/12&lt;'Spek Produk'!$G$34),"Masa asuransi lebih Kecil dari fitur produk"," ")))))))</f>
        <v xml:space="preserve"> </v>
      </c>
      <c r="Z33" s="77"/>
    </row>
    <row r="34" spans="1:26" x14ac:dyDescent="0.25">
      <c r="A34" s="43">
        <f t="shared" si="5"/>
        <v>29</v>
      </c>
      <c r="B34" s="34"/>
      <c r="C34" s="35"/>
      <c r="D34" s="34"/>
      <c r="E34" s="36"/>
      <c r="F34" s="33"/>
      <c r="G34" s="33"/>
      <c r="H34" s="37"/>
      <c r="I34" s="88"/>
      <c r="J34" s="88"/>
      <c r="K34" s="33"/>
      <c r="L34" s="33"/>
      <c r="M34" s="33"/>
      <c r="N34" s="33"/>
      <c r="O34" s="38"/>
      <c r="Q34" s="108">
        <v>0</v>
      </c>
      <c r="R34" s="39">
        <f t="shared" si="1"/>
        <v>0</v>
      </c>
      <c r="S34" s="111">
        <f t="shared" si="0"/>
        <v>0</v>
      </c>
      <c r="T34" s="105">
        <f>IF(N34="Yes",IF(O34/(1-(IFERROR(IF(R34=0,0,ROUND(IF(K34*12+L34&lt;12,VLOOKUP(K34*12+L34,Faktor_Multiplier,2,FALSE)*VLOOKUP(R34,IF(M34="Menurun",Premium_Table_Dec,Premium_Table_Flat),2,FALSE),VLOOKUP(R34,IF(M34="Menurun",Premium_Table_Dec,Premium_Table_Flat),K34+1,FALSE)+IFERROR((VLOOKUP(R34,IF(M34="Menurun",Premium_Table_Dec,Premium_Table_Flat),K34+2,FALSE)-VLOOKUP(R34,IF(M34="Menurun",Premium_Table_Dec,Premium_Table_Flat),K34+1,FALSE)),0)*L34/12),2)+
ROUND(IF(K34*12+L34&lt;12,VLOOKUP(K34*12+L34,Faktor_Multiplier,2,FALSE)*VLOOKUP(R34,IF(M34="Menurun",Premium_Table_Dec,Premium_Table_Flat),2,FALSE),VLOOKUP(R34,IF(M34="Menurun",Premium_Table_Dec,Premium_Table_Flat),K34+1,FALSE)+IFERROR((VLOOKUP(R34,IF(M34="Menurun",Premium_Table_Dec,Premium_Table_Flat),K34+2,FALSE)-VLOOKUP(R34,IF(M34="Menurun",Premium_Table_Dec,Premium_Table_Flat),K34+1,FALSE)),0)*L34/12),2)*Q34/100),"Perhatikan Ketentuan Usia + Masa Asuransi")/1000))&gt;'Spek Produk'!$F$8,"UP lebih besar dari fitur produk",O34/(1-(IFERROR(IF(R34=0,0,ROUND(IF(K34*12+L34&lt;12,VLOOKUP(K34*12+L34,Faktor_Multiplier,2,FALSE)*VLOOKUP(R34,IF(M34="Menurun",Premium_Table_Dec,Premium_Table_Flat),2,FALSE),VLOOKUP(R34,IF(M34="Menurun",Premium_Table_Dec,Premium_Table_Flat),K34+1,FALSE)+IFERROR((VLOOKUP(R34,IF(M34="Menurun",Premium_Table_Dec,Premium_Table_Flat),K34+2,FALSE)-VLOOKUP(R34,IF(M34="Menurun",Premium_Table_Dec,Premium_Table_Flat),K34+1,FALSE)),0)*L34/12),2)+
ROUND(IF(K34*12+L34&lt;12,VLOOKUP(K34*12+L34,Faktor_Multiplier,2,FALSE)*VLOOKUP(R34,IF(M34="Menurun",Premium_Table_Dec,Premium_Table_Flat),2,FALSE),VLOOKUP(R34,IF(M34="Menurun",Premium_Table_Dec,Premium_Table_Flat),K34+1,FALSE)+IFERROR((VLOOKUP(R34,IF(M34="Menurun",Premium_Table_Dec,Premium_Table_Flat),K34+2,FALSE)-VLOOKUP(R34,IF(M34="Menurun",Premium_Table_Dec,Premium_Table_Flat),K34+1,FALSE)),0)*L34/12),2)*Q34/100),"Perhatikan Ketentuan Usia + Masa Asuransi")/1000))),O34)</f>
        <v>0</v>
      </c>
      <c r="U34" s="40" t="str">
        <f>IF(Y34&lt;&gt;" ",Y34,IFERROR(VLOOKUP(R34,IF('Spek Produk'!$F$9="Syariah",Medic!$A$21:$L$27,Medic!$A$12:$L$18),MATCH(T34,IF('Spek Produk'!$F$9="Syariah",Medic!$B$21:$L$21,Medic!$B$12:$L$12),TRUE)+1),""))</f>
        <v/>
      </c>
      <c r="V34" s="91">
        <f t="shared" si="2"/>
        <v>0</v>
      </c>
      <c r="W34" s="41" t="str">
        <f t="shared" si="3"/>
        <v/>
      </c>
      <c r="X34" s="91" t="str">
        <f t="shared" si="4"/>
        <v/>
      </c>
      <c r="Y34" s="77" t="str" cm="1">
        <f t="array" ref="Y34">IF(M34="Menurun",IF(AND(R34&gt;'Spek Produk'!$I$23,R34&lt;&gt;""),"Usia masuk lebih besar dari fitur produk",IF(AND(R34&lt;'Spek Produk'!$G$23,R34&lt;&gt;0,R34&lt;&gt;""),"Usia masuk lebih rendah dari fitur produk",IF(OR(O34&gt;_xlfn.IFS(R34+K34+(L34/12)&lt;='Spek Produk'!$C$40,'Spek Produk'!$D$40,R34+K34+(L34/12)&gt;'Spek Produk'!$C$40,'Spek Produk'!$D$41),T34&gt;_xlfn.IFS(R34+K34+(L34/12)&lt;='Spek Produk'!$C$40,'Spek Produk'!$D$40,R34+K34+(L34/12)&gt;'Spek Produk'!$C$40,'Spek Produk'!$D$41),IFERROR(VLOOKUP(R34,IF('Spek Produk'!$F$9="Syariah",Medic!$A$21:$L$27,Medic!$A$12:$L$18),MATCH(T34,IF('Spek Produk'!$F$9="Syariah",Medic!$B$21:$L$21,Medic!$B$12:$L$12),TRUE)+1)="-","")),"UP lebih besar dari fitur produk",IF(K34+L34/12&gt;'Spek Produk'!$I$22,"Masa asuransi lebih besar dari fitur produk",IF(AND(R34+K34+L34/12&gt;'Spek Produk'!$H$24,R34&lt;&gt;0,R34&lt;&gt;""),"Maksimum masa asuransi untuk nasabah berusia "&amp;R34&amp;" tahun adalah "&amp;MAX(0,'Spek Produk'!$H$24-R34)&amp;" tahun",IF(AND(0&lt;K34+L34/12,K34+L34/12&lt;'Spek Produk'!$G$22),"Masa asuransi lebih kecil dari fitur produk"," ")))))),IF(AND(R34&gt;'Spek Produk'!$I$35,R34&lt;&gt;""),"Usia masuk lebih besar dari fitur produk",IF(AND(R34&lt;'Spek Produk'!$G$35,R34&lt;&gt;0,R34&lt;&gt;""),"Usia masuk lebih rendah dari fitur produk",IF(OR(O34&gt;_xlfn.IFS(R34+K34+(L34/12)&lt;='Spek Produk'!$C$40,'Spek Produk'!$D$40,R34+K34+(L34/12)&gt;'Spek Produk'!$C$40,'Spek Produk'!$D$41),T34&gt;_xlfn.IFS(R34+K34+(L34/12)&lt;='Spek Produk'!$C$40,'Spek Produk'!$D$40,R34+K34+(L34/12)&gt;'Spek Produk'!$C$40,'Spek Produk'!$D$41),IFERROR(VLOOKUP(R34,IF('Spek Produk'!$F$9="Syariah",Medic!$A$21:$L$27,Medic!$A$12:$L$18),MATCH(T34,IF('Spek Produk'!$F$9="Syariah",Medic!$B$21:$L$21,Medic!$B$12:$L$12),TRUE)+1)="-","")),"UP lebih besar dari fitur produk",IF(K34+L34/12&gt;'Spek Produk'!$I$34,"Masa asuransi lebih besar dari fitur produk",IF(AND(R34+K34+L34/12&gt;'Spek Produk'!$H$36,R34&lt;&gt;0,R34&lt;&gt;""),"Maksimum masa asuransi untuk nasabah berusia "&amp;R34&amp;" tahun adalah "&amp;MAX(0,'Spek Produk'!$H$36-R34)&amp;" tahun",IF(AND(0&lt;K34+L34/12,K34+L34/12&lt;'Spek Produk'!$G$34),"Masa asuransi lebih Kecil dari fitur produk"," ")))))))</f>
        <v xml:space="preserve"> </v>
      </c>
      <c r="Z34" s="77"/>
    </row>
    <row r="35" spans="1:26" x14ac:dyDescent="0.25">
      <c r="A35" s="43">
        <f t="shared" si="5"/>
        <v>30</v>
      </c>
      <c r="B35" s="34"/>
      <c r="C35" s="35"/>
      <c r="D35" s="34"/>
      <c r="E35" s="36"/>
      <c r="F35" s="33"/>
      <c r="G35" s="33"/>
      <c r="H35" s="37"/>
      <c r="I35" s="88"/>
      <c r="J35" s="88"/>
      <c r="K35" s="33"/>
      <c r="L35" s="33"/>
      <c r="M35" s="33"/>
      <c r="N35" s="33"/>
      <c r="O35" s="38"/>
      <c r="Q35" s="108">
        <v>0</v>
      </c>
      <c r="R35" s="39">
        <f t="shared" si="1"/>
        <v>0</v>
      </c>
      <c r="S35" s="111">
        <f t="shared" si="0"/>
        <v>0</v>
      </c>
      <c r="T35" s="105">
        <f>IF(N35="Yes",IF(O35/(1-(IFERROR(IF(R35=0,0,ROUND(IF(K35*12+L35&lt;12,VLOOKUP(K35*12+L35,Faktor_Multiplier,2,FALSE)*VLOOKUP(R35,IF(M35="Menurun",Premium_Table_Dec,Premium_Table_Flat),2,FALSE),VLOOKUP(R35,IF(M35="Menurun",Premium_Table_Dec,Premium_Table_Flat),K35+1,FALSE)+IFERROR((VLOOKUP(R35,IF(M35="Menurun",Premium_Table_Dec,Premium_Table_Flat),K35+2,FALSE)-VLOOKUP(R35,IF(M35="Menurun",Premium_Table_Dec,Premium_Table_Flat),K35+1,FALSE)),0)*L35/12),2)+
ROUND(IF(K35*12+L35&lt;12,VLOOKUP(K35*12+L35,Faktor_Multiplier,2,FALSE)*VLOOKUP(R35,IF(M35="Menurun",Premium_Table_Dec,Premium_Table_Flat),2,FALSE),VLOOKUP(R35,IF(M35="Menurun",Premium_Table_Dec,Premium_Table_Flat),K35+1,FALSE)+IFERROR((VLOOKUP(R35,IF(M35="Menurun",Premium_Table_Dec,Premium_Table_Flat),K35+2,FALSE)-VLOOKUP(R35,IF(M35="Menurun",Premium_Table_Dec,Premium_Table_Flat),K35+1,FALSE)),0)*L35/12),2)*Q35/100),"Perhatikan Ketentuan Usia + Masa Asuransi")/1000))&gt;'Spek Produk'!$F$8,"UP lebih besar dari fitur produk",O35/(1-(IFERROR(IF(R35=0,0,ROUND(IF(K35*12+L35&lt;12,VLOOKUP(K35*12+L35,Faktor_Multiplier,2,FALSE)*VLOOKUP(R35,IF(M35="Menurun",Premium_Table_Dec,Premium_Table_Flat),2,FALSE),VLOOKUP(R35,IF(M35="Menurun",Premium_Table_Dec,Premium_Table_Flat),K35+1,FALSE)+IFERROR((VLOOKUP(R35,IF(M35="Menurun",Premium_Table_Dec,Premium_Table_Flat),K35+2,FALSE)-VLOOKUP(R35,IF(M35="Menurun",Premium_Table_Dec,Premium_Table_Flat),K35+1,FALSE)),0)*L35/12),2)+
ROUND(IF(K35*12+L35&lt;12,VLOOKUP(K35*12+L35,Faktor_Multiplier,2,FALSE)*VLOOKUP(R35,IF(M35="Menurun",Premium_Table_Dec,Premium_Table_Flat),2,FALSE),VLOOKUP(R35,IF(M35="Menurun",Premium_Table_Dec,Premium_Table_Flat),K35+1,FALSE)+IFERROR((VLOOKUP(R35,IF(M35="Menurun",Premium_Table_Dec,Premium_Table_Flat),K35+2,FALSE)-VLOOKUP(R35,IF(M35="Menurun",Premium_Table_Dec,Premium_Table_Flat),K35+1,FALSE)),0)*L35/12),2)*Q35/100),"Perhatikan Ketentuan Usia + Masa Asuransi")/1000))),O35)</f>
        <v>0</v>
      </c>
      <c r="U35" s="40" t="str">
        <f>IF(Y35&lt;&gt;" ",Y35,IFERROR(VLOOKUP(R35,IF('Spek Produk'!$F$9="Syariah",Medic!$A$21:$L$27,Medic!$A$12:$L$18),MATCH(T35,IF('Spek Produk'!$F$9="Syariah",Medic!$B$21:$L$21,Medic!$B$12:$L$12),TRUE)+1),""))</f>
        <v/>
      </c>
      <c r="V35" s="91">
        <f t="shared" si="2"/>
        <v>0</v>
      </c>
      <c r="W35" s="41" t="str">
        <f t="shared" si="3"/>
        <v/>
      </c>
      <c r="X35" s="91" t="str">
        <f t="shared" si="4"/>
        <v/>
      </c>
      <c r="Y35" s="77" t="str" cm="1">
        <f t="array" ref="Y35">IF(M35="Menurun",IF(AND(R35&gt;'Spek Produk'!$I$23,R35&lt;&gt;""),"Usia masuk lebih besar dari fitur produk",IF(AND(R35&lt;'Spek Produk'!$G$23,R35&lt;&gt;0,R35&lt;&gt;""),"Usia masuk lebih rendah dari fitur produk",IF(OR(O35&gt;_xlfn.IFS(R35+K35+(L35/12)&lt;='Spek Produk'!$C$40,'Spek Produk'!$D$40,R35+K35+(L35/12)&gt;'Spek Produk'!$C$40,'Spek Produk'!$D$41),T35&gt;_xlfn.IFS(R35+K35+(L35/12)&lt;='Spek Produk'!$C$40,'Spek Produk'!$D$40,R35+K35+(L35/12)&gt;'Spek Produk'!$C$40,'Spek Produk'!$D$41),IFERROR(VLOOKUP(R35,IF('Spek Produk'!$F$9="Syariah",Medic!$A$21:$L$27,Medic!$A$12:$L$18),MATCH(T35,IF('Spek Produk'!$F$9="Syariah",Medic!$B$21:$L$21,Medic!$B$12:$L$12),TRUE)+1)="-","")),"UP lebih besar dari fitur produk",IF(K35+L35/12&gt;'Spek Produk'!$I$22,"Masa asuransi lebih besar dari fitur produk",IF(AND(R35+K35+L35/12&gt;'Spek Produk'!$H$24,R35&lt;&gt;0,R35&lt;&gt;""),"Maksimum masa asuransi untuk nasabah berusia "&amp;R35&amp;" tahun adalah "&amp;MAX(0,'Spek Produk'!$H$24-R35)&amp;" tahun",IF(AND(0&lt;K35+L35/12,K35+L35/12&lt;'Spek Produk'!$G$22),"Masa asuransi lebih kecil dari fitur produk"," ")))))),IF(AND(R35&gt;'Spek Produk'!$I$35,R35&lt;&gt;""),"Usia masuk lebih besar dari fitur produk",IF(AND(R35&lt;'Spek Produk'!$G$35,R35&lt;&gt;0,R35&lt;&gt;""),"Usia masuk lebih rendah dari fitur produk",IF(OR(O35&gt;_xlfn.IFS(R35+K35+(L35/12)&lt;='Spek Produk'!$C$40,'Spek Produk'!$D$40,R35+K35+(L35/12)&gt;'Spek Produk'!$C$40,'Spek Produk'!$D$41),T35&gt;_xlfn.IFS(R35+K35+(L35/12)&lt;='Spek Produk'!$C$40,'Spek Produk'!$D$40,R35+K35+(L35/12)&gt;'Spek Produk'!$C$40,'Spek Produk'!$D$41),IFERROR(VLOOKUP(R35,IF('Spek Produk'!$F$9="Syariah",Medic!$A$21:$L$27,Medic!$A$12:$L$18),MATCH(T35,IF('Spek Produk'!$F$9="Syariah",Medic!$B$21:$L$21,Medic!$B$12:$L$12),TRUE)+1)="-","")),"UP lebih besar dari fitur produk",IF(K35+L35/12&gt;'Spek Produk'!$I$34,"Masa asuransi lebih besar dari fitur produk",IF(AND(R35+K35+L35/12&gt;'Spek Produk'!$H$36,R35&lt;&gt;0,R35&lt;&gt;""),"Maksimum masa asuransi untuk nasabah berusia "&amp;R35&amp;" tahun adalah "&amp;MAX(0,'Spek Produk'!$H$36-R35)&amp;" tahun",IF(AND(0&lt;K35+L35/12,K35+L35/12&lt;'Spek Produk'!$G$34),"Masa asuransi lebih Kecil dari fitur produk"," ")))))))</f>
        <v xml:space="preserve"> </v>
      </c>
      <c r="Z35" s="77"/>
    </row>
    <row r="36" spans="1:26" x14ac:dyDescent="0.25">
      <c r="A36" s="43">
        <f t="shared" si="5"/>
        <v>31</v>
      </c>
      <c r="B36" s="34"/>
      <c r="C36" s="35"/>
      <c r="D36" s="34"/>
      <c r="E36" s="36"/>
      <c r="F36" s="33"/>
      <c r="G36" s="33"/>
      <c r="H36" s="37"/>
      <c r="I36" s="88"/>
      <c r="J36" s="88"/>
      <c r="K36" s="33"/>
      <c r="L36" s="33"/>
      <c r="M36" s="33"/>
      <c r="N36" s="33"/>
      <c r="O36" s="38"/>
      <c r="Q36" s="108">
        <v>0</v>
      </c>
      <c r="R36" s="39">
        <f t="shared" si="1"/>
        <v>0</v>
      </c>
      <c r="S36" s="111">
        <f t="shared" si="0"/>
        <v>0</v>
      </c>
      <c r="T36" s="105">
        <f>IF(N36="Yes",IF(O36/(1-(IFERROR(IF(R36=0,0,ROUND(IF(K36*12+L36&lt;12,VLOOKUP(K36*12+L36,Faktor_Multiplier,2,FALSE)*VLOOKUP(R36,IF(M36="Menurun",Premium_Table_Dec,Premium_Table_Flat),2,FALSE),VLOOKUP(R36,IF(M36="Menurun",Premium_Table_Dec,Premium_Table_Flat),K36+1,FALSE)+IFERROR((VLOOKUP(R36,IF(M36="Menurun",Premium_Table_Dec,Premium_Table_Flat),K36+2,FALSE)-VLOOKUP(R36,IF(M36="Menurun",Premium_Table_Dec,Premium_Table_Flat),K36+1,FALSE)),0)*L36/12),2)+
ROUND(IF(K36*12+L36&lt;12,VLOOKUP(K36*12+L36,Faktor_Multiplier,2,FALSE)*VLOOKUP(R36,IF(M36="Menurun",Premium_Table_Dec,Premium_Table_Flat),2,FALSE),VLOOKUP(R36,IF(M36="Menurun",Premium_Table_Dec,Premium_Table_Flat),K36+1,FALSE)+IFERROR((VLOOKUP(R36,IF(M36="Menurun",Premium_Table_Dec,Premium_Table_Flat),K36+2,FALSE)-VLOOKUP(R36,IF(M36="Menurun",Premium_Table_Dec,Premium_Table_Flat),K36+1,FALSE)),0)*L36/12),2)*Q36/100),"Perhatikan Ketentuan Usia + Masa Asuransi")/1000))&gt;'Spek Produk'!$F$8,"UP lebih besar dari fitur produk",O36/(1-(IFERROR(IF(R36=0,0,ROUND(IF(K36*12+L36&lt;12,VLOOKUP(K36*12+L36,Faktor_Multiplier,2,FALSE)*VLOOKUP(R36,IF(M36="Menurun",Premium_Table_Dec,Premium_Table_Flat),2,FALSE),VLOOKUP(R36,IF(M36="Menurun",Premium_Table_Dec,Premium_Table_Flat),K36+1,FALSE)+IFERROR((VLOOKUP(R36,IF(M36="Menurun",Premium_Table_Dec,Premium_Table_Flat),K36+2,FALSE)-VLOOKUP(R36,IF(M36="Menurun",Premium_Table_Dec,Premium_Table_Flat),K36+1,FALSE)),0)*L36/12),2)+
ROUND(IF(K36*12+L36&lt;12,VLOOKUP(K36*12+L36,Faktor_Multiplier,2,FALSE)*VLOOKUP(R36,IF(M36="Menurun",Premium_Table_Dec,Premium_Table_Flat),2,FALSE),VLOOKUP(R36,IF(M36="Menurun",Premium_Table_Dec,Premium_Table_Flat),K36+1,FALSE)+IFERROR((VLOOKUP(R36,IF(M36="Menurun",Premium_Table_Dec,Premium_Table_Flat),K36+2,FALSE)-VLOOKUP(R36,IF(M36="Menurun",Premium_Table_Dec,Premium_Table_Flat),K36+1,FALSE)),0)*L36/12),2)*Q36/100),"Perhatikan Ketentuan Usia + Masa Asuransi")/1000))),O36)</f>
        <v>0</v>
      </c>
      <c r="U36" s="40" t="str">
        <f>IF(Y36&lt;&gt;" ",Y36,IFERROR(VLOOKUP(R36,IF('Spek Produk'!$F$9="Syariah",Medic!$A$21:$L$27,Medic!$A$12:$L$18),MATCH(T36,IF('Spek Produk'!$F$9="Syariah",Medic!$B$21:$L$21,Medic!$B$12:$L$12),TRUE)+1),""))</f>
        <v/>
      </c>
      <c r="V36" s="91">
        <f t="shared" si="2"/>
        <v>0</v>
      </c>
      <c r="W36" s="41" t="str">
        <f t="shared" si="3"/>
        <v/>
      </c>
      <c r="X36" s="91" t="str">
        <f t="shared" si="4"/>
        <v/>
      </c>
      <c r="Y36" s="77" t="str" cm="1">
        <f t="array" ref="Y36">IF(M36="Menurun",IF(AND(R36&gt;'Spek Produk'!$I$23,R36&lt;&gt;""),"Usia masuk lebih besar dari fitur produk",IF(AND(R36&lt;'Spek Produk'!$G$23,R36&lt;&gt;0,R36&lt;&gt;""),"Usia masuk lebih rendah dari fitur produk",IF(OR(O36&gt;_xlfn.IFS(R36+K36+(L36/12)&lt;='Spek Produk'!$C$40,'Spek Produk'!$D$40,R36+K36+(L36/12)&gt;'Spek Produk'!$C$40,'Spek Produk'!$D$41),T36&gt;_xlfn.IFS(R36+K36+(L36/12)&lt;='Spek Produk'!$C$40,'Spek Produk'!$D$40,R36+K36+(L36/12)&gt;'Spek Produk'!$C$40,'Spek Produk'!$D$41),IFERROR(VLOOKUP(R36,IF('Spek Produk'!$F$9="Syariah",Medic!$A$21:$L$27,Medic!$A$12:$L$18),MATCH(T36,IF('Spek Produk'!$F$9="Syariah",Medic!$B$21:$L$21,Medic!$B$12:$L$12),TRUE)+1)="-","")),"UP lebih besar dari fitur produk",IF(K36+L36/12&gt;'Spek Produk'!$I$22,"Masa asuransi lebih besar dari fitur produk",IF(AND(R36+K36+L36/12&gt;'Spek Produk'!$H$24,R36&lt;&gt;0,R36&lt;&gt;""),"Maksimum masa asuransi untuk nasabah berusia "&amp;R36&amp;" tahun adalah "&amp;MAX(0,'Spek Produk'!$H$24-R36)&amp;" tahun",IF(AND(0&lt;K36+L36/12,K36+L36/12&lt;'Spek Produk'!$G$22),"Masa asuransi lebih kecil dari fitur produk"," ")))))),IF(AND(R36&gt;'Spek Produk'!$I$35,R36&lt;&gt;""),"Usia masuk lebih besar dari fitur produk",IF(AND(R36&lt;'Spek Produk'!$G$35,R36&lt;&gt;0,R36&lt;&gt;""),"Usia masuk lebih rendah dari fitur produk",IF(OR(O36&gt;_xlfn.IFS(R36+K36+(L36/12)&lt;='Spek Produk'!$C$40,'Spek Produk'!$D$40,R36+K36+(L36/12)&gt;'Spek Produk'!$C$40,'Spek Produk'!$D$41),T36&gt;_xlfn.IFS(R36+K36+(L36/12)&lt;='Spek Produk'!$C$40,'Spek Produk'!$D$40,R36+K36+(L36/12)&gt;'Spek Produk'!$C$40,'Spek Produk'!$D$41),IFERROR(VLOOKUP(R36,IF('Spek Produk'!$F$9="Syariah",Medic!$A$21:$L$27,Medic!$A$12:$L$18),MATCH(T36,IF('Spek Produk'!$F$9="Syariah",Medic!$B$21:$L$21,Medic!$B$12:$L$12),TRUE)+1)="-","")),"UP lebih besar dari fitur produk",IF(K36+L36/12&gt;'Spek Produk'!$I$34,"Masa asuransi lebih besar dari fitur produk",IF(AND(R36+K36+L36/12&gt;'Spek Produk'!$H$36,R36&lt;&gt;0,R36&lt;&gt;""),"Maksimum masa asuransi untuk nasabah berusia "&amp;R36&amp;" tahun adalah "&amp;MAX(0,'Spek Produk'!$H$36-R36)&amp;" tahun",IF(AND(0&lt;K36+L36/12,K36+L36/12&lt;'Spek Produk'!$G$34),"Masa asuransi lebih Kecil dari fitur produk"," ")))))))</f>
        <v xml:space="preserve"> </v>
      </c>
      <c r="Z36" s="77"/>
    </row>
    <row r="37" spans="1:26" x14ac:dyDescent="0.25">
      <c r="A37" s="43">
        <f t="shared" si="5"/>
        <v>32</v>
      </c>
      <c r="B37" s="34"/>
      <c r="C37" s="35"/>
      <c r="D37" s="34"/>
      <c r="E37" s="36"/>
      <c r="F37" s="33"/>
      <c r="G37" s="33"/>
      <c r="H37" s="37"/>
      <c r="I37" s="88"/>
      <c r="J37" s="88"/>
      <c r="K37" s="33"/>
      <c r="L37" s="33"/>
      <c r="M37" s="33"/>
      <c r="N37" s="33"/>
      <c r="O37" s="38"/>
      <c r="Q37" s="108">
        <v>0</v>
      </c>
      <c r="R37" s="39">
        <f t="shared" si="1"/>
        <v>0</v>
      </c>
      <c r="S37" s="111">
        <f t="shared" si="0"/>
        <v>0</v>
      </c>
      <c r="T37" s="105">
        <f>IF(N37="Yes",IF(O37/(1-(IFERROR(IF(R37=0,0,ROUND(IF(K37*12+L37&lt;12,VLOOKUP(K37*12+L37,Faktor_Multiplier,2,FALSE)*VLOOKUP(R37,IF(M37="Menurun",Premium_Table_Dec,Premium_Table_Flat),2,FALSE),VLOOKUP(R37,IF(M37="Menurun",Premium_Table_Dec,Premium_Table_Flat),K37+1,FALSE)+IFERROR((VLOOKUP(R37,IF(M37="Menurun",Premium_Table_Dec,Premium_Table_Flat),K37+2,FALSE)-VLOOKUP(R37,IF(M37="Menurun",Premium_Table_Dec,Premium_Table_Flat),K37+1,FALSE)),0)*L37/12),2)+
ROUND(IF(K37*12+L37&lt;12,VLOOKUP(K37*12+L37,Faktor_Multiplier,2,FALSE)*VLOOKUP(R37,IF(M37="Menurun",Premium_Table_Dec,Premium_Table_Flat),2,FALSE),VLOOKUP(R37,IF(M37="Menurun",Premium_Table_Dec,Premium_Table_Flat),K37+1,FALSE)+IFERROR((VLOOKUP(R37,IF(M37="Menurun",Premium_Table_Dec,Premium_Table_Flat),K37+2,FALSE)-VLOOKUP(R37,IF(M37="Menurun",Premium_Table_Dec,Premium_Table_Flat),K37+1,FALSE)),0)*L37/12),2)*Q37/100),"Perhatikan Ketentuan Usia + Masa Asuransi")/1000))&gt;'Spek Produk'!$F$8,"UP lebih besar dari fitur produk",O37/(1-(IFERROR(IF(R37=0,0,ROUND(IF(K37*12+L37&lt;12,VLOOKUP(K37*12+L37,Faktor_Multiplier,2,FALSE)*VLOOKUP(R37,IF(M37="Menurun",Premium_Table_Dec,Premium_Table_Flat),2,FALSE),VLOOKUP(R37,IF(M37="Menurun",Premium_Table_Dec,Premium_Table_Flat),K37+1,FALSE)+IFERROR((VLOOKUP(R37,IF(M37="Menurun",Premium_Table_Dec,Premium_Table_Flat),K37+2,FALSE)-VLOOKUP(R37,IF(M37="Menurun",Premium_Table_Dec,Premium_Table_Flat),K37+1,FALSE)),0)*L37/12),2)+
ROUND(IF(K37*12+L37&lt;12,VLOOKUP(K37*12+L37,Faktor_Multiplier,2,FALSE)*VLOOKUP(R37,IF(M37="Menurun",Premium_Table_Dec,Premium_Table_Flat),2,FALSE),VLOOKUP(R37,IF(M37="Menurun",Premium_Table_Dec,Premium_Table_Flat),K37+1,FALSE)+IFERROR((VLOOKUP(R37,IF(M37="Menurun",Premium_Table_Dec,Premium_Table_Flat),K37+2,FALSE)-VLOOKUP(R37,IF(M37="Menurun",Premium_Table_Dec,Premium_Table_Flat),K37+1,FALSE)),0)*L37/12),2)*Q37/100),"Perhatikan Ketentuan Usia + Masa Asuransi")/1000))),O37)</f>
        <v>0</v>
      </c>
      <c r="U37" s="40" t="str">
        <f>IF(Y37&lt;&gt;" ",Y37,IFERROR(VLOOKUP(R37,IF('Spek Produk'!$F$9="Syariah",Medic!$A$21:$L$27,Medic!$A$12:$L$18),MATCH(T37,IF('Spek Produk'!$F$9="Syariah",Medic!$B$21:$L$21,Medic!$B$12:$L$12),TRUE)+1),""))</f>
        <v/>
      </c>
      <c r="V37" s="91">
        <f t="shared" si="2"/>
        <v>0</v>
      </c>
      <c r="W37" s="41" t="str">
        <f t="shared" si="3"/>
        <v/>
      </c>
      <c r="X37" s="91" t="str">
        <f t="shared" si="4"/>
        <v/>
      </c>
      <c r="Y37" s="77" t="str" cm="1">
        <f t="array" ref="Y37">IF(M37="Menurun",IF(AND(R37&gt;'Spek Produk'!$I$23,R37&lt;&gt;""),"Usia masuk lebih besar dari fitur produk",IF(AND(R37&lt;'Spek Produk'!$G$23,R37&lt;&gt;0,R37&lt;&gt;""),"Usia masuk lebih rendah dari fitur produk",IF(OR(O37&gt;_xlfn.IFS(R37+K37+(L37/12)&lt;='Spek Produk'!$C$40,'Spek Produk'!$D$40,R37+K37+(L37/12)&gt;'Spek Produk'!$C$40,'Spek Produk'!$D$41),T37&gt;_xlfn.IFS(R37+K37+(L37/12)&lt;='Spek Produk'!$C$40,'Spek Produk'!$D$40,R37+K37+(L37/12)&gt;'Spek Produk'!$C$40,'Spek Produk'!$D$41),IFERROR(VLOOKUP(R37,IF('Spek Produk'!$F$9="Syariah",Medic!$A$21:$L$27,Medic!$A$12:$L$18),MATCH(T37,IF('Spek Produk'!$F$9="Syariah",Medic!$B$21:$L$21,Medic!$B$12:$L$12),TRUE)+1)="-","")),"UP lebih besar dari fitur produk",IF(K37+L37/12&gt;'Spek Produk'!$I$22,"Masa asuransi lebih besar dari fitur produk",IF(AND(R37+K37+L37/12&gt;'Spek Produk'!$H$24,R37&lt;&gt;0,R37&lt;&gt;""),"Maksimum masa asuransi untuk nasabah berusia "&amp;R37&amp;" tahun adalah "&amp;MAX(0,'Spek Produk'!$H$24-R37)&amp;" tahun",IF(AND(0&lt;K37+L37/12,K37+L37/12&lt;'Spek Produk'!$G$22),"Masa asuransi lebih kecil dari fitur produk"," ")))))),IF(AND(R37&gt;'Spek Produk'!$I$35,R37&lt;&gt;""),"Usia masuk lebih besar dari fitur produk",IF(AND(R37&lt;'Spek Produk'!$G$35,R37&lt;&gt;0,R37&lt;&gt;""),"Usia masuk lebih rendah dari fitur produk",IF(OR(O37&gt;_xlfn.IFS(R37+K37+(L37/12)&lt;='Spek Produk'!$C$40,'Spek Produk'!$D$40,R37+K37+(L37/12)&gt;'Spek Produk'!$C$40,'Spek Produk'!$D$41),T37&gt;_xlfn.IFS(R37+K37+(L37/12)&lt;='Spek Produk'!$C$40,'Spek Produk'!$D$40,R37+K37+(L37/12)&gt;'Spek Produk'!$C$40,'Spek Produk'!$D$41),IFERROR(VLOOKUP(R37,IF('Spek Produk'!$F$9="Syariah",Medic!$A$21:$L$27,Medic!$A$12:$L$18),MATCH(T37,IF('Spek Produk'!$F$9="Syariah",Medic!$B$21:$L$21,Medic!$B$12:$L$12),TRUE)+1)="-","")),"UP lebih besar dari fitur produk",IF(K37+L37/12&gt;'Spek Produk'!$I$34,"Masa asuransi lebih besar dari fitur produk",IF(AND(R37+K37+L37/12&gt;'Spek Produk'!$H$36,R37&lt;&gt;0,R37&lt;&gt;""),"Maksimum masa asuransi untuk nasabah berusia "&amp;R37&amp;" tahun adalah "&amp;MAX(0,'Spek Produk'!$H$36-R37)&amp;" tahun",IF(AND(0&lt;K37+L37/12,K37+L37/12&lt;'Spek Produk'!$G$34),"Masa asuransi lebih Kecil dari fitur produk"," ")))))))</f>
        <v xml:space="preserve"> </v>
      </c>
      <c r="Z37" s="77"/>
    </row>
    <row r="38" spans="1:26" x14ac:dyDescent="0.25">
      <c r="A38" s="43">
        <f t="shared" si="5"/>
        <v>33</v>
      </c>
      <c r="B38" s="34"/>
      <c r="C38" s="35"/>
      <c r="D38" s="34"/>
      <c r="E38" s="36"/>
      <c r="F38" s="33"/>
      <c r="G38" s="33"/>
      <c r="H38" s="37"/>
      <c r="I38" s="88"/>
      <c r="J38" s="88"/>
      <c r="K38" s="33"/>
      <c r="L38" s="33"/>
      <c r="M38" s="33"/>
      <c r="N38" s="33"/>
      <c r="O38" s="38"/>
      <c r="Q38" s="108">
        <v>0</v>
      </c>
      <c r="R38" s="39">
        <f t="shared" si="1"/>
        <v>0</v>
      </c>
      <c r="S38" s="111">
        <f t="shared" ref="S38:S55" si="6">IFERROR(IF(R38=0,0,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Perhatikan Ketentuan Usia + Masa Asuransi")</f>
        <v>0</v>
      </c>
      <c r="T38" s="105">
        <f>IF(N38="Yes",IF(O38/(1-(IFERROR(IF(R38=0,0,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
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Q38/100),"Perhatikan Ketentuan Usia + Masa Asuransi")/1000))&gt;'Spek Produk'!$F$8,"UP lebih besar dari fitur produk",O38/(1-(IFERROR(IF(R38=0,0,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
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Q38/100),"Perhatikan Ketentuan Usia + Masa Asuransi")/1000))),O38)</f>
        <v>0</v>
      </c>
      <c r="U38" s="40" t="str">
        <f>IF(Y38&lt;&gt;" ",Y38,IFERROR(VLOOKUP(R38,IF('Spek Produk'!$F$9="Syariah",Medic!$A$21:$L$27,Medic!$A$12:$L$18),MATCH(T38,IF('Spek Produk'!$F$9="Syariah",Medic!$B$21:$L$21,Medic!$B$12:$L$12),TRUE)+1),""))</f>
        <v/>
      </c>
      <c r="V38" s="91">
        <f t="shared" ref="V38:V55" si="7">IF(Y38&lt;&gt;" ",Y38,IF(T38="","",IFERROR(IF(R38=0,0,ROUND(IF(K38*12+L38&lt;12,VLOOKUP(K38*12+L38,Faktor_Multiplier,2,FALSE)*VLOOKUP(R38,IF(M38="Menurun",Premium_Table_Dec,Premium_Table_Flat),2,FALSE),VLOOKUP(R38,IF(M38="Menurun",Premium_Table_Dec,Premium_Table_Flat),K38+1,FALSE)+IFERROR((VLOOKUP(R38,IF(M38="Menurun",Premium_Table_Dec,Premium_Table_Flat),K38+2,FALSE)-VLOOKUP(R38,IF(M38="Menurun",Premium_Table_Dec,Premium_Table_Flat),K38+1,FALSE)),0)*L38/12),2)*T38/1000),"Perhatikan Ketentuan Usia + Masa Asuransi")))</f>
        <v>0</v>
      </c>
      <c r="W38" s="41" t="str">
        <f t="shared" si="3"/>
        <v/>
      </c>
      <c r="X38" s="91" t="str">
        <f t="shared" si="4"/>
        <v/>
      </c>
      <c r="Y38" s="77" t="str" cm="1">
        <f t="array" ref="Y38">IF(M38="Menurun",IF(AND(R38&gt;'Spek Produk'!$I$23,R38&lt;&gt;""),"Usia masuk lebih besar dari fitur produk",IF(AND(R38&lt;'Spek Produk'!$G$23,R38&lt;&gt;0,R38&lt;&gt;""),"Usia masuk lebih rendah dari fitur produk",IF(OR(O38&gt;_xlfn.IFS(R38+K38+(L38/12)&lt;='Spek Produk'!$C$40,'Spek Produk'!$D$40,R38+K38+(L38/12)&gt;'Spek Produk'!$C$40,'Spek Produk'!$D$41),T38&gt;_xlfn.IFS(R38+K38+(L38/12)&lt;='Spek Produk'!$C$40,'Spek Produk'!$D$40,R38+K38+(L38/12)&gt;'Spek Produk'!$C$40,'Spek Produk'!$D$41),IFERROR(VLOOKUP(R38,IF('Spek Produk'!$F$9="Syariah",Medic!$A$21:$L$27,Medic!$A$12:$L$18),MATCH(T38,IF('Spek Produk'!$F$9="Syariah",Medic!$B$21:$L$21,Medic!$B$12:$L$12),TRUE)+1)="-","")),"UP lebih besar dari fitur produk",IF(K38+L38/12&gt;'Spek Produk'!$I$22,"Masa asuransi lebih besar dari fitur produk",IF(AND(R38+K38+L38/12&gt;'Spek Produk'!$H$24,R38&lt;&gt;0,R38&lt;&gt;""),"Maksimum masa asuransi untuk nasabah berusia "&amp;R38&amp;" tahun adalah "&amp;MAX(0,'Spek Produk'!$H$24-R38)&amp;" tahun",IF(AND(0&lt;K38+L38/12,K38+L38/12&lt;'Spek Produk'!$G$22),"Masa asuransi lebih kecil dari fitur produk"," ")))))),IF(AND(R38&gt;'Spek Produk'!$I$35,R38&lt;&gt;""),"Usia masuk lebih besar dari fitur produk",IF(AND(R38&lt;'Spek Produk'!$G$35,R38&lt;&gt;0,R38&lt;&gt;""),"Usia masuk lebih rendah dari fitur produk",IF(OR(O38&gt;_xlfn.IFS(R38+K38+(L38/12)&lt;='Spek Produk'!$C$40,'Spek Produk'!$D$40,R38+K38+(L38/12)&gt;'Spek Produk'!$C$40,'Spek Produk'!$D$41),T38&gt;_xlfn.IFS(R38+K38+(L38/12)&lt;='Spek Produk'!$C$40,'Spek Produk'!$D$40,R38+K38+(L38/12)&gt;'Spek Produk'!$C$40,'Spek Produk'!$D$41),IFERROR(VLOOKUP(R38,IF('Spek Produk'!$F$9="Syariah",Medic!$A$21:$L$27,Medic!$A$12:$L$18),MATCH(T38,IF('Spek Produk'!$F$9="Syariah",Medic!$B$21:$L$21,Medic!$B$12:$L$12),TRUE)+1)="-","")),"UP lebih besar dari fitur produk",IF(K38+L38/12&gt;'Spek Produk'!$I$34,"Masa asuransi lebih besar dari fitur produk",IF(AND(R38+K38+L38/12&gt;'Spek Produk'!$H$36,R38&lt;&gt;0,R38&lt;&gt;""),"Maksimum masa asuransi untuk nasabah berusia "&amp;R38&amp;" tahun adalah "&amp;MAX(0,'Spek Produk'!$H$36-R38)&amp;" tahun",IF(AND(0&lt;K38+L38/12,K38+L38/12&lt;'Spek Produk'!$G$34),"Masa asuransi lebih Kecil dari fitur produk"," ")))))))</f>
        <v xml:space="preserve"> </v>
      </c>
      <c r="Z38" s="77"/>
    </row>
    <row r="39" spans="1:26" x14ac:dyDescent="0.25">
      <c r="A39" s="43">
        <f t="shared" si="5"/>
        <v>34</v>
      </c>
      <c r="B39" s="34"/>
      <c r="C39" s="35"/>
      <c r="D39" s="34"/>
      <c r="E39" s="36"/>
      <c r="F39" s="33"/>
      <c r="G39" s="33"/>
      <c r="H39" s="37"/>
      <c r="I39" s="88"/>
      <c r="J39" s="88"/>
      <c r="K39" s="33"/>
      <c r="L39" s="33"/>
      <c r="M39" s="33"/>
      <c r="N39" s="33"/>
      <c r="O39" s="38"/>
      <c r="Q39" s="108">
        <v>0</v>
      </c>
      <c r="R39" s="39">
        <f t="shared" si="1"/>
        <v>0</v>
      </c>
      <c r="S39" s="111">
        <f t="shared" si="6"/>
        <v>0</v>
      </c>
      <c r="T39" s="105">
        <f>IF(N39="Yes",IF(O39/(1-(IFERROR(IF(R39=0,0,ROUND(IF(K39*12+L39&lt;12,VLOOKUP(K39*12+L39,Faktor_Multiplier,2,FALSE)*VLOOKUP(R39,IF(M39="Menurun",Premium_Table_Dec,Premium_Table_Flat),2,FALSE),VLOOKUP(R39,IF(M39="Menurun",Premium_Table_Dec,Premium_Table_Flat),K39+1,FALSE)+IFERROR((VLOOKUP(R39,IF(M39="Menurun",Premium_Table_Dec,Premium_Table_Flat),K39+2,FALSE)-VLOOKUP(R39,IF(M39="Menurun",Premium_Table_Dec,Premium_Table_Flat),K39+1,FALSE)),0)*L39/12),2)+
ROUND(IF(K39*12+L39&lt;12,VLOOKUP(K39*12+L39,Faktor_Multiplier,2,FALSE)*VLOOKUP(R39,IF(M39="Menurun",Premium_Table_Dec,Premium_Table_Flat),2,FALSE),VLOOKUP(R39,IF(M39="Menurun",Premium_Table_Dec,Premium_Table_Flat),K39+1,FALSE)+IFERROR((VLOOKUP(R39,IF(M39="Menurun",Premium_Table_Dec,Premium_Table_Flat),K39+2,FALSE)-VLOOKUP(R39,IF(M39="Menurun",Premium_Table_Dec,Premium_Table_Flat),K39+1,FALSE)),0)*L39/12),2)*Q39/100),"Perhatikan Ketentuan Usia + Masa Asuransi")/1000))&gt;'Spek Produk'!$F$8,"UP lebih besar dari fitur produk",O39/(1-(IFERROR(IF(R39=0,0,ROUND(IF(K39*12+L39&lt;12,VLOOKUP(K39*12+L39,Faktor_Multiplier,2,FALSE)*VLOOKUP(R39,IF(M39="Menurun",Premium_Table_Dec,Premium_Table_Flat),2,FALSE),VLOOKUP(R39,IF(M39="Menurun",Premium_Table_Dec,Premium_Table_Flat),K39+1,FALSE)+IFERROR((VLOOKUP(R39,IF(M39="Menurun",Premium_Table_Dec,Premium_Table_Flat),K39+2,FALSE)-VLOOKUP(R39,IF(M39="Menurun",Premium_Table_Dec,Premium_Table_Flat),K39+1,FALSE)),0)*L39/12),2)+
ROUND(IF(K39*12+L39&lt;12,VLOOKUP(K39*12+L39,Faktor_Multiplier,2,FALSE)*VLOOKUP(R39,IF(M39="Menurun",Premium_Table_Dec,Premium_Table_Flat),2,FALSE),VLOOKUP(R39,IF(M39="Menurun",Premium_Table_Dec,Premium_Table_Flat),K39+1,FALSE)+IFERROR((VLOOKUP(R39,IF(M39="Menurun",Premium_Table_Dec,Premium_Table_Flat),K39+2,FALSE)-VLOOKUP(R39,IF(M39="Menurun",Premium_Table_Dec,Premium_Table_Flat),K39+1,FALSE)),0)*L39/12),2)*Q39/100),"Perhatikan Ketentuan Usia + Masa Asuransi")/1000))),O39)</f>
        <v>0</v>
      </c>
      <c r="U39" s="40" t="str">
        <f>IF(Y39&lt;&gt;" ",Y39,IFERROR(VLOOKUP(R39,IF('Spek Produk'!$F$9="Syariah",Medic!$A$21:$L$27,Medic!$A$12:$L$18),MATCH(T39,IF('Spek Produk'!$F$9="Syariah",Medic!$B$21:$L$21,Medic!$B$12:$L$12),TRUE)+1),""))</f>
        <v/>
      </c>
      <c r="V39" s="91">
        <f t="shared" si="7"/>
        <v>0</v>
      </c>
      <c r="W39" s="41" t="str">
        <f t="shared" si="3"/>
        <v/>
      </c>
      <c r="X39" s="91" t="str">
        <f t="shared" si="4"/>
        <v/>
      </c>
      <c r="Y39" s="77" t="str" cm="1">
        <f t="array" ref="Y39">IF(M39="Menurun",IF(AND(R39&gt;'Spek Produk'!$I$23,R39&lt;&gt;""),"Usia masuk lebih besar dari fitur produk",IF(AND(R39&lt;'Spek Produk'!$G$23,R39&lt;&gt;0,R39&lt;&gt;""),"Usia masuk lebih rendah dari fitur produk",IF(OR(O39&gt;_xlfn.IFS(R39+K39+(L39/12)&lt;='Spek Produk'!$C$40,'Spek Produk'!$D$40,R39+K39+(L39/12)&gt;'Spek Produk'!$C$40,'Spek Produk'!$D$41),T39&gt;_xlfn.IFS(R39+K39+(L39/12)&lt;='Spek Produk'!$C$40,'Spek Produk'!$D$40,R39+K39+(L39/12)&gt;'Spek Produk'!$C$40,'Spek Produk'!$D$41),IFERROR(VLOOKUP(R39,IF('Spek Produk'!$F$9="Syariah",Medic!$A$21:$L$27,Medic!$A$12:$L$18),MATCH(T39,IF('Spek Produk'!$F$9="Syariah",Medic!$B$21:$L$21,Medic!$B$12:$L$12),TRUE)+1)="-","")),"UP lebih besar dari fitur produk",IF(K39+L39/12&gt;'Spek Produk'!$I$22,"Masa asuransi lebih besar dari fitur produk",IF(AND(R39+K39+L39/12&gt;'Spek Produk'!$H$24,R39&lt;&gt;0,R39&lt;&gt;""),"Maksimum masa asuransi untuk nasabah berusia "&amp;R39&amp;" tahun adalah "&amp;MAX(0,'Spek Produk'!$H$24-R39)&amp;" tahun",IF(AND(0&lt;K39+L39/12,K39+L39/12&lt;'Spek Produk'!$G$22),"Masa asuransi lebih kecil dari fitur produk"," ")))))),IF(AND(R39&gt;'Spek Produk'!$I$35,R39&lt;&gt;""),"Usia masuk lebih besar dari fitur produk",IF(AND(R39&lt;'Spek Produk'!$G$35,R39&lt;&gt;0,R39&lt;&gt;""),"Usia masuk lebih rendah dari fitur produk",IF(OR(O39&gt;_xlfn.IFS(R39+K39+(L39/12)&lt;='Spek Produk'!$C$40,'Spek Produk'!$D$40,R39+K39+(L39/12)&gt;'Spek Produk'!$C$40,'Spek Produk'!$D$41),T39&gt;_xlfn.IFS(R39+K39+(L39/12)&lt;='Spek Produk'!$C$40,'Spek Produk'!$D$40,R39+K39+(L39/12)&gt;'Spek Produk'!$C$40,'Spek Produk'!$D$41),IFERROR(VLOOKUP(R39,IF('Spek Produk'!$F$9="Syariah",Medic!$A$21:$L$27,Medic!$A$12:$L$18),MATCH(T39,IF('Spek Produk'!$F$9="Syariah",Medic!$B$21:$L$21,Medic!$B$12:$L$12),TRUE)+1)="-","")),"UP lebih besar dari fitur produk",IF(K39+L39/12&gt;'Spek Produk'!$I$34,"Masa asuransi lebih besar dari fitur produk",IF(AND(R39+K39+L39/12&gt;'Spek Produk'!$H$36,R39&lt;&gt;0,R39&lt;&gt;""),"Maksimum masa asuransi untuk nasabah berusia "&amp;R39&amp;" tahun adalah "&amp;MAX(0,'Spek Produk'!$H$36-R39)&amp;" tahun",IF(AND(0&lt;K39+L39/12,K39+L39/12&lt;'Spek Produk'!$G$34),"Masa asuransi lebih Kecil dari fitur produk"," ")))))))</f>
        <v xml:space="preserve"> </v>
      </c>
      <c r="Z39" s="77"/>
    </row>
    <row r="40" spans="1:26" x14ac:dyDescent="0.25">
      <c r="A40" s="43">
        <f t="shared" si="5"/>
        <v>35</v>
      </c>
      <c r="B40" s="34"/>
      <c r="C40" s="35"/>
      <c r="D40" s="34"/>
      <c r="E40" s="36"/>
      <c r="F40" s="33"/>
      <c r="G40" s="33"/>
      <c r="H40" s="37"/>
      <c r="I40" s="88"/>
      <c r="J40" s="88"/>
      <c r="K40" s="33"/>
      <c r="L40" s="33"/>
      <c r="M40" s="33"/>
      <c r="N40" s="33"/>
      <c r="O40" s="38"/>
      <c r="Q40" s="108">
        <v>0</v>
      </c>
      <c r="R40" s="39">
        <f t="shared" si="1"/>
        <v>0</v>
      </c>
      <c r="S40" s="111">
        <f t="shared" si="6"/>
        <v>0</v>
      </c>
      <c r="T40" s="105">
        <f>IF(N40="Yes",IF(O40/(1-(IFERROR(IF(R40=0,0,ROUND(IF(K40*12+L40&lt;12,VLOOKUP(K40*12+L40,Faktor_Multiplier,2,FALSE)*VLOOKUP(R40,IF(M40="Menurun",Premium_Table_Dec,Premium_Table_Flat),2,FALSE),VLOOKUP(R40,IF(M40="Menurun",Premium_Table_Dec,Premium_Table_Flat),K40+1,FALSE)+IFERROR((VLOOKUP(R40,IF(M40="Menurun",Premium_Table_Dec,Premium_Table_Flat),K40+2,FALSE)-VLOOKUP(R40,IF(M40="Menurun",Premium_Table_Dec,Premium_Table_Flat),K40+1,FALSE)),0)*L40/12),2)+
ROUND(IF(K40*12+L40&lt;12,VLOOKUP(K40*12+L40,Faktor_Multiplier,2,FALSE)*VLOOKUP(R40,IF(M40="Menurun",Premium_Table_Dec,Premium_Table_Flat),2,FALSE),VLOOKUP(R40,IF(M40="Menurun",Premium_Table_Dec,Premium_Table_Flat),K40+1,FALSE)+IFERROR((VLOOKUP(R40,IF(M40="Menurun",Premium_Table_Dec,Premium_Table_Flat),K40+2,FALSE)-VLOOKUP(R40,IF(M40="Menurun",Premium_Table_Dec,Premium_Table_Flat),K40+1,FALSE)),0)*L40/12),2)*Q40/100),"Perhatikan Ketentuan Usia + Masa Asuransi")/1000))&gt;'Spek Produk'!$F$8,"UP lebih besar dari fitur produk",O40/(1-(IFERROR(IF(R40=0,0,ROUND(IF(K40*12+L40&lt;12,VLOOKUP(K40*12+L40,Faktor_Multiplier,2,FALSE)*VLOOKUP(R40,IF(M40="Menurun",Premium_Table_Dec,Premium_Table_Flat),2,FALSE),VLOOKUP(R40,IF(M40="Menurun",Premium_Table_Dec,Premium_Table_Flat),K40+1,FALSE)+IFERROR((VLOOKUP(R40,IF(M40="Menurun",Premium_Table_Dec,Premium_Table_Flat),K40+2,FALSE)-VLOOKUP(R40,IF(M40="Menurun",Premium_Table_Dec,Premium_Table_Flat),K40+1,FALSE)),0)*L40/12),2)+
ROUND(IF(K40*12+L40&lt;12,VLOOKUP(K40*12+L40,Faktor_Multiplier,2,FALSE)*VLOOKUP(R40,IF(M40="Menurun",Premium_Table_Dec,Premium_Table_Flat),2,FALSE),VLOOKUP(R40,IF(M40="Menurun",Premium_Table_Dec,Premium_Table_Flat),K40+1,FALSE)+IFERROR((VLOOKUP(R40,IF(M40="Menurun",Premium_Table_Dec,Premium_Table_Flat),K40+2,FALSE)-VLOOKUP(R40,IF(M40="Menurun",Premium_Table_Dec,Premium_Table_Flat),K40+1,FALSE)),0)*L40/12),2)*Q40/100),"Perhatikan Ketentuan Usia + Masa Asuransi")/1000))),O40)</f>
        <v>0</v>
      </c>
      <c r="U40" s="40" t="str">
        <f>IF(Y40&lt;&gt;" ",Y40,IFERROR(VLOOKUP(R40,IF('Spek Produk'!$F$9="Syariah",Medic!$A$21:$L$27,Medic!$A$12:$L$18),MATCH(T40,IF('Spek Produk'!$F$9="Syariah",Medic!$B$21:$L$21,Medic!$B$12:$L$12),TRUE)+1),""))</f>
        <v/>
      </c>
      <c r="V40" s="91">
        <f t="shared" si="7"/>
        <v>0</v>
      </c>
      <c r="W40" s="41" t="str">
        <f t="shared" si="3"/>
        <v/>
      </c>
      <c r="X40" s="91" t="str">
        <f t="shared" si="4"/>
        <v/>
      </c>
      <c r="Y40" s="77" t="str" cm="1">
        <f t="array" ref="Y40">IF(M40="Menurun",IF(AND(R40&gt;'Spek Produk'!$I$23,R40&lt;&gt;""),"Usia masuk lebih besar dari fitur produk",IF(AND(R40&lt;'Spek Produk'!$G$23,R40&lt;&gt;0,R40&lt;&gt;""),"Usia masuk lebih rendah dari fitur produk",IF(OR(O40&gt;_xlfn.IFS(R40+K40+(L40/12)&lt;='Spek Produk'!$C$40,'Spek Produk'!$D$40,R40+K40+(L40/12)&gt;'Spek Produk'!$C$40,'Spek Produk'!$D$41),T40&gt;_xlfn.IFS(R40+K40+(L40/12)&lt;='Spek Produk'!$C$40,'Spek Produk'!$D$40,R40+K40+(L40/12)&gt;'Spek Produk'!$C$40,'Spek Produk'!$D$41),IFERROR(VLOOKUP(R40,IF('Spek Produk'!$F$9="Syariah",Medic!$A$21:$L$27,Medic!$A$12:$L$18),MATCH(T40,IF('Spek Produk'!$F$9="Syariah",Medic!$B$21:$L$21,Medic!$B$12:$L$12),TRUE)+1)="-","")),"UP lebih besar dari fitur produk",IF(K40+L40/12&gt;'Spek Produk'!$I$22,"Masa asuransi lebih besar dari fitur produk",IF(AND(R40+K40+L40/12&gt;'Spek Produk'!$H$24,R40&lt;&gt;0,R40&lt;&gt;""),"Maksimum masa asuransi untuk nasabah berusia "&amp;R40&amp;" tahun adalah "&amp;MAX(0,'Spek Produk'!$H$24-R40)&amp;" tahun",IF(AND(0&lt;K40+L40/12,K40+L40/12&lt;'Spek Produk'!$G$22),"Masa asuransi lebih kecil dari fitur produk"," ")))))),IF(AND(R40&gt;'Spek Produk'!$I$35,R40&lt;&gt;""),"Usia masuk lebih besar dari fitur produk",IF(AND(R40&lt;'Spek Produk'!$G$35,R40&lt;&gt;0,R40&lt;&gt;""),"Usia masuk lebih rendah dari fitur produk",IF(OR(O40&gt;_xlfn.IFS(R40+K40+(L40/12)&lt;='Spek Produk'!$C$40,'Spek Produk'!$D$40,R40+K40+(L40/12)&gt;'Spek Produk'!$C$40,'Spek Produk'!$D$41),T40&gt;_xlfn.IFS(R40+K40+(L40/12)&lt;='Spek Produk'!$C$40,'Spek Produk'!$D$40,R40+K40+(L40/12)&gt;'Spek Produk'!$C$40,'Spek Produk'!$D$41),IFERROR(VLOOKUP(R40,IF('Spek Produk'!$F$9="Syariah",Medic!$A$21:$L$27,Medic!$A$12:$L$18),MATCH(T40,IF('Spek Produk'!$F$9="Syariah",Medic!$B$21:$L$21,Medic!$B$12:$L$12),TRUE)+1)="-","")),"UP lebih besar dari fitur produk",IF(K40+L40/12&gt;'Spek Produk'!$I$34,"Masa asuransi lebih besar dari fitur produk",IF(AND(R40+K40+L40/12&gt;'Spek Produk'!$H$36,R40&lt;&gt;0,R40&lt;&gt;""),"Maksimum masa asuransi untuk nasabah berusia "&amp;R40&amp;" tahun adalah "&amp;MAX(0,'Spek Produk'!$H$36-R40)&amp;" tahun",IF(AND(0&lt;K40+L40/12,K40+L40/12&lt;'Spek Produk'!$G$34),"Masa asuransi lebih Kecil dari fitur produk"," ")))))))</f>
        <v xml:space="preserve"> </v>
      </c>
      <c r="Z40" s="77"/>
    </row>
    <row r="41" spans="1:26" x14ac:dyDescent="0.25">
      <c r="A41" s="43">
        <f t="shared" si="5"/>
        <v>36</v>
      </c>
      <c r="B41" s="34"/>
      <c r="C41" s="35"/>
      <c r="D41" s="34"/>
      <c r="E41" s="36"/>
      <c r="F41" s="33"/>
      <c r="G41" s="33"/>
      <c r="H41" s="37"/>
      <c r="I41" s="88"/>
      <c r="J41" s="88"/>
      <c r="K41" s="33"/>
      <c r="L41" s="33"/>
      <c r="M41" s="33"/>
      <c r="N41" s="33"/>
      <c r="O41" s="38"/>
      <c r="Q41" s="108">
        <v>0</v>
      </c>
      <c r="R41" s="39">
        <f t="shared" si="1"/>
        <v>0</v>
      </c>
      <c r="S41" s="111">
        <f t="shared" si="6"/>
        <v>0</v>
      </c>
      <c r="T41" s="105">
        <f>IF(N41="Yes",IF(O41/(1-(IFERROR(IF(R41=0,0,ROUND(IF(K41*12+L41&lt;12,VLOOKUP(K41*12+L41,Faktor_Multiplier,2,FALSE)*VLOOKUP(R41,IF(M41="Menurun",Premium_Table_Dec,Premium_Table_Flat),2,FALSE),VLOOKUP(R41,IF(M41="Menurun",Premium_Table_Dec,Premium_Table_Flat),K41+1,FALSE)+IFERROR((VLOOKUP(R41,IF(M41="Menurun",Premium_Table_Dec,Premium_Table_Flat),K41+2,FALSE)-VLOOKUP(R41,IF(M41="Menurun",Premium_Table_Dec,Premium_Table_Flat),K41+1,FALSE)),0)*L41/12),2)+
ROUND(IF(K41*12+L41&lt;12,VLOOKUP(K41*12+L41,Faktor_Multiplier,2,FALSE)*VLOOKUP(R41,IF(M41="Menurun",Premium_Table_Dec,Premium_Table_Flat),2,FALSE),VLOOKUP(R41,IF(M41="Menurun",Premium_Table_Dec,Premium_Table_Flat),K41+1,FALSE)+IFERROR((VLOOKUP(R41,IF(M41="Menurun",Premium_Table_Dec,Premium_Table_Flat),K41+2,FALSE)-VLOOKUP(R41,IF(M41="Menurun",Premium_Table_Dec,Premium_Table_Flat),K41+1,FALSE)),0)*L41/12),2)*Q41/100),"Perhatikan Ketentuan Usia + Masa Asuransi")/1000))&gt;'Spek Produk'!$F$8,"UP lebih besar dari fitur produk",O41/(1-(IFERROR(IF(R41=0,0,ROUND(IF(K41*12+L41&lt;12,VLOOKUP(K41*12+L41,Faktor_Multiplier,2,FALSE)*VLOOKUP(R41,IF(M41="Menurun",Premium_Table_Dec,Premium_Table_Flat),2,FALSE),VLOOKUP(R41,IF(M41="Menurun",Premium_Table_Dec,Premium_Table_Flat),K41+1,FALSE)+IFERROR((VLOOKUP(R41,IF(M41="Menurun",Premium_Table_Dec,Premium_Table_Flat),K41+2,FALSE)-VLOOKUP(R41,IF(M41="Menurun",Premium_Table_Dec,Premium_Table_Flat),K41+1,FALSE)),0)*L41/12),2)+
ROUND(IF(K41*12+L41&lt;12,VLOOKUP(K41*12+L41,Faktor_Multiplier,2,FALSE)*VLOOKUP(R41,IF(M41="Menurun",Premium_Table_Dec,Premium_Table_Flat),2,FALSE),VLOOKUP(R41,IF(M41="Menurun",Premium_Table_Dec,Premium_Table_Flat),K41+1,FALSE)+IFERROR((VLOOKUP(R41,IF(M41="Menurun",Premium_Table_Dec,Premium_Table_Flat),K41+2,FALSE)-VLOOKUP(R41,IF(M41="Menurun",Premium_Table_Dec,Premium_Table_Flat),K41+1,FALSE)),0)*L41/12),2)*Q41/100),"Perhatikan Ketentuan Usia + Masa Asuransi")/1000))),O41)</f>
        <v>0</v>
      </c>
      <c r="U41" s="40" t="str">
        <f>IF(Y41&lt;&gt;" ",Y41,IFERROR(VLOOKUP(R41,IF('Spek Produk'!$F$9="Syariah",Medic!$A$21:$L$27,Medic!$A$12:$L$18),MATCH(T41,IF('Spek Produk'!$F$9="Syariah",Medic!$B$21:$L$21,Medic!$B$12:$L$12),TRUE)+1),""))</f>
        <v/>
      </c>
      <c r="V41" s="91">
        <f t="shared" si="7"/>
        <v>0</v>
      </c>
      <c r="W41" s="41" t="str">
        <f t="shared" si="3"/>
        <v/>
      </c>
      <c r="X41" s="91" t="str">
        <f t="shared" si="4"/>
        <v/>
      </c>
      <c r="Y41" s="77" t="str" cm="1">
        <f t="array" ref="Y41">IF(M41="Menurun",IF(AND(R41&gt;'Spek Produk'!$I$23,R41&lt;&gt;""),"Usia masuk lebih besar dari fitur produk",IF(AND(R41&lt;'Spek Produk'!$G$23,R41&lt;&gt;0,R41&lt;&gt;""),"Usia masuk lebih rendah dari fitur produk",IF(OR(O41&gt;_xlfn.IFS(R41+K41+(L41/12)&lt;='Spek Produk'!$C$40,'Spek Produk'!$D$40,R41+K41+(L41/12)&gt;'Spek Produk'!$C$40,'Spek Produk'!$D$41),T41&gt;_xlfn.IFS(R41+K41+(L41/12)&lt;='Spek Produk'!$C$40,'Spek Produk'!$D$40,R41+K41+(L41/12)&gt;'Spek Produk'!$C$40,'Spek Produk'!$D$41),IFERROR(VLOOKUP(R41,IF('Spek Produk'!$F$9="Syariah",Medic!$A$21:$L$27,Medic!$A$12:$L$18),MATCH(T41,IF('Spek Produk'!$F$9="Syariah",Medic!$B$21:$L$21,Medic!$B$12:$L$12),TRUE)+1)="-","")),"UP lebih besar dari fitur produk",IF(K41+L41/12&gt;'Spek Produk'!$I$22,"Masa asuransi lebih besar dari fitur produk",IF(AND(R41+K41+L41/12&gt;'Spek Produk'!$H$24,R41&lt;&gt;0,R41&lt;&gt;""),"Maksimum masa asuransi untuk nasabah berusia "&amp;R41&amp;" tahun adalah "&amp;MAX(0,'Spek Produk'!$H$24-R41)&amp;" tahun",IF(AND(0&lt;K41+L41/12,K41+L41/12&lt;'Spek Produk'!$G$22),"Masa asuransi lebih kecil dari fitur produk"," ")))))),IF(AND(R41&gt;'Spek Produk'!$I$35,R41&lt;&gt;""),"Usia masuk lebih besar dari fitur produk",IF(AND(R41&lt;'Spek Produk'!$G$35,R41&lt;&gt;0,R41&lt;&gt;""),"Usia masuk lebih rendah dari fitur produk",IF(OR(O41&gt;_xlfn.IFS(R41+K41+(L41/12)&lt;='Spek Produk'!$C$40,'Spek Produk'!$D$40,R41+K41+(L41/12)&gt;'Spek Produk'!$C$40,'Spek Produk'!$D$41),T41&gt;_xlfn.IFS(R41+K41+(L41/12)&lt;='Spek Produk'!$C$40,'Spek Produk'!$D$40,R41+K41+(L41/12)&gt;'Spek Produk'!$C$40,'Spek Produk'!$D$41),IFERROR(VLOOKUP(R41,IF('Spek Produk'!$F$9="Syariah",Medic!$A$21:$L$27,Medic!$A$12:$L$18),MATCH(T41,IF('Spek Produk'!$F$9="Syariah",Medic!$B$21:$L$21,Medic!$B$12:$L$12),TRUE)+1)="-","")),"UP lebih besar dari fitur produk",IF(K41+L41/12&gt;'Spek Produk'!$I$34,"Masa asuransi lebih besar dari fitur produk",IF(AND(R41+K41+L41/12&gt;'Spek Produk'!$H$36,R41&lt;&gt;0,R41&lt;&gt;""),"Maksimum masa asuransi untuk nasabah berusia "&amp;R41&amp;" tahun adalah "&amp;MAX(0,'Spek Produk'!$H$36-R41)&amp;" tahun",IF(AND(0&lt;K41+L41/12,K41+L41/12&lt;'Spek Produk'!$G$34),"Masa asuransi lebih Kecil dari fitur produk"," ")))))))</f>
        <v xml:space="preserve"> </v>
      </c>
      <c r="Z41" s="77"/>
    </row>
    <row r="42" spans="1:26" x14ac:dyDescent="0.25">
      <c r="A42" s="43">
        <f t="shared" si="5"/>
        <v>37</v>
      </c>
      <c r="B42" s="34"/>
      <c r="C42" s="35"/>
      <c r="D42" s="34"/>
      <c r="E42" s="36"/>
      <c r="F42" s="33"/>
      <c r="G42" s="33"/>
      <c r="H42" s="37"/>
      <c r="I42" s="88"/>
      <c r="J42" s="88"/>
      <c r="K42" s="33"/>
      <c r="L42" s="33"/>
      <c r="M42" s="33"/>
      <c r="N42" s="33"/>
      <c r="O42" s="38"/>
      <c r="Q42" s="108">
        <v>0</v>
      </c>
      <c r="R42" s="39">
        <f t="shared" si="1"/>
        <v>0</v>
      </c>
      <c r="S42" s="111">
        <f t="shared" si="6"/>
        <v>0</v>
      </c>
      <c r="T42" s="105">
        <f>IF(N42="Yes",IF(O42/(1-(IFERROR(IF(R42=0,0,ROUND(IF(K42*12+L42&lt;12,VLOOKUP(K42*12+L42,Faktor_Multiplier,2,FALSE)*VLOOKUP(R42,IF(M42="Menurun",Premium_Table_Dec,Premium_Table_Flat),2,FALSE),VLOOKUP(R42,IF(M42="Menurun",Premium_Table_Dec,Premium_Table_Flat),K42+1,FALSE)+IFERROR((VLOOKUP(R42,IF(M42="Menurun",Premium_Table_Dec,Premium_Table_Flat),K42+2,FALSE)-VLOOKUP(R42,IF(M42="Menurun",Premium_Table_Dec,Premium_Table_Flat),K42+1,FALSE)),0)*L42/12),2)+
ROUND(IF(K42*12+L42&lt;12,VLOOKUP(K42*12+L42,Faktor_Multiplier,2,FALSE)*VLOOKUP(R42,IF(M42="Menurun",Premium_Table_Dec,Premium_Table_Flat),2,FALSE),VLOOKUP(R42,IF(M42="Menurun",Premium_Table_Dec,Premium_Table_Flat),K42+1,FALSE)+IFERROR((VLOOKUP(R42,IF(M42="Menurun",Premium_Table_Dec,Premium_Table_Flat),K42+2,FALSE)-VLOOKUP(R42,IF(M42="Menurun",Premium_Table_Dec,Premium_Table_Flat),K42+1,FALSE)),0)*L42/12),2)*Q42/100),"Perhatikan Ketentuan Usia + Masa Asuransi")/1000))&gt;'Spek Produk'!$F$8,"UP lebih besar dari fitur produk",O42/(1-(IFERROR(IF(R42=0,0,ROUND(IF(K42*12+L42&lt;12,VLOOKUP(K42*12+L42,Faktor_Multiplier,2,FALSE)*VLOOKUP(R42,IF(M42="Menurun",Premium_Table_Dec,Premium_Table_Flat),2,FALSE),VLOOKUP(R42,IF(M42="Menurun",Premium_Table_Dec,Premium_Table_Flat),K42+1,FALSE)+IFERROR((VLOOKUP(R42,IF(M42="Menurun",Premium_Table_Dec,Premium_Table_Flat),K42+2,FALSE)-VLOOKUP(R42,IF(M42="Menurun",Premium_Table_Dec,Premium_Table_Flat),K42+1,FALSE)),0)*L42/12),2)+
ROUND(IF(K42*12+L42&lt;12,VLOOKUP(K42*12+L42,Faktor_Multiplier,2,FALSE)*VLOOKUP(R42,IF(M42="Menurun",Premium_Table_Dec,Premium_Table_Flat),2,FALSE),VLOOKUP(R42,IF(M42="Menurun",Premium_Table_Dec,Premium_Table_Flat),K42+1,FALSE)+IFERROR((VLOOKUP(R42,IF(M42="Menurun",Premium_Table_Dec,Premium_Table_Flat),K42+2,FALSE)-VLOOKUP(R42,IF(M42="Menurun",Premium_Table_Dec,Premium_Table_Flat),K42+1,FALSE)),0)*L42/12),2)*Q42/100),"Perhatikan Ketentuan Usia + Masa Asuransi")/1000))),O42)</f>
        <v>0</v>
      </c>
      <c r="U42" s="40" t="str">
        <f>IF(Y42&lt;&gt;" ",Y42,IFERROR(VLOOKUP(R42,IF('Spek Produk'!$F$9="Syariah",Medic!$A$21:$L$27,Medic!$A$12:$L$18),MATCH(T42,IF('Spek Produk'!$F$9="Syariah",Medic!$B$21:$L$21,Medic!$B$12:$L$12),TRUE)+1),""))</f>
        <v/>
      </c>
      <c r="V42" s="91">
        <f t="shared" si="7"/>
        <v>0</v>
      </c>
      <c r="W42" s="41" t="str">
        <f t="shared" si="3"/>
        <v/>
      </c>
      <c r="X42" s="91" t="str">
        <f t="shared" si="4"/>
        <v/>
      </c>
      <c r="Y42" s="77" t="str" cm="1">
        <f t="array" ref="Y42">IF(M42="Menurun",IF(AND(R42&gt;'Spek Produk'!$I$23,R42&lt;&gt;""),"Usia masuk lebih besar dari fitur produk",IF(AND(R42&lt;'Spek Produk'!$G$23,R42&lt;&gt;0,R42&lt;&gt;""),"Usia masuk lebih rendah dari fitur produk",IF(OR(O42&gt;_xlfn.IFS(R42+K42+(L42/12)&lt;='Spek Produk'!$C$40,'Spek Produk'!$D$40,R42+K42+(L42/12)&gt;'Spek Produk'!$C$40,'Spek Produk'!$D$41),T42&gt;_xlfn.IFS(R42+K42+(L42/12)&lt;='Spek Produk'!$C$40,'Spek Produk'!$D$40,R42+K42+(L42/12)&gt;'Spek Produk'!$C$40,'Spek Produk'!$D$41),IFERROR(VLOOKUP(R42,IF('Spek Produk'!$F$9="Syariah",Medic!$A$21:$L$27,Medic!$A$12:$L$18),MATCH(T42,IF('Spek Produk'!$F$9="Syariah",Medic!$B$21:$L$21,Medic!$B$12:$L$12),TRUE)+1)="-","")),"UP lebih besar dari fitur produk",IF(K42+L42/12&gt;'Spek Produk'!$I$22,"Masa asuransi lebih besar dari fitur produk",IF(AND(R42+K42+L42/12&gt;'Spek Produk'!$H$24,R42&lt;&gt;0,R42&lt;&gt;""),"Maksimum masa asuransi untuk nasabah berusia "&amp;R42&amp;" tahun adalah "&amp;MAX(0,'Spek Produk'!$H$24-R42)&amp;" tahun",IF(AND(0&lt;K42+L42/12,K42+L42/12&lt;'Spek Produk'!$G$22),"Masa asuransi lebih kecil dari fitur produk"," ")))))),IF(AND(R42&gt;'Spek Produk'!$I$35,R42&lt;&gt;""),"Usia masuk lebih besar dari fitur produk",IF(AND(R42&lt;'Spek Produk'!$G$35,R42&lt;&gt;0,R42&lt;&gt;""),"Usia masuk lebih rendah dari fitur produk",IF(OR(O42&gt;_xlfn.IFS(R42+K42+(L42/12)&lt;='Spek Produk'!$C$40,'Spek Produk'!$D$40,R42+K42+(L42/12)&gt;'Spek Produk'!$C$40,'Spek Produk'!$D$41),T42&gt;_xlfn.IFS(R42+K42+(L42/12)&lt;='Spek Produk'!$C$40,'Spek Produk'!$D$40,R42+K42+(L42/12)&gt;'Spek Produk'!$C$40,'Spek Produk'!$D$41),IFERROR(VLOOKUP(R42,IF('Spek Produk'!$F$9="Syariah",Medic!$A$21:$L$27,Medic!$A$12:$L$18),MATCH(T42,IF('Spek Produk'!$F$9="Syariah",Medic!$B$21:$L$21,Medic!$B$12:$L$12),TRUE)+1)="-","")),"UP lebih besar dari fitur produk",IF(K42+L42/12&gt;'Spek Produk'!$I$34,"Masa asuransi lebih besar dari fitur produk",IF(AND(R42+K42+L42/12&gt;'Spek Produk'!$H$36,R42&lt;&gt;0,R42&lt;&gt;""),"Maksimum masa asuransi untuk nasabah berusia "&amp;R42&amp;" tahun adalah "&amp;MAX(0,'Spek Produk'!$H$36-R42)&amp;" tahun",IF(AND(0&lt;K42+L42/12,K42+L42/12&lt;'Spek Produk'!$G$34),"Masa asuransi lebih Kecil dari fitur produk"," ")))))))</f>
        <v xml:space="preserve"> </v>
      </c>
      <c r="Z42" s="77"/>
    </row>
    <row r="43" spans="1:26" x14ac:dyDescent="0.25">
      <c r="A43" s="43">
        <f t="shared" si="5"/>
        <v>38</v>
      </c>
      <c r="B43" s="34"/>
      <c r="C43" s="35"/>
      <c r="D43" s="34"/>
      <c r="E43" s="36"/>
      <c r="F43" s="33"/>
      <c r="G43" s="33"/>
      <c r="H43" s="37"/>
      <c r="I43" s="88"/>
      <c r="J43" s="88"/>
      <c r="K43" s="33"/>
      <c r="L43" s="33"/>
      <c r="M43" s="33"/>
      <c r="N43" s="33"/>
      <c r="O43" s="38"/>
      <c r="Q43" s="108">
        <v>0</v>
      </c>
      <c r="R43" s="39">
        <f t="shared" si="1"/>
        <v>0</v>
      </c>
      <c r="S43" s="111">
        <f t="shared" si="6"/>
        <v>0</v>
      </c>
      <c r="T43" s="105">
        <f>IF(N43="Yes",IF(O43/(1-(IFERROR(IF(R43=0,0,ROUND(IF(K43*12+L43&lt;12,VLOOKUP(K43*12+L43,Faktor_Multiplier,2,FALSE)*VLOOKUP(R43,IF(M43="Menurun",Premium_Table_Dec,Premium_Table_Flat),2,FALSE),VLOOKUP(R43,IF(M43="Menurun",Premium_Table_Dec,Premium_Table_Flat),K43+1,FALSE)+IFERROR((VLOOKUP(R43,IF(M43="Menurun",Premium_Table_Dec,Premium_Table_Flat),K43+2,FALSE)-VLOOKUP(R43,IF(M43="Menurun",Premium_Table_Dec,Premium_Table_Flat),K43+1,FALSE)),0)*L43/12),2)+
ROUND(IF(K43*12+L43&lt;12,VLOOKUP(K43*12+L43,Faktor_Multiplier,2,FALSE)*VLOOKUP(R43,IF(M43="Menurun",Premium_Table_Dec,Premium_Table_Flat),2,FALSE),VLOOKUP(R43,IF(M43="Menurun",Premium_Table_Dec,Premium_Table_Flat),K43+1,FALSE)+IFERROR((VLOOKUP(R43,IF(M43="Menurun",Premium_Table_Dec,Premium_Table_Flat),K43+2,FALSE)-VLOOKUP(R43,IF(M43="Menurun",Premium_Table_Dec,Premium_Table_Flat),K43+1,FALSE)),0)*L43/12),2)*Q43/100),"Perhatikan Ketentuan Usia + Masa Asuransi")/1000))&gt;'Spek Produk'!$F$8,"UP lebih besar dari fitur produk",O43/(1-(IFERROR(IF(R43=0,0,ROUND(IF(K43*12+L43&lt;12,VLOOKUP(K43*12+L43,Faktor_Multiplier,2,FALSE)*VLOOKUP(R43,IF(M43="Menurun",Premium_Table_Dec,Premium_Table_Flat),2,FALSE),VLOOKUP(R43,IF(M43="Menurun",Premium_Table_Dec,Premium_Table_Flat),K43+1,FALSE)+IFERROR((VLOOKUP(R43,IF(M43="Menurun",Premium_Table_Dec,Premium_Table_Flat),K43+2,FALSE)-VLOOKUP(R43,IF(M43="Menurun",Premium_Table_Dec,Premium_Table_Flat),K43+1,FALSE)),0)*L43/12),2)+
ROUND(IF(K43*12+L43&lt;12,VLOOKUP(K43*12+L43,Faktor_Multiplier,2,FALSE)*VLOOKUP(R43,IF(M43="Menurun",Premium_Table_Dec,Premium_Table_Flat),2,FALSE),VLOOKUP(R43,IF(M43="Menurun",Premium_Table_Dec,Premium_Table_Flat),K43+1,FALSE)+IFERROR((VLOOKUP(R43,IF(M43="Menurun",Premium_Table_Dec,Premium_Table_Flat),K43+2,FALSE)-VLOOKUP(R43,IF(M43="Menurun",Premium_Table_Dec,Premium_Table_Flat),K43+1,FALSE)),0)*L43/12),2)*Q43/100),"Perhatikan Ketentuan Usia + Masa Asuransi")/1000))),O43)</f>
        <v>0</v>
      </c>
      <c r="U43" s="40" t="str">
        <f>IF(Y43&lt;&gt;" ",Y43,IFERROR(VLOOKUP(R43,IF('Spek Produk'!$F$9="Syariah",Medic!$A$21:$L$27,Medic!$A$12:$L$18),MATCH(T43,IF('Spek Produk'!$F$9="Syariah",Medic!$B$21:$L$21,Medic!$B$12:$L$12),TRUE)+1),""))</f>
        <v/>
      </c>
      <c r="V43" s="91">
        <f t="shared" si="7"/>
        <v>0</v>
      </c>
      <c r="W43" s="41" t="str">
        <f t="shared" si="3"/>
        <v/>
      </c>
      <c r="X43" s="91" t="str">
        <f t="shared" si="4"/>
        <v/>
      </c>
      <c r="Y43" s="77" t="str" cm="1">
        <f t="array" ref="Y43">IF(M43="Menurun",IF(AND(R43&gt;'Spek Produk'!$I$23,R43&lt;&gt;""),"Usia masuk lebih besar dari fitur produk",IF(AND(R43&lt;'Spek Produk'!$G$23,R43&lt;&gt;0,R43&lt;&gt;""),"Usia masuk lebih rendah dari fitur produk",IF(OR(O43&gt;_xlfn.IFS(R43+K43+(L43/12)&lt;='Spek Produk'!$C$40,'Spek Produk'!$D$40,R43+K43+(L43/12)&gt;'Spek Produk'!$C$40,'Spek Produk'!$D$41),T43&gt;_xlfn.IFS(R43+K43+(L43/12)&lt;='Spek Produk'!$C$40,'Spek Produk'!$D$40,R43+K43+(L43/12)&gt;'Spek Produk'!$C$40,'Spek Produk'!$D$41),IFERROR(VLOOKUP(R43,IF('Spek Produk'!$F$9="Syariah",Medic!$A$21:$L$27,Medic!$A$12:$L$18),MATCH(T43,IF('Spek Produk'!$F$9="Syariah",Medic!$B$21:$L$21,Medic!$B$12:$L$12),TRUE)+1)="-","")),"UP lebih besar dari fitur produk",IF(K43+L43/12&gt;'Spek Produk'!$I$22,"Masa asuransi lebih besar dari fitur produk",IF(AND(R43+K43+L43/12&gt;'Spek Produk'!$H$24,R43&lt;&gt;0,R43&lt;&gt;""),"Maksimum masa asuransi untuk nasabah berusia "&amp;R43&amp;" tahun adalah "&amp;MAX(0,'Spek Produk'!$H$24-R43)&amp;" tahun",IF(AND(0&lt;K43+L43/12,K43+L43/12&lt;'Spek Produk'!$G$22),"Masa asuransi lebih kecil dari fitur produk"," ")))))),IF(AND(R43&gt;'Spek Produk'!$I$35,R43&lt;&gt;""),"Usia masuk lebih besar dari fitur produk",IF(AND(R43&lt;'Spek Produk'!$G$35,R43&lt;&gt;0,R43&lt;&gt;""),"Usia masuk lebih rendah dari fitur produk",IF(OR(O43&gt;_xlfn.IFS(R43+K43+(L43/12)&lt;='Spek Produk'!$C$40,'Spek Produk'!$D$40,R43+K43+(L43/12)&gt;'Spek Produk'!$C$40,'Spek Produk'!$D$41),T43&gt;_xlfn.IFS(R43+K43+(L43/12)&lt;='Spek Produk'!$C$40,'Spek Produk'!$D$40,R43+K43+(L43/12)&gt;'Spek Produk'!$C$40,'Spek Produk'!$D$41),IFERROR(VLOOKUP(R43,IF('Spek Produk'!$F$9="Syariah",Medic!$A$21:$L$27,Medic!$A$12:$L$18),MATCH(T43,IF('Spek Produk'!$F$9="Syariah",Medic!$B$21:$L$21,Medic!$B$12:$L$12),TRUE)+1)="-","")),"UP lebih besar dari fitur produk",IF(K43+L43/12&gt;'Spek Produk'!$I$34,"Masa asuransi lebih besar dari fitur produk",IF(AND(R43+K43+L43/12&gt;'Spek Produk'!$H$36,R43&lt;&gt;0,R43&lt;&gt;""),"Maksimum masa asuransi untuk nasabah berusia "&amp;R43&amp;" tahun adalah "&amp;MAX(0,'Spek Produk'!$H$36-R43)&amp;" tahun",IF(AND(0&lt;K43+L43/12,K43+L43/12&lt;'Spek Produk'!$G$34),"Masa asuransi lebih Kecil dari fitur produk"," ")))))))</f>
        <v xml:space="preserve"> </v>
      </c>
      <c r="Z43" s="77"/>
    </row>
    <row r="44" spans="1:26" x14ac:dyDescent="0.25">
      <c r="A44" s="43">
        <f t="shared" si="5"/>
        <v>39</v>
      </c>
      <c r="B44" s="34"/>
      <c r="C44" s="35"/>
      <c r="D44" s="34"/>
      <c r="E44" s="36"/>
      <c r="F44" s="33"/>
      <c r="G44" s="33"/>
      <c r="H44" s="37"/>
      <c r="I44" s="88"/>
      <c r="J44" s="88"/>
      <c r="K44" s="33"/>
      <c r="L44" s="33"/>
      <c r="M44" s="33"/>
      <c r="N44" s="33"/>
      <c r="O44" s="38"/>
      <c r="Q44" s="108">
        <v>0</v>
      </c>
      <c r="R44" s="39">
        <f t="shared" si="1"/>
        <v>0</v>
      </c>
      <c r="S44" s="111">
        <f t="shared" si="6"/>
        <v>0</v>
      </c>
      <c r="T44" s="105">
        <f>IF(N44="Yes",IF(O44/(1-(IFERROR(IF(R44=0,0,ROUND(IF(K44*12+L44&lt;12,VLOOKUP(K44*12+L44,Faktor_Multiplier,2,FALSE)*VLOOKUP(R44,IF(M44="Menurun",Premium_Table_Dec,Premium_Table_Flat),2,FALSE),VLOOKUP(R44,IF(M44="Menurun",Premium_Table_Dec,Premium_Table_Flat),K44+1,FALSE)+IFERROR((VLOOKUP(R44,IF(M44="Menurun",Premium_Table_Dec,Premium_Table_Flat),K44+2,FALSE)-VLOOKUP(R44,IF(M44="Menurun",Premium_Table_Dec,Premium_Table_Flat),K44+1,FALSE)),0)*L44/12),2)+
ROUND(IF(K44*12+L44&lt;12,VLOOKUP(K44*12+L44,Faktor_Multiplier,2,FALSE)*VLOOKUP(R44,IF(M44="Menurun",Premium_Table_Dec,Premium_Table_Flat),2,FALSE),VLOOKUP(R44,IF(M44="Menurun",Premium_Table_Dec,Premium_Table_Flat),K44+1,FALSE)+IFERROR((VLOOKUP(R44,IF(M44="Menurun",Premium_Table_Dec,Premium_Table_Flat),K44+2,FALSE)-VLOOKUP(R44,IF(M44="Menurun",Premium_Table_Dec,Premium_Table_Flat),K44+1,FALSE)),0)*L44/12),2)*Q44/100),"Perhatikan Ketentuan Usia + Masa Asuransi")/1000))&gt;'Spek Produk'!$F$8,"UP lebih besar dari fitur produk",O44/(1-(IFERROR(IF(R44=0,0,ROUND(IF(K44*12+L44&lt;12,VLOOKUP(K44*12+L44,Faktor_Multiplier,2,FALSE)*VLOOKUP(R44,IF(M44="Menurun",Premium_Table_Dec,Premium_Table_Flat),2,FALSE),VLOOKUP(R44,IF(M44="Menurun",Premium_Table_Dec,Premium_Table_Flat),K44+1,FALSE)+IFERROR((VLOOKUP(R44,IF(M44="Menurun",Premium_Table_Dec,Premium_Table_Flat),K44+2,FALSE)-VLOOKUP(R44,IF(M44="Menurun",Premium_Table_Dec,Premium_Table_Flat),K44+1,FALSE)),0)*L44/12),2)+
ROUND(IF(K44*12+L44&lt;12,VLOOKUP(K44*12+L44,Faktor_Multiplier,2,FALSE)*VLOOKUP(R44,IF(M44="Menurun",Premium_Table_Dec,Premium_Table_Flat),2,FALSE),VLOOKUP(R44,IF(M44="Menurun",Premium_Table_Dec,Premium_Table_Flat),K44+1,FALSE)+IFERROR((VLOOKUP(R44,IF(M44="Menurun",Premium_Table_Dec,Premium_Table_Flat),K44+2,FALSE)-VLOOKUP(R44,IF(M44="Menurun",Premium_Table_Dec,Premium_Table_Flat),K44+1,FALSE)),0)*L44/12),2)*Q44/100),"Perhatikan Ketentuan Usia + Masa Asuransi")/1000))),O44)</f>
        <v>0</v>
      </c>
      <c r="U44" s="40" t="str">
        <f>IF(Y44&lt;&gt;" ",Y44,IFERROR(VLOOKUP(R44,IF('Spek Produk'!$F$9="Syariah",Medic!$A$21:$L$27,Medic!$A$12:$L$18),MATCH(T44,IF('Spek Produk'!$F$9="Syariah",Medic!$B$21:$L$21,Medic!$B$12:$L$12),TRUE)+1),""))</f>
        <v/>
      </c>
      <c r="V44" s="91">
        <f t="shared" si="7"/>
        <v>0</v>
      </c>
      <c r="W44" s="41" t="str">
        <f t="shared" si="3"/>
        <v/>
      </c>
      <c r="X44" s="91" t="str">
        <f t="shared" si="4"/>
        <v/>
      </c>
      <c r="Y44" s="77" t="str" cm="1">
        <f t="array" ref="Y44">IF(M44="Menurun",IF(AND(R44&gt;'Spek Produk'!$I$23,R44&lt;&gt;""),"Usia masuk lebih besar dari fitur produk",IF(AND(R44&lt;'Spek Produk'!$G$23,R44&lt;&gt;0,R44&lt;&gt;""),"Usia masuk lebih rendah dari fitur produk",IF(OR(O44&gt;_xlfn.IFS(R44+K44+(L44/12)&lt;='Spek Produk'!$C$40,'Spek Produk'!$D$40,R44+K44+(L44/12)&gt;'Spek Produk'!$C$40,'Spek Produk'!$D$41),T44&gt;_xlfn.IFS(R44+K44+(L44/12)&lt;='Spek Produk'!$C$40,'Spek Produk'!$D$40,R44+K44+(L44/12)&gt;'Spek Produk'!$C$40,'Spek Produk'!$D$41),IFERROR(VLOOKUP(R44,IF('Spek Produk'!$F$9="Syariah",Medic!$A$21:$L$27,Medic!$A$12:$L$18),MATCH(T44,IF('Spek Produk'!$F$9="Syariah",Medic!$B$21:$L$21,Medic!$B$12:$L$12),TRUE)+1)="-","")),"UP lebih besar dari fitur produk",IF(K44+L44/12&gt;'Spek Produk'!$I$22,"Masa asuransi lebih besar dari fitur produk",IF(AND(R44+K44+L44/12&gt;'Spek Produk'!$H$24,R44&lt;&gt;0,R44&lt;&gt;""),"Maksimum masa asuransi untuk nasabah berusia "&amp;R44&amp;" tahun adalah "&amp;MAX(0,'Spek Produk'!$H$24-R44)&amp;" tahun",IF(AND(0&lt;K44+L44/12,K44+L44/12&lt;'Spek Produk'!$G$22),"Masa asuransi lebih kecil dari fitur produk"," ")))))),IF(AND(R44&gt;'Spek Produk'!$I$35,R44&lt;&gt;""),"Usia masuk lebih besar dari fitur produk",IF(AND(R44&lt;'Spek Produk'!$G$35,R44&lt;&gt;0,R44&lt;&gt;""),"Usia masuk lebih rendah dari fitur produk",IF(OR(O44&gt;_xlfn.IFS(R44+K44+(L44/12)&lt;='Spek Produk'!$C$40,'Spek Produk'!$D$40,R44+K44+(L44/12)&gt;'Spek Produk'!$C$40,'Spek Produk'!$D$41),T44&gt;_xlfn.IFS(R44+K44+(L44/12)&lt;='Spek Produk'!$C$40,'Spek Produk'!$D$40,R44+K44+(L44/12)&gt;'Spek Produk'!$C$40,'Spek Produk'!$D$41),IFERROR(VLOOKUP(R44,IF('Spek Produk'!$F$9="Syariah",Medic!$A$21:$L$27,Medic!$A$12:$L$18),MATCH(T44,IF('Spek Produk'!$F$9="Syariah",Medic!$B$21:$L$21,Medic!$B$12:$L$12),TRUE)+1)="-","")),"UP lebih besar dari fitur produk",IF(K44+L44/12&gt;'Spek Produk'!$I$34,"Masa asuransi lebih besar dari fitur produk",IF(AND(R44+K44+L44/12&gt;'Spek Produk'!$H$36,R44&lt;&gt;0,R44&lt;&gt;""),"Maksimum masa asuransi untuk nasabah berusia "&amp;R44&amp;" tahun adalah "&amp;MAX(0,'Spek Produk'!$H$36-R44)&amp;" tahun",IF(AND(0&lt;K44+L44/12,K44+L44/12&lt;'Spek Produk'!$G$34),"Masa asuransi lebih Kecil dari fitur produk"," ")))))))</f>
        <v xml:space="preserve"> </v>
      </c>
      <c r="Z44" s="77"/>
    </row>
    <row r="45" spans="1:26" x14ac:dyDescent="0.25">
      <c r="A45" s="43">
        <f t="shared" si="5"/>
        <v>40</v>
      </c>
      <c r="B45" s="34"/>
      <c r="C45" s="35"/>
      <c r="D45" s="34"/>
      <c r="E45" s="36"/>
      <c r="F45" s="33"/>
      <c r="G45" s="33"/>
      <c r="H45" s="37"/>
      <c r="I45" s="88"/>
      <c r="J45" s="88"/>
      <c r="K45" s="33"/>
      <c r="L45" s="33"/>
      <c r="M45" s="33"/>
      <c r="N45" s="33"/>
      <c r="O45" s="38"/>
      <c r="Q45" s="108">
        <v>0</v>
      </c>
      <c r="R45" s="39">
        <f t="shared" si="1"/>
        <v>0</v>
      </c>
      <c r="S45" s="111">
        <f t="shared" si="6"/>
        <v>0</v>
      </c>
      <c r="T45" s="105">
        <f>IF(N45="Yes",IF(O45/(1-(IFERROR(IF(R45=0,0,ROUND(IF(K45*12+L45&lt;12,VLOOKUP(K45*12+L45,Faktor_Multiplier,2,FALSE)*VLOOKUP(R45,IF(M45="Menurun",Premium_Table_Dec,Premium_Table_Flat),2,FALSE),VLOOKUP(R45,IF(M45="Menurun",Premium_Table_Dec,Premium_Table_Flat),K45+1,FALSE)+IFERROR((VLOOKUP(R45,IF(M45="Menurun",Premium_Table_Dec,Premium_Table_Flat),K45+2,FALSE)-VLOOKUP(R45,IF(M45="Menurun",Premium_Table_Dec,Premium_Table_Flat),K45+1,FALSE)),0)*L45/12),2)+
ROUND(IF(K45*12+L45&lt;12,VLOOKUP(K45*12+L45,Faktor_Multiplier,2,FALSE)*VLOOKUP(R45,IF(M45="Menurun",Premium_Table_Dec,Premium_Table_Flat),2,FALSE),VLOOKUP(R45,IF(M45="Menurun",Premium_Table_Dec,Premium_Table_Flat),K45+1,FALSE)+IFERROR((VLOOKUP(R45,IF(M45="Menurun",Premium_Table_Dec,Premium_Table_Flat),K45+2,FALSE)-VLOOKUP(R45,IF(M45="Menurun",Premium_Table_Dec,Premium_Table_Flat),K45+1,FALSE)),0)*L45/12),2)*Q45/100),"Perhatikan Ketentuan Usia + Masa Asuransi")/1000))&gt;'Spek Produk'!$F$8,"UP lebih besar dari fitur produk",O45/(1-(IFERROR(IF(R45=0,0,ROUND(IF(K45*12+L45&lt;12,VLOOKUP(K45*12+L45,Faktor_Multiplier,2,FALSE)*VLOOKUP(R45,IF(M45="Menurun",Premium_Table_Dec,Premium_Table_Flat),2,FALSE),VLOOKUP(R45,IF(M45="Menurun",Premium_Table_Dec,Premium_Table_Flat),K45+1,FALSE)+IFERROR((VLOOKUP(R45,IF(M45="Menurun",Premium_Table_Dec,Premium_Table_Flat),K45+2,FALSE)-VLOOKUP(R45,IF(M45="Menurun",Premium_Table_Dec,Premium_Table_Flat),K45+1,FALSE)),0)*L45/12),2)+
ROUND(IF(K45*12+L45&lt;12,VLOOKUP(K45*12+L45,Faktor_Multiplier,2,FALSE)*VLOOKUP(R45,IF(M45="Menurun",Premium_Table_Dec,Premium_Table_Flat),2,FALSE),VLOOKUP(R45,IF(M45="Menurun",Premium_Table_Dec,Premium_Table_Flat),K45+1,FALSE)+IFERROR((VLOOKUP(R45,IF(M45="Menurun",Premium_Table_Dec,Premium_Table_Flat),K45+2,FALSE)-VLOOKUP(R45,IF(M45="Menurun",Premium_Table_Dec,Premium_Table_Flat),K45+1,FALSE)),0)*L45/12),2)*Q45/100),"Perhatikan Ketentuan Usia + Masa Asuransi")/1000))),O45)</f>
        <v>0</v>
      </c>
      <c r="U45" s="40" t="str">
        <f>IF(Y45&lt;&gt;" ",Y45,IFERROR(VLOOKUP(R45,IF('Spek Produk'!$F$9="Syariah",Medic!$A$21:$L$27,Medic!$A$12:$L$18),MATCH(T45,IF('Spek Produk'!$F$9="Syariah",Medic!$B$21:$L$21,Medic!$B$12:$L$12),TRUE)+1),""))</f>
        <v/>
      </c>
      <c r="V45" s="91">
        <f t="shared" si="7"/>
        <v>0</v>
      </c>
      <c r="W45" s="41" t="str">
        <f t="shared" si="3"/>
        <v/>
      </c>
      <c r="X45" s="91" t="str">
        <f t="shared" si="4"/>
        <v/>
      </c>
      <c r="Y45" s="77" t="str" cm="1">
        <f t="array" ref="Y45">IF(M45="Menurun",IF(AND(R45&gt;'Spek Produk'!$I$23,R45&lt;&gt;""),"Usia masuk lebih besar dari fitur produk",IF(AND(R45&lt;'Spek Produk'!$G$23,R45&lt;&gt;0,R45&lt;&gt;""),"Usia masuk lebih rendah dari fitur produk",IF(OR(O45&gt;_xlfn.IFS(R45+K45+(L45/12)&lt;='Spek Produk'!$C$40,'Spek Produk'!$D$40,R45+K45+(L45/12)&gt;'Spek Produk'!$C$40,'Spek Produk'!$D$41),T45&gt;_xlfn.IFS(R45+K45+(L45/12)&lt;='Spek Produk'!$C$40,'Spek Produk'!$D$40,R45+K45+(L45/12)&gt;'Spek Produk'!$C$40,'Spek Produk'!$D$41),IFERROR(VLOOKUP(R45,IF('Spek Produk'!$F$9="Syariah",Medic!$A$21:$L$27,Medic!$A$12:$L$18),MATCH(T45,IF('Spek Produk'!$F$9="Syariah",Medic!$B$21:$L$21,Medic!$B$12:$L$12),TRUE)+1)="-","")),"UP lebih besar dari fitur produk",IF(K45+L45/12&gt;'Spek Produk'!$I$22,"Masa asuransi lebih besar dari fitur produk",IF(AND(R45+K45+L45/12&gt;'Spek Produk'!$H$24,R45&lt;&gt;0,R45&lt;&gt;""),"Maksimum masa asuransi untuk nasabah berusia "&amp;R45&amp;" tahun adalah "&amp;MAX(0,'Spek Produk'!$H$24-R45)&amp;" tahun",IF(AND(0&lt;K45+L45/12,K45+L45/12&lt;'Spek Produk'!$G$22),"Masa asuransi lebih kecil dari fitur produk"," ")))))),IF(AND(R45&gt;'Spek Produk'!$I$35,R45&lt;&gt;""),"Usia masuk lebih besar dari fitur produk",IF(AND(R45&lt;'Spek Produk'!$G$35,R45&lt;&gt;0,R45&lt;&gt;""),"Usia masuk lebih rendah dari fitur produk",IF(OR(O45&gt;_xlfn.IFS(R45+K45+(L45/12)&lt;='Spek Produk'!$C$40,'Spek Produk'!$D$40,R45+K45+(L45/12)&gt;'Spek Produk'!$C$40,'Spek Produk'!$D$41),T45&gt;_xlfn.IFS(R45+K45+(L45/12)&lt;='Spek Produk'!$C$40,'Spek Produk'!$D$40,R45+K45+(L45/12)&gt;'Spek Produk'!$C$40,'Spek Produk'!$D$41),IFERROR(VLOOKUP(R45,IF('Spek Produk'!$F$9="Syariah",Medic!$A$21:$L$27,Medic!$A$12:$L$18),MATCH(T45,IF('Spek Produk'!$F$9="Syariah",Medic!$B$21:$L$21,Medic!$B$12:$L$12),TRUE)+1)="-","")),"UP lebih besar dari fitur produk",IF(K45+L45/12&gt;'Spek Produk'!$I$34,"Masa asuransi lebih besar dari fitur produk",IF(AND(R45+K45+L45/12&gt;'Spek Produk'!$H$36,R45&lt;&gt;0,R45&lt;&gt;""),"Maksimum masa asuransi untuk nasabah berusia "&amp;R45&amp;" tahun adalah "&amp;MAX(0,'Spek Produk'!$H$36-R45)&amp;" tahun",IF(AND(0&lt;K45+L45/12,K45+L45/12&lt;'Spek Produk'!$G$34),"Masa asuransi lebih Kecil dari fitur produk"," ")))))))</f>
        <v xml:space="preserve"> </v>
      </c>
      <c r="Z45" s="77"/>
    </row>
    <row r="46" spans="1:26" x14ac:dyDescent="0.25">
      <c r="A46" s="43">
        <f t="shared" si="5"/>
        <v>41</v>
      </c>
      <c r="B46" s="34"/>
      <c r="C46" s="35"/>
      <c r="D46" s="34"/>
      <c r="E46" s="36"/>
      <c r="F46" s="33"/>
      <c r="G46" s="33"/>
      <c r="H46" s="37"/>
      <c r="I46" s="88"/>
      <c r="J46" s="88"/>
      <c r="K46" s="33"/>
      <c r="L46" s="33"/>
      <c r="M46" s="33"/>
      <c r="N46" s="33"/>
      <c r="O46" s="38"/>
      <c r="Q46" s="108">
        <v>0</v>
      </c>
      <c r="R46" s="39">
        <f t="shared" si="1"/>
        <v>0</v>
      </c>
      <c r="S46" s="111">
        <f t="shared" si="6"/>
        <v>0</v>
      </c>
      <c r="T46" s="105">
        <f>IF(N46="Yes",IF(O46/(1-(IFERROR(IF(R46=0,0,ROUND(IF(K46*12+L46&lt;12,VLOOKUP(K46*12+L46,Faktor_Multiplier,2,FALSE)*VLOOKUP(R46,IF(M46="Menurun",Premium_Table_Dec,Premium_Table_Flat),2,FALSE),VLOOKUP(R46,IF(M46="Menurun",Premium_Table_Dec,Premium_Table_Flat),K46+1,FALSE)+IFERROR((VLOOKUP(R46,IF(M46="Menurun",Premium_Table_Dec,Premium_Table_Flat),K46+2,FALSE)-VLOOKUP(R46,IF(M46="Menurun",Premium_Table_Dec,Premium_Table_Flat),K46+1,FALSE)),0)*L46/12),2)+
ROUND(IF(K46*12+L46&lt;12,VLOOKUP(K46*12+L46,Faktor_Multiplier,2,FALSE)*VLOOKUP(R46,IF(M46="Menurun",Premium_Table_Dec,Premium_Table_Flat),2,FALSE),VLOOKUP(R46,IF(M46="Menurun",Premium_Table_Dec,Premium_Table_Flat),K46+1,FALSE)+IFERROR((VLOOKUP(R46,IF(M46="Menurun",Premium_Table_Dec,Premium_Table_Flat),K46+2,FALSE)-VLOOKUP(R46,IF(M46="Menurun",Premium_Table_Dec,Premium_Table_Flat),K46+1,FALSE)),0)*L46/12),2)*Q46/100),"Perhatikan Ketentuan Usia + Masa Asuransi")/1000))&gt;'Spek Produk'!$F$8,"UP lebih besar dari fitur produk",O46/(1-(IFERROR(IF(R46=0,0,ROUND(IF(K46*12+L46&lt;12,VLOOKUP(K46*12+L46,Faktor_Multiplier,2,FALSE)*VLOOKUP(R46,IF(M46="Menurun",Premium_Table_Dec,Premium_Table_Flat),2,FALSE),VLOOKUP(R46,IF(M46="Menurun",Premium_Table_Dec,Premium_Table_Flat),K46+1,FALSE)+IFERROR((VLOOKUP(R46,IF(M46="Menurun",Premium_Table_Dec,Premium_Table_Flat),K46+2,FALSE)-VLOOKUP(R46,IF(M46="Menurun",Premium_Table_Dec,Premium_Table_Flat),K46+1,FALSE)),0)*L46/12),2)+
ROUND(IF(K46*12+L46&lt;12,VLOOKUP(K46*12+L46,Faktor_Multiplier,2,FALSE)*VLOOKUP(R46,IF(M46="Menurun",Premium_Table_Dec,Premium_Table_Flat),2,FALSE),VLOOKUP(R46,IF(M46="Menurun",Premium_Table_Dec,Premium_Table_Flat),K46+1,FALSE)+IFERROR((VLOOKUP(R46,IF(M46="Menurun",Premium_Table_Dec,Premium_Table_Flat),K46+2,FALSE)-VLOOKUP(R46,IF(M46="Menurun",Premium_Table_Dec,Premium_Table_Flat),K46+1,FALSE)),0)*L46/12),2)*Q46/100),"Perhatikan Ketentuan Usia + Masa Asuransi")/1000))),O46)</f>
        <v>0</v>
      </c>
      <c r="U46" s="40" t="str">
        <f>IF(Y46&lt;&gt;" ",Y46,IFERROR(VLOOKUP(R46,IF('Spek Produk'!$F$9="Syariah",Medic!$A$21:$L$27,Medic!$A$12:$L$18),MATCH(T46,IF('Spek Produk'!$F$9="Syariah",Medic!$B$21:$L$21,Medic!$B$12:$L$12),TRUE)+1),""))</f>
        <v/>
      </c>
      <c r="V46" s="91">
        <f t="shared" si="7"/>
        <v>0</v>
      </c>
      <c r="W46" s="41" t="str">
        <f t="shared" si="3"/>
        <v/>
      </c>
      <c r="X46" s="91" t="str">
        <f t="shared" si="4"/>
        <v/>
      </c>
      <c r="Y46" s="77" t="str" cm="1">
        <f t="array" ref="Y46">IF(M46="Menurun",IF(AND(R46&gt;'Spek Produk'!$I$23,R46&lt;&gt;""),"Usia masuk lebih besar dari fitur produk",IF(AND(R46&lt;'Spek Produk'!$G$23,R46&lt;&gt;0,R46&lt;&gt;""),"Usia masuk lebih rendah dari fitur produk",IF(OR(O46&gt;_xlfn.IFS(R46+K46+(L46/12)&lt;='Spek Produk'!$C$40,'Spek Produk'!$D$40,R46+K46+(L46/12)&gt;'Spek Produk'!$C$40,'Spek Produk'!$D$41),T46&gt;_xlfn.IFS(R46+K46+(L46/12)&lt;='Spek Produk'!$C$40,'Spek Produk'!$D$40,R46+K46+(L46/12)&gt;'Spek Produk'!$C$40,'Spek Produk'!$D$41),IFERROR(VLOOKUP(R46,IF('Spek Produk'!$F$9="Syariah",Medic!$A$21:$L$27,Medic!$A$12:$L$18),MATCH(T46,IF('Spek Produk'!$F$9="Syariah",Medic!$B$21:$L$21,Medic!$B$12:$L$12),TRUE)+1)="-","")),"UP lebih besar dari fitur produk",IF(K46+L46/12&gt;'Spek Produk'!$I$22,"Masa asuransi lebih besar dari fitur produk",IF(AND(R46+K46+L46/12&gt;'Spek Produk'!$H$24,R46&lt;&gt;0,R46&lt;&gt;""),"Maksimum masa asuransi untuk nasabah berusia "&amp;R46&amp;" tahun adalah "&amp;MAX(0,'Spek Produk'!$H$24-R46)&amp;" tahun",IF(AND(0&lt;K46+L46/12,K46+L46/12&lt;'Spek Produk'!$G$22),"Masa asuransi lebih kecil dari fitur produk"," ")))))),IF(AND(R46&gt;'Spek Produk'!$I$35,R46&lt;&gt;""),"Usia masuk lebih besar dari fitur produk",IF(AND(R46&lt;'Spek Produk'!$G$35,R46&lt;&gt;0,R46&lt;&gt;""),"Usia masuk lebih rendah dari fitur produk",IF(OR(O46&gt;_xlfn.IFS(R46+K46+(L46/12)&lt;='Spek Produk'!$C$40,'Spek Produk'!$D$40,R46+K46+(L46/12)&gt;'Spek Produk'!$C$40,'Spek Produk'!$D$41),T46&gt;_xlfn.IFS(R46+K46+(L46/12)&lt;='Spek Produk'!$C$40,'Spek Produk'!$D$40,R46+K46+(L46/12)&gt;'Spek Produk'!$C$40,'Spek Produk'!$D$41),IFERROR(VLOOKUP(R46,IF('Spek Produk'!$F$9="Syariah",Medic!$A$21:$L$27,Medic!$A$12:$L$18),MATCH(T46,IF('Spek Produk'!$F$9="Syariah",Medic!$B$21:$L$21,Medic!$B$12:$L$12),TRUE)+1)="-","")),"UP lebih besar dari fitur produk",IF(K46+L46/12&gt;'Spek Produk'!$I$34,"Masa asuransi lebih besar dari fitur produk",IF(AND(R46+K46+L46/12&gt;'Spek Produk'!$H$36,R46&lt;&gt;0,R46&lt;&gt;""),"Maksimum masa asuransi untuk nasabah berusia "&amp;R46&amp;" tahun adalah "&amp;MAX(0,'Spek Produk'!$H$36-R46)&amp;" tahun",IF(AND(0&lt;K46+L46/12,K46+L46/12&lt;'Spek Produk'!$G$34),"Masa asuransi lebih Kecil dari fitur produk"," ")))))))</f>
        <v xml:space="preserve"> </v>
      </c>
      <c r="Z46" s="77"/>
    </row>
    <row r="47" spans="1:26" x14ac:dyDescent="0.25">
      <c r="A47" s="43">
        <f t="shared" si="5"/>
        <v>42</v>
      </c>
      <c r="B47" s="34"/>
      <c r="C47" s="35"/>
      <c r="D47" s="34"/>
      <c r="E47" s="36"/>
      <c r="F47" s="33"/>
      <c r="G47" s="33"/>
      <c r="H47" s="37"/>
      <c r="I47" s="88"/>
      <c r="J47" s="88"/>
      <c r="K47" s="33"/>
      <c r="L47" s="33"/>
      <c r="M47" s="33"/>
      <c r="N47" s="33"/>
      <c r="O47" s="38"/>
      <c r="Q47" s="108">
        <v>0</v>
      </c>
      <c r="R47" s="39">
        <f t="shared" si="1"/>
        <v>0</v>
      </c>
      <c r="S47" s="111">
        <f t="shared" si="6"/>
        <v>0</v>
      </c>
      <c r="T47" s="105">
        <f>IF(N47="Yes",IF(O47/(1-(IFERROR(IF(R47=0,0,ROUND(IF(K47*12+L47&lt;12,VLOOKUP(K47*12+L47,Faktor_Multiplier,2,FALSE)*VLOOKUP(R47,IF(M47="Menurun",Premium_Table_Dec,Premium_Table_Flat),2,FALSE),VLOOKUP(R47,IF(M47="Menurun",Premium_Table_Dec,Premium_Table_Flat),K47+1,FALSE)+IFERROR((VLOOKUP(R47,IF(M47="Menurun",Premium_Table_Dec,Premium_Table_Flat),K47+2,FALSE)-VLOOKUP(R47,IF(M47="Menurun",Premium_Table_Dec,Premium_Table_Flat),K47+1,FALSE)),0)*L47/12),2)+
ROUND(IF(K47*12+L47&lt;12,VLOOKUP(K47*12+L47,Faktor_Multiplier,2,FALSE)*VLOOKUP(R47,IF(M47="Menurun",Premium_Table_Dec,Premium_Table_Flat),2,FALSE),VLOOKUP(R47,IF(M47="Menurun",Premium_Table_Dec,Premium_Table_Flat),K47+1,FALSE)+IFERROR((VLOOKUP(R47,IF(M47="Menurun",Premium_Table_Dec,Premium_Table_Flat),K47+2,FALSE)-VLOOKUP(R47,IF(M47="Menurun",Premium_Table_Dec,Premium_Table_Flat),K47+1,FALSE)),0)*L47/12),2)*Q47/100),"Perhatikan Ketentuan Usia + Masa Asuransi")/1000))&gt;'Spek Produk'!$F$8,"UP lebih besar dari fitur produk",O47/(1-(IFERROR(IF(R47=0,0,ROUND(IF(K47*12+L47&lt;12,VLOOKUP(K47*12+L47,Faktor_Multiplier,2,FALSE)*VLOOKUP(R47,IF(M47="Menurun",Premium_Table_Dec,Premium_Table_Flat),2,FALSE),VLOOKUP(R47,IF(M47="Menurun",Premium_Table_Dec,Premium_Table_Flat),K47+1,FALSE)+IFERROR((VLOOKUP(R47,IF(M47="Menurun",Premium_Table_Dec,Premium_Table_Flat),K47+2,FALSE)-VLOOKUP(R47,IF(M47="Menurun",Premium_Table_Dec,Premium_Table_Flat),K47+1,FALSE)),0)*L47/12),2)+
ROUND(IF(K47*12+L47&lt;12,VLOOKUP(K47*12+L47,Faktor_Multiplier,2,FALSE)*VLOOKUP(R47,IF(M47="Menurun",Premium_Table_Dec,Premium_Table_Flat),2,FALSE),VLOOKUP(R47,IF(M47="Menurun",Premium_Table_Dec,Premium_Table_Flat),K47+1,FALSE)+IFERROR((VLOOKUP(R47,IF(M47="Menurun",Premium_Table_Dec,Premium_Table_Flat),K47+2,FALSE)-VLOOKUP(R47,IF(M47="Menurun",Premium_Table_Dec,Premium_Table_Flat),K47+1,FALSE)),0)*L47/12),2)*Q47/100),"Perhatikan Ketentuan Usia + Masa Asuransi")/1000))),O47)</f>
        <v>0</v>
      </c>
      <c r="U47" s="40" t="str">
        <f>IF(Y47&lt;&gt;" ",Y47,IFERROR(VLOOKUP(R47,IF('Spek Produk'!$F$9="Syariah",Medic!$A$21:$L$27,Medic!$A$12:$L$18),MATCH(T47,IF('Spek Produk'!$F$9="Syariah",Medic!$B$21:$L$21,Medic!$B$12:$L$12),TRUE)+1),""))</f>
        <v/>
      </c>
      <c r="V47" s="91">
        <f t="shared" si="7"/>
        <v>0</v>
      </c>
      <c r="W47" s="41" t="str">
        <f t="shared" si="3"/>
        <v/>
      </c>
      <c r="X47" s="91" t="str">
        <f t="shared" si="4"/>
        <v/>
      </c>
      <c r="Y47" s="77" t="str" cm="1">
        <f t="array" ref="Y47">IF(M47="Menurun",IF(AND(R47&gt;'Spek Produk'!$I$23,R47&lt;&gt;""),"Usia masuk lebih besar dari fitur produk",IF(AND(R47&lt;'Spek Produk'!$G$23,R47&lt;&gt;0,R47&lt;&gt;""),"Usia masuk lebih rendah dari fitur produk",IF(OR(O47&gt;_xlfn.IFS(R47+K47+(L47/12)&lt;='Spek Produk'!$C$40,'Spek Produk'!$D$40,R47+K47+(L47/12)&gt;'Spek Produk'!$C$40,'Spek Produk'!$D$41),T47&gt;_xlfn.IFS(R47+K47+(L47/12)&lt;='Spek Produk'!$C$40,'Spek Produk'!$D$40,R47+K47+(L47/12)&gt;'Spek Produk'!$C$40,'Spek Produk'!$D$41),IFERROR(VLOOKUP(R47,IF('Spek Produk'!$F$9="Syariah",Medic!$A$21:$L$27,Medic!$A$12:$L$18),MATCH(T47,IF('Spek Produk'!$F$9="Syariah",Medic!$B$21:$L$21,Medic!$B$12:$L$12),TRUE)+1)="-","")),"UP lebih besar dari fitur produk",IF(K47+L47/12&gt;'Spek Produk'!$I$22,"Masa asuransi lebih besar dari fitur produk",IF(AND(R47+K47+L47/12&gt;'Spek Produk'!$H$24,R47&lt;&gt;0,R47&lt;&gt;""),"Maksimum masa asuransi untuk nasabah berusia "&amp;R47&amp;" tahun adalah "&amp;MAX(0,'Spek Produk'!$H$24-R47)&amp;" tahun",IF(AND(0&lt;K47+L47/12,K47+L47/12&lt;'Spek Produk'!$G$22),"Masa asuransi lebih kecil dari fitur produk"," ")))))),IF(AND(R47&gt;'Spek Produk'!$I$35,R47&lt;&gt;""),"Usia masuk lebih besar dari fitur produk",IF(AND(R47&lt;'Spek Produk'!$G$35,R47&lt;&gt;0,R47&lt;&gt;""),"Usia masuk lebih rendah dari fitur produk",IF(OR(O47&gt;_xlfn.IFS(R47+K47+(L47/12)&lt;='Spek Produk'!$C$40,'Spek Produk'!$D$40,R47+K47+(L47/12)&gt;'Spek Produk'!$C$40,'Spek Produk'!$D$41),T47&gt;_xlfn.IFS(R47+K47+(L47/12)&lt;='Spek Produk'!$C$40,'Spek Produk'!$D$40,R47+K47+(L47/12)&gt;'Spek Produk'!$C$40,'Spek Produk'!$D$41),IFERROR(VLOOKUP(R47,IF('Spek Produk'!$F$9="Syariah",Medic!$A$21:$L$27,Medic!$A$12:$L$18),MATCH(T47,IF('Spek Produk'!$F$9="Syariah",Medic!$B$21:$L$21,Medic!$B$12:$L$12),TRUE)+1)="-","")),"UP lebih besar dari fitur produk",IF(K47+L47/12&gt;'Spek Produk'!$I$34,"Masa asuransi lebih besar dari fitur produk",IF(AND(R47+K47+L47/12&gt;'Spek Produk'!$H$36,R47&lt;&gt;0,R47&lt;&gt;""),"Maksimum masa asuransi untuk nasabah berusia "&amp;R47&amp;" tahun adalah "&amp;MAX(0,'Spek Produk'!$H$36-R47)&amp;" tahun",IF(AND(0&lt;K47+L47/12,K47+L47/12&lt;'Spek Produk'!$G$34),"Masa asuransi lebih Kecil dari fitur produk"," ")))))))</f>
        <v xml:space="preserve"> </v>
      </c>
      <c r="Z47" s="77"/>
    </row>
    <row r="48" spans="1:26" x14ac:dyDescent="0.25">
      <c r="A48" s="43">
        <f t="shared" si="5"/>
        <v>43</v>
      </c>
      <c r="B48" s="34"/>
      <c r="C48" s="35"/>
      <c r="D48" s="34"/>
      <c r="E48" s="36"/>
      <c r="F48" s="33"/>
      <c r="G48" s="33"/>
      <c r="H48" s="37"/>
      <c r="I48" s="88"/>
      <c r="J48" s="88"/>
      <c r="K48" s="33"/>
      <c r="L48" s="33"/>
      <c r="M48" s="33"/>
      <c r="N48" s="33"/>
      <c r="O48" s="38"/>
      <c r="Q48" s="108">
        <v>0</v>
      </c>
      <c r="R48" s="39">
        <f t="shared" si="1"/>
        <v>0</v>
      </c>
      <c r="S48" s="111">
        <f t="shared" si="6"/>
        <v>0</v>
      </c>
      <c r="T48" s="105">
        <f>IF(N48="Yes",IF(O48/(1-(IFERROR(IF(R48=0,0,ROUND(IF(K48*12+L48&lt;12,VLOOKUP(K48*12+L48,Faktor_Multiplier,2,FALSE)*VLOOKUP(R48,IF(M48="Menurun",Premium_Table_Dec,Premium_Table_Flat),2,FALSE),VLOOKUP(R48,IF(M48="Menurun",Premium_Table_Dec,Premium_Table_Flat),K48+1,FALSE)+IFERROR((VLOOKUP(R48,IF(M48="Menurun",Premium_Table_Dec,Premium_Table_Flat),K48+2,FALSE)-VLOOKUP(R48,IF(M48="Menurun",Premium_Table_Dec,Premium_Table_Flat),K48+1,FALSE)),0)*L48/12),2)+
ROUND(IF(K48*12+L48&lt;12,VLOOKUP(K48*12+L48,Faktor_Multiplier,2,FALSE)*VLOOKUP(R48,IF(M48="Menurun",Premium_Table_Dec,Premium_Table_Flat),2,FALSE),VLOOKUP(R48,IF(M48="Menurun",Premium_Table_Dec,Premium_Table_Flat),K48+1,FALSE)+IFERROR((VLOOKUP(R48,IF(M48="Menurun",Premium_Table_Dec,Premium_Table_Flat),K48+2,FALSE)-VLOOKUP(R48,IF(M48="Menurun",Premium_Table_Dec,Premium_Table_Flat),K48+1,FALSE)),0)*L48/12),2)*Q48/100),"Perhatikan Ketentuan Usia + Masa Asuransi")/1000))&gt;'Spek Produk'!$F$8,"UP lebih besar dari fitur produk",O48/(1-(IFERROR(IF(R48=0,0,ROUND(IF(K48*12+L48&lt;12,VLOOKUP(K48*12+L48,Faktor_Multiplier,2,FALSE)*VLOOKUP(R48,IF(M48="Menurun",Premium_Table_Dec,Premium_Table_Flat),2,FALSE),VLOOKUP(R48,IF(M48="Menurun",Premium_Table_Dec,Premium_Table_Flat),K48+1,FALSE)+IFERROR((VLOOKUP(R48,IF(M48="Menurun",Premium_Table_Dec,Premium_Table_Flat),K48+2,FALSE)-VLOOKUP(R48,IF(M48="Menurun",Premium_Table_Dec,Premium_Table_Flat),K48+1,FALSE)),0)*L48/12),2)+
ROUND(IF(K48*12+L48&lt;12,VLOOKUP(K48*12+L48,Faktor_Multiplier,2,FALSE)*VLOOKUP(R48,IF(M48="Menurun",Premium_Table_Dec,Premium_Table_Flat),2,FALSE),VLOOKUP(R48,IF(M48="Menurun",Premium_Table_Dec,Premium_Table_Flat),K48+1,FALSE)+IFERROR((VLOOKUP(R48,IF(M48="Menurun",Premium_Table_Dec,Premium_Table_Flat),K48+2,FALSE)-VLOOKUP(R48,IF(M48="Menurun",Premium_Table_Dec,Premium_Table_Flat),K48+1,FALSE)),0)*L48/12),2)*Q48/100),"Perhatikan Ketentuan Usia + Masa Asuransi")/1000))),O48)</f>
        <v>0</v>
      </c>
      <c r="U48" s="40" t="str">
        <f>IF(Y48&lt;&gt;" ",Y48,IFERROR(VLOOKUP(R48,IF('Spek Produk'!$F$9="Syariah",Medic!$A$21:$L$27,Medic!$A$12:$L$18),MATCH(T48,IF('Spek Produk'!$F$9="Syariah",Medic!$B$21:$L$21,Medic!$B$12:$L$12),TRUE)+1),""))</f>
        <v/>
      </c>
      <c r="V48" s="91">
        <f t="shared" si="7"/>
        <v>0</v>
      </c>
      <c r="W48" s="41" t="str">
        <f t="shared" si="3"/>
        <v/>
      </c>
      <c r="X48" s="91" t="str">
        <f t="shared" si="4"/>
        <v/>
      </c>
      <c r="Y48" s="77" t="str" cm="1">
        <f t="array" ref="Y48">IF(M48="Menurun",IF(AND(R48&gt;'Spek Produk'!$I$23,R48&lt;&gt;""),"Usia masuk lebih besar dari fitur produk",IF(AND(R48&lt;'Spek Produk'!$G$23,R48&lt;&gt;0,R48&lt;&gt;""),"Usia masuk lebih rendah dari fitur produk",IF(OR(O48&gt;_xlfn.IFS(R48+K48+(L48/12)&lt;='Spek Produk'!$C$40,'Spek Produk'!$D$40,R48+K48+(L48/12)&gt;'Spek Produk'!$C$40,'Spek Produk'!$D$41),T48&gt;_xlfn.IFS(R48+K48+(L48/12)&lt;='Spek Produk'!$C$40,'Spek Produk'!$D$40,R48+K48+(L48/12)&gt;'Spek Produk'!$C$40,'Spek Produk'!$D$41),IFERROR(VLOOKUP(R48,IF('Spek Produk'!$F$9="Syariah",Medic!$A$21:$L$27,Medic!$A$12:$L$18),MATCH(T48,IF('Spek Produk'!$F$9="Syariah",Medic!$B$21:$L$21,Medic!$B$12:$L$12),TRUE)+1)="-","")),"UP lebih besar dari fitur produk",IF(K48+L48/12&gt;'Spek Produk'!$I$22,"Masa asuransi lebih besar dari fitur produk",IF(AND(R48+K48+L48/12&gt;'Spek Produk'!$H$24,R48&lt;&gt;0,R48&lt;&gt;""),"Maksimum masa asuransi untuk nasabah berusia "&amp;R48&amp;" tahun adalah "&amp;MAX(0,'Spek Produk'!$H$24-R48)&amp;" tahun",IF(AND(0&lt;K48+L48/12,K48+L48/12&lt;'Spek Produk'!$G$22),"Masa asuransi lebih kecil dari fitur produk"," ")))))),IF(AND(R48&gt;'Spek Produk'!$I$35,R48&lt;&gt;""),"Usia masuk lebih besar dari fitur produk",IF(AND(R48&lt;'Spek Produk'!$G$35,R48&lt;&gt;0,R48&lt;&gt;""),"Usia masuk lebih rendah dari fitur produk",IF(OR(O48&gt;_xlfn.IFS(R48+K48+(L48/12)&lt;='Spek Produk'!$C$40,'Spek Produk'!$D$40,R48+K48+(L48/12)&gt;'Spek Produk'!$C$40,'Spek Produk'!$D$41),T48&gt;_xlfn.IFS(R48+K48+(L48/12)&lt;='Spek Produk'!$C$40,'Spek Produk'!$D$40,R48+K48+(L48/12)&gt;'Spek Produk'!$C$40,'Spek Produk'!$D$41),IFERROR(VLOOKUP(R48,IF('Spek Produk'!$F$9="Syariah",Medic!$A$21:$L$27,Medic!$A$12:$L$18),MATCH(T48,IF('Spek Produk'!$F$9="Syariah",Medic!$B$21:$L$21,Medic!$B$12:$L$12),TRUE)+1)="-","")),"UP lebih besar dari fitur produk",IF(K48+L48/12&gt;'Spek Produk'!$I$34,"Masa asuransi lebih besar dari fitur produk",IF(AND(R48+K48+L48/12&gt;'Spek Produk'!$H$36,R48&lt;&gt;0,R48&lt;&gt;""),"Maksimum masa asuransi untuk nasabah berusia "&amp;R48&amp;" tahun adalah "&amp;MAX(0,'Spek Produk'!$H$36-R48)&amp;" tahun",IF(AND(0&lt;K48+L48/12,K48+L48/12&lt;'Spek Produk'!$G$34),"Masa asuransi lebih Kecil dari fitur produk"," ")))))))</f>
        <v xml:space="preserve"> </v>
      </c>
      <c r="Z48" s="77"/>
    </row>
    <row r="49" spans="1:26" x14ac:dyDescent="0.25">
      <c r="A49" s="43">
        <f t="shared" si="5"/>
        <v>44</v>
      </c>
      <c r="B49" s="34"/>
      <c r="C49" s="35"/>
      <c r="D49" s="34"/>
      <c r="E49" s="36"/>
      <c r="F49" s="33"/>
      <c r="G49" s="33"/>
      <c r="H49" s="37"/>
      <c r="I49" s="88"/>
      <c r="J49" s="88"/>
      <c r="K49" s="33"/>
      <c r="L49" s="33"/>
      <c r="M49" s="33"/>
      <c r="N49" s="33"/>
      <c r="O49" s="38"/>
      <c r="Q49" s="108">
        <v>0</v>
      </c>
      <c r="R49" s="39">
        <f t="shared" si="1"/>
        <v>0</v>
      </c>
      <c r="S49" s="111">
        <f t="shared" si="6"/>
        <v>0</v>
      </c>
      <c r="T49" s="105">
        <f>IF(N49="Yes",IF(O49/(1-(IFERROR(IF(R49=0,0,ROUND(IF(K49*12+L49&lt;12,VLOOKUP(K49*12+L49,Faktor_Multiplier,2,FALSE)*VLOOKUP(R49,IF(M49="Menurun",Premium_Table_Dec,Premium_Table_Flat),2,FALSE),VLOOKUP(R49,IF(M49="Menurun",Premium_Table_Dec,Premium_Table_Flat),K49+1,FALSE)+IFERROR((VLOOKUP(R49,IF(M49="Menurun",Premium_Table_Dec,Premium_Table_Flat),K49+2,FALSE)-VLOOKUP(R49,IF(M49="Menurun",Premium_Table_Dec,Premium_Table_Flat),K49+1,FALSE)),0)*L49/12),2)+
ROUND(IF(K49*12+L49&lt;12,VLOOKUP(K49*12+L49,Faktor_Multiplier,2,FALSE)*VLOOKUP(R49,IF(M49="Menurun",Premium_Table_Dec,Premium_Table_Flat),2,FALSE),VLOOKUP(R49,IF(M49="Menurun",Premium_Table_Dec,Premium_Table_Flat),K49+1,FALSE)+IFERROR((VLOOKUP(R49,IF(M49="Menurun",Premium_Table_Dec,Premium_Table_Flat),K49+2,FALSE)-VLOOKUP(R49,IF(M49="Menurun",Premium_Table_Dec,Premium_Table_Flat),K49+1,FALSE)),0)*L49/12),2)*Q49/100),"Perhatikan Ketentuan Usia + Masa Asuransi")/1000))&gt;'Spek Produk'!$F$8,"UP lebih besar dari fitur produk",O49/(1-(IFERROR(IF(R49=0,0,ROUND(IF(K49*12+L49&lt;12,VLOOKUP(K49*12+L49,Faktor_Multiplier,2,FALSE)*VLOOKUP(R49,IF(M49="Menurun",Premium_Table_Dec,Premium_Table_Flat),2,FALSE),VLOOKUP(R49,IF(M49="Menurun",Premium_Table_Dec,Premium_Table_Flat),K49+1,FALSE)+IFERROR((VLOOKUP(R49,IF(M49="Menurun",Premium_Table_Dec,Premium_Table_Flat),K49+2,FALSE)-VLOOKUP(R49,IF(M49="Menurun",Premium_Table_Dec,Premium_Table_Flat),K49+1,FALSE)),0)*L49/12),2)+
ROUND(IF(K49*12+L49&lt;12,VLOOKUP(K49*12+L49,Faktor_Multiplier,2,FALSE)*VLOOKUP(R49,IF(M49="Menurun",Premium_Table_Dec,Premium_Table_Flat),2,FALSE),VLOOKUP(R49,IF(M49="Menurun",Premium_Table_Dec,Premium_Table_Flat),K49+1,FALSE)+IFERROR((VLOOKUP(R49,IF(M49="Menurun",Premium_Table_Dec,Premium_Table_Flat),K49+2,FALSE)-VLOOKUP(R49,IF(M49="Menurun",Premium_Table_Dec,Premium_Table_Flat),K49+1,FALSE)),0)*L49/12),2)*Q49/100),"Perhatikan Ketentuan Usia + Masa Asuransi")/1000))),O49)</f>
        <v>0</v>
      </c>
      <c r="U49" s="40" t="str">
        <f>IF(Y49&lt;&gt;" ",Y49,IFERROR(VLOOKUP(R49,IF('Spek Produk'!$F$9="Syariah",Medic!$A$21:$L$27,Medic!$A$12:$L$18),MATCH(T49,IF('Spek Produk'!$F$9="Syariah",Medic!$B$21:$L$21,Medic!$B$12:$L$12),TRUE)+1),""))</f>
        <v/>
      </c>
      <c r="V49" s="91">
        <f t="shared" si="7"/>
        <v>0</v>
      </c>
      <c r="W49" s="41" t="str">
        <f t="shared" si="3"/>
        <v/>
      </c>
      <c r="X49" s="91" t="str">
        <f t="shared" si="4"/>
        <v/>
      </c>
      <c r="Y49" s="77" t="str" cm="1">
        <f t="array" ref="Y49">IF(M49="Menurun",IF(AND(R49&gt;'Spek Produk'!$I$23,R49&lt;&gt;""),"Usia masuk lebih besar dari fitur produk",IF(AND(R49&lt;'Spek Produk'!$G$23,R49&lt;&gt;0,R49&lt;&gt;""),"Usia masuk lebih rendah dari fitur produk",IF(OR(O49&gt;_xlfn.IFS(R49+K49+(L49/12)&lt;='Spek Produk'!$C$40,'Spek Produk'!$D$40,R49+K49+(L49/12)&gt;'Spek Produk'!$C$40,'Spek Produk'!$D$41),T49&gt;_xlfn.IFS(R49+K49+(L49/12)&lt;='Spek Produk'!$C$40,'Spek Produk'!$D$40,R49+K49+(L49/12)&gt;'Spek Produk'!$C$40,'Spek Produk'!$D$41),IFERROR(VLOOKUP(R49,IF('Spek Produk'!$F$9="Syariah",Medic!$A$21:$L$27,Medic!$A$12:$L$18),MATCH(T49,IF('Spek Produk'!$F$9="Syariah",Medic!$B$21:$L$21,Medic!$B$12:$L$12),TRUE)+1)="-","")),"UP lebih besar dari fitur produk",IF(K49+L49/12&gt;'Spek Produk'!$I$22,"Masa asuransi lebih besar dari fitur produk",IF(AND(R49+K49+L49/12&gt;'Spek Produk'!$H$24,R49&lt;&gt;0,R49&lt;&gt;""),"Maksimum masa asuransi untuk nasabah berusia "&amp;R49&amp;" tahun adalah "&amp;MAX(0,'Spek Produk'!$H$24-R49)&amp;" tahun",IF(AND(0&lt;K49+L49/12,K49+L49/12&lt;'Spek Produk'!$G$22),"Masa asuransi lebih kecil dari fitur produk"," ")))))),IF(AND(R49&gt;'Spek Produk'!$I$35,R49&lt;&gt;""),"Usia masuk lebih besar dari fitur produk",IF(AND(R49&lt;'Spek Produk'!$G$35,R49&lt;&gt;0,R49&lt;&gt;""),"Usia masuk lebih rendah dari fitur produk",IF(OR(O49&gt;_xlfn.IFS(R49+K49+(L49/12)&lt;='Spek Produk'!$C$40,'Spek Produk'!$D$40,R49+K49+(L49/12)&gt;'Spek Produk'!$C$40,'Spek Produk'!$D$41),T49&gt;_xlfn.IFS(R49+K49+(L49/12)&lt;='Spek Produk'!$C$40,'Spek Produk'!$D$40,R49+K49+(L49/12)&gt;'Spek Produk'!$C$40,'Spek Produk'!$D$41),IFERROR(VLOOKUP(R49,IF('Spek Produk'!$F$9="Syariah",Medic!$A$21:$L$27,Medic!$A$12:$L$18),MATCH(T49,IF('Spek Produk'!$F$9="Syariah",Medic!$B$21:$L$21,Medic!$B$12:$L$12),TRUE)+1)="-","")),"UP lebih besar dari fitur produk",IF(K49+L49/12&gt;'Spek Produk'!$I$34,"Masa asuransi lebih besar dari fitur produk",IF(AND(R49+K49+L49/12&gt;'Spek Produk'!$H$36,R49&lt;&gt;0,R49&lt;&gt;""),"Maksimum masa asuransi untuk nasabah berusia "&amp;R49&amp;" tahun adalah "&amp;MAX(0,'Spek Produk'!$H$36-R49)&amp;" tahun",IF(AND(0&lt;K49+L49/12,K49+L49/12&lt;'Spek Produk'!$G$34),"Masa asuransi lebih Kecil dari fitur produk"," ")))))))</f>
        <v xml:space="preserve"> </v>
      </c>
      <c r="Z49" s="77"/>
    </row>
    <row r="50" spans="1:26" x14ac:dyDescent="0.25">
      <c r="A50" s="43">
        <f t="shared" si="5"/>
        <v>45</v>
      </c>
      <c r="B50" s="34"/>
      <c r="C50" s="35"/>
      <c r="D50" s="34"/>
      <c r="E50" s="36"/>
      <c r="F50" s="33"/>
      <c r="G50" s="33"/>
      <c r="H50" s="37"/>
      <c r="I50" s="88"/>
      <c r="J50" s="88"/>
      <c r="K50" s="33"/>
      <c r="L50" s="33"/>
      <c r="M50" s="33"/>
      <c r="N50" s="33"/>
      <c r="O50" s="38"/>
      <c r="Q50" s="108">
        <v>0</v>
      </c>
      <c r="R50" s="39">
        <f t="shared" si="1"/>
        <v>0</v>
      </c>
      <c r="S50" s="111">
        <f t="shared" si="6"/>
        <v>0</v>
      </c>
      <c r="T50" s="105">
        <f>IF(N50="Yes",IF(O50/(1-(IFERROR(IF(R50=0,0,ROUND(IF(K50*12+L50&lt;12,VLOOKUP(K50*12+L50,Faktor_Multiplier,2,FALSE)*VLOOKUP(R50,IF(M50="Menurun",Premium_Table_Dec,Premium_Table_Flat),2,FALSE),VLOOKUP(R50,IF(M50="Menurun",Premium_Table_Dec,Premium_Table_Flat),K50+1,FALSE)+IFERROR((VLOOKUP(R50,IF(M50="Menurun",Premium_Table_Dec,Premium_Table_Flat),K50+2,FALSE)-VLOOKUP(R50,IF(M50="Menurun",Premium_Table_Dec,Premium_Table_Flat),K50+1,FALSE)),0)*L50/12),2)+
ROUND(IF(K50*12+L50&lt;12,VLOOKUP(K50*12+L50,Faktor_Multiplier,2,FALSE)*VLOOKUP(R50,IF(M50="Menurun",Premium_Table_Dec,Premium_Table_Flat),2,FALSE),VLOOKUP(R50,IF(M50="Menurun",Premium_Table_Dec,Premium_Table_Flat),K50+1,FALSE)+IFERROR((VLOOKUP(R50,IF(M50="Menurun",Premium_Table_Dec,Premium_Table_Flat),K50+2,FALSE)-VLOOKUP(R50,IF(M50="Menurun",Premium_Table_Dec,Premium_Table_Flat),K50+1,FALSE)),0)*L50/12),2)*Q50/100),"Perhatikan Ketentuan Usia + Masa Asuransi")/1000))&gt;'Spek Produk'!$F$8,"UP lebih besar dari fitur produk",O50/(1-(IFERROR(IF(R50=0,0,ROUND(IF(K50*12+L50&lt;12,VLOOKUP(K50*12+L50,Faktor_Multiplier,2,FALSE)*VLOOKUP(R50,IF(M50="Menurun",Premium_Table_Dec,Premium_Table_Flat),2,FALSE),VLOOKUP(R50,IF(M50="Menurun",Premium_Table_Dec,Premium_Table_Flat),K50+1,FALSE)+IFERROR((VLOOKUP(R50,IF(M50="Menurun",Premium_Table_Dec,Premium_Table_Flat),K50+2,FALSE)-VLOOKUP(R50,IF(M50="Menurun",Premium_Table_Dec,Premium_Table_Flat),K50+1,FALSE)),0)*L50/12),2)+
ROUND(IF(K50*12+L50&lt;12,VLOOKUP(K50*12+L50,Faktor_Multiplier,2,FALSE)*VLOOKUP(R50,IF(M50="Menurun",Premium_Table_Dec,Premium_Table_Flat),2,FALSE),VLOOKUP(R50,IF(M50="Menurun",Premium_Table_Dec,Premium_Table_Flat),K50+1,FALSE)+IFERROR((VLOOKUP(R50,IF(M50="Menurun",Premium_Table_Dec,Premium_Table_Flat),K50+2,FALSE)-VLOOKUP(R50,IF(M50="Menurun",Premium_Table_Dec,Premium_Table_Flat),K50+1,FALSE)),0)*L50/12),2)*Q50/100),"Perhatikan Ketentuan Usia + Masa Asuransi")/1000))),O50)</f>
        <v>0</v>
      </c>
      <c r="U50" s="40" t="str">
        <f>IF(Y50&lt;&gt;" ",Y50,IFERROR(VLOOKUP(R50,IF('Spek Produk'!$F$9="Syariah",Medic!$A$21:$L$27,Medic!$A$12:$L$18),MATCH(T50,IF('Spek Produk'!$F$9="Syariah",Medic!$B$21:$L$21,Medic!$B$12:$L$12),TRUE)+1),""))</f>
        <v/>
      </c>
      <c r="V50" s="91">
        <f t="shared" si="7"/>
        <v>0</v>
      </c>
      <c r="W50" s="41" t="str">
        <f t="shared" si="3"/>
        <v/>
      </c>
      <c r="X50" s="91" t="str">
        <f t="shared" si="4"/>
        <v/>
      </c>
      <c r="Y50" s="77" t="str" cm="1">
        <f t="array" ref="Y50">IF(M50="Menurun",IF(AND(R50&gt;'Spek Produk'!$I$23,R50&lt;&gt;""),"Usia masuk lebih besar dari fitur produk",IF(AND(R50&lt;'Spek Produk'!$G$23,R50&lt;&gt;0,R50&lt;&gt;""),"Usia masuk lebih rendah dari fitur produk",IF(OR(O50&gt;_xlfn.IFS(R50+K50+(L50/12)&lt;='Spek Produk'!$C$40,'Spek Produk'!$D$40,R50+K50+(L50/12)&gt;'Spek Produk'!$C$40,'Spek Produk'!$D$41),T50&gt;_xlfn.IFS(R50+K50+(L50/12)&lt;='Spek Produk'!$C$40,'Spek Produk'!$D$40,R50+K50+(L50/12)&gt;'Spek Produk'!$C$40,'Spek Produk'!$D$41),IFERROR(VLOOKUP(R50,IF('Spek Produk'!$F$9="Syariah",Medic!$A$21:$L$27,Medic!$A$12:$L$18),MATCH(T50,IF('Spek Produk'!$F$9="Syariah",Medic!$B$21:$L$21,Medic!$B$12:$L$12),TRUE)+1)="-","")),"UP lebih besar dari fitur produk",IF(K50+L50/12&gt;'Spek Produk'!$I$22,"Masa asuransi lebih besar dari fitur produk",IF(AND(R50+K50+L50/12&gt;'Spek Produk'!$H$24,R50&lt;&gt;0,R50&lt;&gt;""),"Maksimum masa asuransi untuk nasabah berusia "&amp;R50&amp;" tahun adalah "&amp;MAX(0,'Spek Produk'!$H$24-R50)&amp;" tahun",IF(AND(0&lt;K50+L50/12,K50+L50/12&lt;'Spek Produk'!$G$22),"Masa asuransi lebih kecil dari fitur produk"," ")))))),IF(AND(R50&gt;'Spek Produk'!$I$35,R50&lt;&gt;""),"Usia masuk lebih besar dari fitur produk",IF(AND(R50&lt;'Spek Produk'!$G$35,R50&lt;&gt;0,R50&lt;&gt;""),"Usia masuk lebih rendah dari fitur produk",IF(OR(O50&gt;_xlfn.IFS(R50+K50+(L50/12)&lt;='Spek Produk'!$C$40,'Spek Produk'!$D$40,R50+K50+(L50/12)&gt;'Spek Produk'!$C$40,'Spek Produk'!$D$41),T50&gt;_xlfn.IFS(R50+K50+(L50/12)&lt;='Spek Produk'!$C$40,'Spek Produk'!$D$40,R50+K50+(L50/12)&gt;'Spek Produk'!$C$40,'Spek Produk'!$D$41),IFERROR(VLOOKUP(R50,IF('Spek Produk'!$F$9="Syariah",Medic!$A$21:$L$27,Medic!$A$12:$L$18),MATCH(T50,IF('Spek Produk'!$F$9="Syariah",Medic!$B$21:$L$21,Medic!$B$12:$L$12),TRUE)+1)="-","")),"UP lebih besar dari fitur produk",IF(K50+L50/12&gt;'Spek Produk'!$I$34,"Masa asuransi lebih besar dari fitur produk",IF(AND(R50+K50+L50/12&gt;'Spek Produk'!$H$36,R50&lt;&gt;0,R50&lt;&gt;""),"Maksimum masa asuransi untuk nasabah berusia "&amp;R50&amp;" tahun adalah "&amp;MAX(0,'Spek Produk'!$H$36-R50)&amp;" tahun",IF(AND(0&lt;K50+L50/12,K50+L50/12&lt;'Spek Produk'!$G$34),"Masa asuransi lebih Kecil dari fitur produk"," ")))))))</f>
        <v xml:space="preserve"> </v>
      </c>
      <c r="Z50" s="77"/>
    </row>
    <row r="51" spans="1:26" x14ac:dyDescent="0.25">
      <c r="A51" s="43">
        <f t="shared" si="5"/>
        <v>46</v>
      </c>
      <c r="B51" s="34"/>
      <c r="C51" s="35"/>
      <c r="D51" s="34"/>
      <c r="E51" s="36"/>
      <c r="F51" s="33"/>
      <c r="G51" s="33"/>
      <c r="H51" s="37"/>
      <c r="I51" s="88"/>
      <c r="J51" s="88"/>
      <c r="K51" s="33"/>
      <c r="L51" s="33"/>
      <c r="M51" s="33"/>
      <c r="N51" s="33"/>
      <c r="O51" s="38"/>
      <c r="Q51" s="108">
        <v>0</v>
      </c>
      <c r="R51" s="39">
        <f t="shared" si="1"/>
        <v>0</v>
      </c>
      <c r="S51" s="111">
        <f t="shared" si="6"/>
        <v>0</v>
      </c>
      <c r="T51" s="105">
        <f>IF(N51="Yes",IF(O51/(1-(IFERROR(IF(R51=0,0,ROUND(IF(K51*12+L51&lt;12,VLOOKUP(K51*12+L51,Faktor_Multiplier,2,FALSE)*VLOOKUP(R51,IF(M51="Menurun",Premium_Table_Dec,Premium_Table_Flat),2,FALSE),VLOOKUP(R51,IF(M51="Menurun",Premium_Table_Dec,Premium_Table_Flat),K51+1,FALSE)+IFERROR((VLOOKUP(R51,IF(M51="Menurun",Premium_Table_Dec,Premium_Table_Flat),K51+2,FALSE)-VLOOKUP(R51,IF(M51="Menurun",Premium_Table_Dec,Premium_Table_Flat),K51+1,FALSE)),0)*L51/12),2)+
ROUND(IF(K51*12+L51&lt;12,VLOOKUP(K51*12+L51,Faktor_Multiplier,2,FALSE)*VLOOKUP(R51,IF(M51="Menurun",Premium_Table_Dec,Premium_Table_Flat),2,FALSE),VLOOKUP(R51,IF(M51="Menurun",Premium_Table_Dec,Premium_Table_Flat),K51+1,FALSE)+IFERROR((VLOOKUP(R51,IF(M51="Menurun",Premium_Table_Dec,Premium_Table_Flat),K51+2,FALSE)-VLOOKUP(R51,IF(M51="Menurun",Premium_Table_Dec,Premium_Table_Flat),K51+1,FALSE)),0)*L51/12),2)*Q51/100),"Perhatikan Ketentuan Usia + Masa Asuransi")/1000))&gt;'Spek Produk'!$F$8,"UP lebih besar dari fitur produk",O51/(1-(IFERROR(IF(R51=0,0,ROUND(IF(K51*12+L51&lt;12,VLOOKUP(K51*12+L51,Faktor_Multiplier,2,FALSE)*VLOOKUP(R51,IF(M51="Menurun",Premium_Table_Dec,Premium_Table_Flat),2,FALSE),VLOOKUP(R51,IF(M51="Menurun",Premium_Table_Dec,Premium_Table_Flat),K51+1,FALSE)+IFERROR((VLOOKUP(R51,IF(M51="Menurun",Premium_Table_Dec,Premium_Table_Flat),K51+2,FALSE)-VLOOKUP(R51,IF(M51="Menurun",Premium_Table_Dec,Premium_Table_Flat),K51+1,FALSE)),0)*L51/12),2)+
ROUND(IF(K51*12+L51&lt;12,VLOOKUP(K51*12+L51,Faktor_Multiplier,2,FALSE)*VLOOKUP(R51,IF(M51="Menurun",Premium_Table_Dec,Premium_Table_Flat),2,FALSE),VLOOKUP(R51,IF(M51="Menurun",Premium_Table_Dec,Premium_Table_Flat),K51+1,FALSE)+IFERROR((VLOOKUP(R51,IF(M51="Menurun",Premium_Table_Dec,Premium_Table_Flat),K51+2,FALSE)-VLOOKUP(R51,IF(M51="Menurun",Premium_Table_Dec,Premium_Table_Flat),K51+1,FALSE)),0)*L51/12),2)*Q51/100),"Perhatikan Ketentuan Usia + Masa Asuransi")/1000))),O51)</f>
        <v>0</v>
      </c>
      <c r="U51" s="40" t="str">
        <f>IF(Y51&lt;&gt;" ",Y51,IFERROR(VLOOKUP(R51,IF('Spek Produk'!$F$9="Syariah",Medic!$A$21:$L$27,Medic!$A$12:$L$18),MATCH(T51,IF('Spek Produk'!$F$9="Syariah",Medic!$B$21:$L$21,Medic!$B$12:$L$12),TRUE)+1),""))</f>
        <v/>
      </c>
      <c r="V51" s="91">
        <f t="shared" si="7"/>
        <v>0</v>
      </c>
      <c r="W51" s="41" t="str">
        <f t="shared" si="3"/>
        <v/>
      </c>
      <c r="X51" s="91" t="str">
        <f t="shared" si="4"/>
        <v/>
      </c>
      <c r="Y51" s="77" t="str" cm="1">
        <f t="array" ref="Y51">IF(M51="Menurun",IF(AND(R51&gt;'Spek Produk'!$I$23,R51&lt;&gt;""),"Usia masuk lebih besar dari fitur produk",IF(AND(R51&lt;'Spek Produk'!$G$23,R51&lt;&gt;0,R51&lt;&gt;""),"Usia masuk lebih rendah dari fitur produk",IF(OR(O51&gt;_xlfn.IFS(R51+K51+(L51/12)&lt;='Spek Produk'!$C$40,'Spek Produk'!$D$40,R51+K51+(L51/12)&gt;'Spek Produk'!$C$40,'Spek Produk'!$D$41),T51&gt;_xlfn.IFS(R51+K51+(L51/12)&lt;='Spek Produk'!$C$40,'Spek Produk'!$D$40,R51+K51+(L51/12)&gt;'Spek Produk'!$C$40,'Spek Produk'!$D$41),IFERROR(VLOOKUP(R51,IF('Spek Produk'!$F$9="Syariah",Medic!$A$21:$L$27,Medic!$A$12:$L$18),MATCH(T51,IF('Spek Produk'!$F$9="Syariah",Medic!$B$21:$L$21,Medic!$B$12:$L$12),TRUE)+1)="-","")),"UP lebih besar dari fitur produk",IF(K51+L51/12&gt;'Spek Produk'!$I$22,"Masa asuransi lebih besar dari fitur produk",IF(AND(R51+K51+L51/12&gt;'Spek Produk'!$H$24,R51&lt;&gt;0,R51&lt;&gt;""),"Maksimum masa asuransi untuk nasabah berusia "&amp;R51&amp;" tahun adalah "&amp;MAX(0,'Spek Produk'!$H$24-R51)&amp;" tahun",IF(AND(0&lt;K51+L51/12,K51+L51/12&lt;'Spek Produk'!$G$22),"Masa asuransi lebih kecil dari fitur produk"," ")))))),IF(AND(R51&gt;'Spek Produk'!$I$35,R51&lt;&gt;""),"Usia masuk lebih besar dari fitur produk",IF(AND(R51&lt;'Spek Produk'!$G$35,R51&lt;&gt;0,R51&lt;&gt;""),"Usia masuk lebih rendah dari fitur produk",IF(OR(O51&gt;_xlfn.IFS(R51+K51+(L51/12)&lt;='Spek Produk'!$C$40,'Spek Produk'!$D$40,R51+K51+(L51/12)&gt;'Spek Produk'!$C$40,'Spek Produk'!$D$41),T51&gt;_xlfn.IFS(R51+K51+(L51/12)&lt;='Spek Produk'!$C$40,'Spek Produk'!$D$40,R51+K51+(L51/12)&gt;'Spek Produk'!$C$40,'Spek Produk'!$D$41),IFERROR(VLOOKUP(R51,IF('Spek Produk'!$F$9="Syariah",Medic!$A$21:$L$27,Medic!$A$12:$L$18),MATCH(T51,IF('Spek Produk'!$F$9="Syariah",Medic!$B$21:$L$21,Medic!$B$12:$L$12),TRUE)+1)="-","")),"UP lebih besar dari fitur produk",IF(K51+L51/12&gt;'Spek Produk'!$I$34,"Masa asuransi lebih besar dari fitur produk",IF(AND(R51+K51+L51/12&gt;'Spek Produk'!$H$36,R51&lt;&gt;0,R51&lt;&gt;""),"Maksimum masa asuransi untuk nasabah berusia "&amp;R51&amp;" tahun adalah "&amp;MAX(0,'Spek Produk'!$H$36-R51)&amp;" tahun",IF(AND(0&lt;K51+L51/12,K51+L51/12&lt;'Spek Produk'!$G$34),"Masa asuransi lebih Kecil dari fitur produk"," ")))))))</f>
        <v xml:space="preserve"> </v>
      </c>
      <c r="Z51" s="77"/>
    </row>
    <row r="52" spans="1:26" x14ac:dyDescent="0.25">
      <c r="A52" s="43">
        <f t="shared" si="5"/>
        <v>47</v>
      </c>
      <c r="B52" s="34"/>
      <c r="C52" s="35"/>
      <c r="D52" s="34"/>
      <c r="E52" s="36"/>
      <c r="F52" s="33"/>
      <c r="G52" s="33"/>
      <c r="H52" s="37"/>
      <c r="I52" s="88"/>
      <c r="J52" s="88"/>
      <c r="K52" s="33"/>
      <c r="L52" s="33"/>
      <c r="M52" s="33"/>
      <c r="N52" s="33"/>
      <c r="O52" s="38"/>
      <c r="Q52" s="108">
        <v>0</v>
      </c>
      <c r="R52" s="39">
        <f t="shared" si="1"/>
        <v>0</v>
      </c>
      <c r="S52" s="111">
        <f t="shared" si="6"/>
        <v>0</v>
      </c>
      <c r="T52" s="105">
        <f>IF(N52="Yes",IF(O52/(1-(IFERROR(IF(R52=0,0,ROUND(IF(K52*12+L52&lt;12,VLOOKUP(K52*12+L52,Faktor_Multiplier,2,FALSE)*VLOOKUP(R52,IF(M52="Menurun",Premium_Table_Dec,Premium_Table_Flat),2,FALSE),VLOOKUP(R52,IF(M52="Menurun",Premium_Table_Dec,Premium_Table_Flat),K52+1,FALSE)+IFERROR((VLOOKUP(R52,IF(M52="Menurun",Premium_Table_Dec,Premium_Table_Flat),K52+2,FALSE)-VLOOKUP(R52,IF(M52="Menurun",Premium_Table_Dec,Premium_Table_Flat),K52+1,FALSE)),0)*L52/12),2)+
ROUND(IF(K52*12+L52&lt;12,VLOOKUP(K52*12+L52,Faktor_Multiplier,2,FALSE)*VLOOKUP(R52,IF(M52="Menurun",Premium_Table_Dec,Premium_Table_Flat),2,FALSE),VLOOKUP(R52,IF(M52="Menurun",Premium_Table_Dec,Premium_Table_Flat),K52+1,FALSE)+IFERROR((VLOOKUP(R52,IF(M52="Menurun",Premium_Table_Dec,Premium_Table_Flat),K52+2,FALSE)-VLOOKUP(R52,IF(M52="Menurun",Premium_Table_Dec,Premium_Table_Flat),K52+1,FALSE)),0)*L52/12),2)*Q52/100),"Perhatikan Ketentuan Usia + Masa Asuransi")/1000))&gt;'Spek Produk'!$F$8,"UP lebih besar dari fitur produk",O52/(1-(IFERROR(IF(R52=0,0,ROUND(IF(K52*12+L52&lt;12,VLOOKUP(K52*12+L52,Faktor_Multiplier,2,FALSE)*VLOOKUP(R52,IF(M52="Menurun",Premium_Table_Dec,Premium_Table_Flat),2,FALSE),VLOOKUP(R52,IF(M52="Menurun",Premium_Table_Dec,Premium_Table_Flat),K52+1,FALSE)+IFERROR((VLOOKUP(R52,IF(M52="Menurun",Premium_Table_Dec,Premium_Table_Flat),K52+2,FALSE)-VLOOKUP(R52,IF(M52="Menurun",Premium_Table_Dec,Premium_Table_Flat),K52+1,FALSE)),0)*L52/12),2)+
ROUND(IF(K52*12+L52&lt;12,VLOOKUP(K52*12+L52,Faktor_Multiplier,2,FALSE)*VLOOKUP(R52,IF(M52="Menurun",Premium_Table_Dec,Premium_Table_Flat),2,FALSE),VLOOKUP(R52,IF(M52="Menurun",Premium_Table_Dec,Premium_Table_Flat),K52+1,FALSE)+IFERROR((VLOOKUP(R52,IF(M52="Menurun",Premium_Table_Dec,Premium_Table_Flat),K52+2,FALSE)-VLOOKUP(R52,IF(M52="Menurun",Premium_Table_Dec,Premium_Table_Flat),K52+1,FALSE)),0)*L52/12),2)*Q52/100),"Perhatikan Ketentuan Usia + Masa Asuransi")/1000))),O52)</f>
        <v>0</v>
      </c>
      <c r="U52" s="40" t="str">
        <f>IF(Y52&lt;&gt;" ",Y52,IFERROR(VLOOKUP(R52,IF('Spek Produk'!$F$9="Syariah",Medic!$A$21:$L$27,Medic!$A$12:$L$18),MATCH(T52,IF('Spek Produk'!$F$9="Syariah",Medic!$B$21:$L$21,Medic!$B$12:$L$12),TRUE)+1),""))</f>
        <v/>
      </c>
      <c r="V52" s="91">
        <f t="shared" si="7"/>
        <v>0</v>
      </c>
      <c r="W52" s="41" t="str">
        <f t="shared" si="3"/>
        <v/>
      </c>
      <c r="X52" s="91" t="str">
        <f t="shared" si="4"/>
        <v/>
      </c>
      <c r="Y52" s="77" t="str" cm="1">
        <f t="array" ref="Y52">IF(M52="Menurun",IF(AND(R52&gt;'Spek Produk'!$I$23,R52&lt;&gt;""),"Usia masuk lebih besar dari fitur produk",IF(AND(R52&lt;'Spek Produk'!$G$23,R52&lt;&gt;0,R52&lt;&gt;""),"Usia masuk lebih rendah dari fitur produk",IF(OR(O52&gt;_xlfn.IFS(R52+K52+(L52/12)&lt;='Spek Produk'!$C$40,'Spek Produk'!$D$40,R52+K52+(L52/12)&gt;'Spek Produk'!$C$40,'Spek Produk'!$D$41),T52&gt;_xlfn.IFS(R52+K52+(L52/12)&lt;='Spek Produk'!$C$40,'Spek Produk'!$D$40,R52+K52+(L52/12)&gt;'Spek Produk'!$C$40,'Spek Produk'!$D$41),IFERROR(VLOOKUP(R52,IF('Spek Produk'!$F$9="Syariah",Medic!$A$21:$L$27,Medic!$A$12:$L$18),MATCH(T52,IF('Spek Produk'!$F$9="Syariah",Medic!$B$21:$L$21,Medic!$B$12:$L$12),TRUE)+1)="-","")),"UP lebih besar dari fitur produk",IF(K52+L52/12&gt;'Spek Produk'!$I$22,"Masa asuransi lebih besar dari fitur produk",IF(AND(R52+K52+L52/12&gt;'Spek Produk'!$H$24,R52&lt;&gt;0,R52&lt;&gt;""),"Maksimum masa asuransi untuk nasabah berusia "&amp;R52&amp;" tahun adalah "&amp;MAX(0,'Spek Produk'!$H$24-R52)&amp;" tahun",IF(AND(0&lt;K52+L52/12,K52+L52/12&lt;'Spek Produk'!$G$22),"Masa asuransi lebih kecil dari fitur produk"," ")))))),IF(AND(R52&gt;'Spek Produk'!$I$35,R52&lt;&gt;""),"Usia masuk lebih besar dari fitur produk",IF(AND(R52&lt;'Spek Produk'!$G$35,R52&lt;&gt;0,R52&lt;&gt;""),"Usia masuk lebih rendah dari fitur produk",IF(OR(O52&gt;_xlfn.IFS(R52+K52+(L52/12)&lt;='Spek Produk'!$C$40,'Spek Produk'!$D$40,R52+K52+(L52/12)&gt;'Spek Produk'!$C$40,'Spek Produk'!$D$41),T52&gt;_xlfn.IFS(R52+K52+(L52/12)&lt;='Spek Produk'!$C$40,'Spek Produk'!$D$40,R52+K52+(L52/12)&gt;'Spek Produk'!$C$40,'Spek Produk'!$D$41),IFERROR(VLOOKUP(R52,IF('Spek Produk'!$F$9="Syariah",Medic!$A$21:$L$27,Medic!$A$12:$L$18),MATCH(T52,IF('Spek Produk'!$F$9="Syariah",Medic!$B$21:$L$21,Medic!$B$12:$L$12),TRUE)+1)="-","")),"UP lebih besar dari fitur produk",IF(K52+L52/12&gt;'Spek Produk'!$I$34,"Masa asuransi lebih besar dari fitur produk",IF(AND(R52+K52+L52/12&gt;'Spek Produk'!$H$36,R52&lt;&gt;0,R52&lt;&gt;""),"Maksimum masa asuransi untuk nasabah berusia "&amp;R52&amp;" tahun adalah "&amp;MAX(0,'Spek Produk'!$H$36-R52)&amp;" tahun",IF(AND(0&lt;K52+L52/12,K52+L52/12&lt;'Spek Produk'!$G$34),"Masa asuransi lebih Kecil dari fitur produk"," ")))))))</f>
        <v xml:space="preserve"> </v>
      </c>
      <c r="Z52" s="77"/>
    </row>
    <row r="53" spans="1:26" x14ac:dyDescent="0.25">
      <c r="A53" s="43">
        <f t="shared" si="5"/>
        <v>48</v>
      </c>
      <c r="B53" s="34"/>
      <c r="C53" s="35"/>
      <c r="D53" s="34"/>
      <c r="E53" s="36"/>
      <c r="F53" s="33"/>
      <c r="G53" s="33"/>
      <c r="H53" s="37"/>
      <c r="I53" s="88"/>
      <c r="J53" s="88"/>
      <c r="K53" s="33"/>
      <c r="L53" s="33"/>
      <c r="M53" s="33"/>
      <c r="N53" s="33"/>
      <c r="O53" s="38"/>
      <c r="Q53" s="108">
        <v>0</v>
      </c>
      <c r="R53" s="39">
        <f t="shared" si="1"/>
        <v>0</v>
      </c>
      <c r="S53" s="111">
        <f t="shared" si="6"/>
        <v>0</v>
      </c>
      <c r="T53" s="105">
        <f>IF(N53="Yes",IF(O53/(1-(IFERROR(IF(R53=0,0,ROUND(IF(K53*12+L53&lt;12,VLOOKUP(K53*12+L53,Faktor_Multiplier,2,FALSE)*VLOOKUP(R53,IF(M53="Menurun",Premium_Table_Dec,Premium_Table_Flat),2,FALSE),VLOOKUP(R53,IF(M53="Menurun",Premium_Table_Dec,Premium_Table_Flat),K53+1,FALSE)+IFERROR((VLOOKUP(R53,IF(M53="Menurun",Premium_Table_Dec,Premium_Table_Flat),K53+2,FALSE)-VLOOKUP(R53,IF(M53="Menurun",Premium_Table_Dec,Premium_Table_Flat),K53+1,FALSE)),0)*L53/12),2)+
ROUND(IF(K53*12+L53&lt;12,VLOOKUP(K53*12+L53,Faktor_Multiplier,2,FALSE)*VLOOKUP(R53,IF(M53="Menurun",Premium_Table_Dec,Premium_Table_Flat),2,FALSE),VLOOKUP(R53,IF(M53="Menurun",Premium_Table_Dec,Premium_Table_Flat),K53+1,FALSE)+IFERROR((VLOOKUP(R53,IF(M53="Menurun",Premium_Table_Dec,Premium_Table_Flat),K53+2,FALSE)-VLOOKUP(R53,IF(M53="Menurun",Premium_Table_Dec,Premium_Table_Flat),K53+1,FALSE)),0)*L53/12),2)*Q53/100),"Perhatikan Ketentuan Usia + Masa Asuransi")/1000))&gt;'Spek Produk'!$F$8,"UP lebih besar dari fitur produk",O53/(1-(IFERROR(IF(R53=0,0,ROUND(IF(K53*12+L53&lt;12,VLOOKUP(K53*12+L53,Faktor_Multiplier,2,FALSE)*VLOOKUP(R53,IF(M53="Menurun",Premium_Table_Dec,Premium_Table_Flat),2,FALSE),VLOOKUP(R53,IF(M53="Menurun",Premium_Table_Dec,Premium_Table_Flat),K53+1,FALSE)+IFERROR((VLOOKUP(R53,IF(M53="Menurun",Premium_Table_Dec,Premium_Table_Flat),K53+2,FALSE)-VLOOKUP(R53,IF(M53="Menurun",Premium_Table_Dec,Premium_Table_Flat),K53+1,FALSE)),0)*L53/12),2)+
ROUND(IF(K53*12+L53&lt;12,VLOOKUP(K53*12+L53,Faktor_Multiplier,2,FALSE)*VLOOKUP(R53,IF(M53="Menurun",Premium_Table_Dec,Premium_Table_Flat),2,FALSE),VLOOKUP(R53,IF(M53="Menurun",Premium_Table_Dec,Premium_Table_Flat),K53+1,FALSE)+IFERROR((VLOOKUP(R53,IF(M53="Menurun",Premium_Table_Dec,Premium_Table_Flat),K53+2,FALSE)-VLOOKUP(R53,IF(M53="Menurun",Premium_Table_Dec,Premium_Table_Flat),K53+1,FALSE)),0)*L53/12),2)*Q53/100),"Perhatikan Ketentuan Usia + Masa Asuransi")/1000))),O53)</f>
        <v>0</v>
      </c>
      <c r="U53" s="40" t="str">
        <f>IF(Y53&lt;&gt;" ",Y53,IFERROR(VLOOKUP(R53,IF('Spek Produk'!$F$9="Syariah",Medic!$A$21:$L$27,Medic!$A$12:$L$18),MATCH(T53,IF('Spek Produk'!$F$9="Syariah",Medic!$B$21:$L$21,Medic!$B$12:$L$12),TRUE)+1),""))</f>
        <v/>
      </c>
      <c r="V53" s="91">
        <f t="shared" si="7"/>
        <v>0</v>
      </c>
      <c r="W53" s="41" t="str">
        <f t="shared" si="3"/>
        <v/>
      </c>
      <c r="X53" s="91" t="str">
        <f t="shared" si="4"/>
        <v/>
      </c>
      <c r="Y53" s="77" t="str" cm="1">
        <f t="array" ref="Y53">IF(M53="Menurun",IF(AND(R53&gt;'Spek Produk'!$I$23,R53&lt;&gt;""),"Usia masuk lebih besar dari fitur produk",IF(AND(R53&lt;'Spek Produk'!$G$23,R53&lt;&gt;0,R53&lt;&gt;""),"Usia masuk lebih rendah dari fitur produk",IF(OR(O53&gt;_xlfn.IFS(R53+K53+(L53/12)&lt;='Spek Produk'!$C$40,'Spek Produk'!$D$40,R53+K53+(L53/12)&gt;'Spek Produk'!$C$40,'Spek Produk'!$D$41),T53&gt;_xlfn.IFS(R53+K53+(L53/12)&lt;='Spek Produk'!$C$40,'Spek Produk'!$D$40,R53+K53+(L53/12)&gt;'Spek Produk'!$C$40,'Spek Produk'!$D$41),IFERROR(VLOOKUP(R53,IF('Spek Produk'!$F$9="Syariah",Medic!$A$21:$L$27,Medic!$A$12:$L$18),MATCH(T53,IF('Spek Produk'!$F$9="Syariah",Medic!$B$21:$L$21,Medic!$B$12:$L$12),TRUE)+1)="-","")),"UP lebih besar dari fitur produk",IF(K53+L53/12&gt;'Spek Produk'!$I$22,"Masa asuransi lebih besar dari fitur produk",IF(AND(R53+K53+L53/12&gt;'Spek Produk'!$H$24,R53&lt;&gt;0,R53&lt;&gt;""),"Maksimum masa asuransi untuk nasabah berusia "&amp;R53&amp;" tahun adalah "&amp;MAX(0,'Spek Produk'!$H$24-R53)&amp;" tahun",IF(AND(0&lt;K53+L53/12,K53+L53/12&lt;'Spek Produk'!$G$22),"Masa asuransi lebih kecil dari fitur produk"," ")))))),IF(AND(R53&gt;'Spek Produk'!$I$35,R53&lt;&gt;""),"Usia masuk lebih besar dari fitur produk",IF(AND(R53&lt;'Spek Produk'!$G$35,R53&lt;&gt;0,R53&lt;&gt;""),"Usia masuk lebih rendah dari fitur produk",IF(OR(O53&gt;_xlfn.IFS(R53+K53+(L53/12)&lt;='Spek Produk'!$C$40,'Spek Produk'!$D$40,R53+K53+(L53/12)&gt;'Spek Produk'!$C$40,'Spek Produk'!$D$41),T53&gt;_xlfn.IFS(R53+K53+(L53/12)&lt;='Spek Produk'!$C$40,'Spek Produk'!$D$40,R53+K53+(L53/12)&gt;'Spek Produk'!$C$40,'Spek Produk'!$D$41),IFERROR(VLOOKUP(R53,IF('Spek Produk'!$F$9="Syariah",Medic!$A$21:$L$27,Medic!$A$12:$L$18),MATCH(T53,IF('Spek Produk'!$F$9="Syariah",Medic!$B$21:$L$21,Medic!$B$12:$L$12),TRUE)+1)="-","")),"UP lebih besar dari fitur produk",IF(K53+L53/12&gt;'Spek Produk'!$I$34,"Masa asuransi lebih besar dari fitur produk",IF(AND(R53+K53+L53/12&gt;'Spek Produk'!$H$36,R53&lt;&gt;0,R53&lt;&gt;""),"Maksimum masa asuransi untuk nasabah berusia "&amp;R53&amp;" tahun adalah "&amp;MAX(0,'Spek Produk'!$H$36-R53)&amp;" tahun",IF(AND(0&lt;K53+L53/12,K53+L53/12&lt;'Spek Produk'!$G$34),"Masa asuransi lebih Kecil dari fitur produk"," ")))))))</f>
        <v xml:space="preserve"> </v>
      </c>
      <c r="Z53" s="77"/>
    </row>
    <row r="54" spans="1:26" x14ac:dyDescent="0.25">
      <c r="A54" s="43">
        <f t="shared" si="5"/>
        <v>49</v>
      </c>
      <c r="B54" s="34"/>
      <c r="C54" s="35"/>
      <c r="D54" s="34"/>
      <c r="E54" s="36"/>
      <c r="F54" s="33"/>
      <c r="G54" s="33"/>
      <c r="H54" s="37"/>
      <c r="I54" s="88"/>
      <c r="J54" s="88"/>
      <c r="K54" s="33"/>
      <c r="L54" s="33"/>
      <c r="M54" s="33"/>
      <c r="N54" s="33"/>
      <c r="O54" s="38"/>
      <c r="Q54" s="108">
        <v>0</v>
      </c>
      <c r="R54" s="39">
        <f t="shared" si="1"/>
        <v>0</v>
      </c>
      <c r="S54" s="111">
        <f t="shared" si="6"/>
        <v>0</v>
      </c>
      <c r="T54" s="105">
        <f>IF(N54="Yes",IF(O54/(1-(IFERROR(IF(R54=0,0,ROUND(IF(K54*12+L54&lt;12,VLOOKUP(K54*12+L54,Faktor_Multiplier,2,FALSE)*VLOOKUP(R54,IF(M54="Menurun",Premium_Table_Dec,Premium_Table_Flat),2,FALSE),VLOOKUP(R54,IF(M54="Menurun",Premium_Table_Dec,Premium_Table_Flat),K54+1,FALSE)+IFERROR((VLOOKUP(R54,IF(M54="Menurun",Premium_Table_Dec,Premium_Table_Flat),K54+2,FALSE)-VLOOKUP(R54,IF(M54="Menurun",Premium_Table_Dec,Premium_Table_Flat),K54+1,FALSE)),0)*L54/12),2)+
ROUND(IF(K54*12+L54&lt;12,VLOOKUP(K54*12+L54,Faktor_Multiplier,2,FALSE)*VLOOKUP(R54,IF(M54="Menurun",Premium_Table_Dec,Premium_Table_Flat),2,FALSE),VLOOKUP(R54,IF(M54="Menurun",Premium_Table_Dec,Premium_Table_Flat),K54+1,FALSE)+IFERROR((VLOOKUP(R54,IF(M54="Menurun",Premium_Table_Dec,Premium_Table_Flat),K54+2,FALSE)-VLOOKUP(R54,IF(M54="Menurun",Premium_Table_Dec,Premium_Table_Flat),K54+1,FALSE)),0)*L54/12),2)*Q54/100),"Perhatikan Ketentuan Usia + Masa Asuransi")/1000))&gt;'Spek Produk'!$F$8,"UP lebih besar dari fitur produk",O54/(1-(IFERROR(IF(R54=0,0,ROUND(IF(K54*12+L54&lt;12,VLOOKUP(K54*12+L54,Faktor_Multiplier,2,FALSE)*VLOOKUP(R54,IF(M54="Menurun",Premium_Table_Dec,Premium_Table_Flat),2,FALSE),VLOOKUP(R54,IF(M54="Menurun",Premium_Table_Dec,Premium_Table_Flat),K54+1,FALSE)+IFERROR((VLOOKUP(R54,IF(M54="Menurun",Premium_Table_Dec,Premium_Table_Flat),K54+2,FALSE)-VLOOKUP(R54,IF(M54="Menurun",Premium_Table_Dec,Premium_Table_Flat),K54+1,FALSE)),0)*L54/12),2)+
ROUND(IF(K54*12+L54&lt;12,VLOOKUP(K54*12+L54,Faktor_Multiplier,2,FALSE)*VLOOKUP(R54,IF(M54="Menurun",Premium_Table_Dec,Premium_Table_Flat),2,FALSE),VLOOKUP(R54,IF(M54="Menurun",Premium_Table_Dec,Premium_Table_Flat),K54+1,FALSE)+IFERROR((VLOOKUP(R54,IF(M54="Menurun",Premium_Table_Dec,Premium_Table_Flat),K54+2,FALSE)-VLOOKUP(R54,IF(M54="Menurun",Premium_Table_Dec,Premium_Table_Flat),K54+1,FALSE)),0)*L54/12),2)*Q54/100),"Perhatikan Ketentuan Usia + Masa Asuransi")/1000))),O54)</f>
        <v>0</v>
      </c>
      <c r="U54" s="40" t="str">
        <f>IF(Y54&lt;&gt;" ",Y54,IFERROR(VLOOKUP(R54,IF('Spek Produk'!$F$9="Syariah",Medic!$A$21:$L$27,Medic!$A$12:$L$18),MATCH(T54,IF('Spek Produk'!$F$9="Syariah",Medic!$B$21:$L$21,Medic!$B$12:$L$12),TRUE)+1),""))</f>
        <v/>
      </c>
      <c r="V54" s="91">
        <f t="shared" si="7"/>
        <v>0</v>
      </c>
      <c r="W54" s="41" t="str">
        <f t="shared" si="3"/>
        <v/>
      </c>
      <c r="X54" s="91" t="str">
        <f t="shared" si="4"/>
        <v/>
      </c>
      <c r="Y54" s="77" t="str" cm="1">
        <f t="array" ref="Y54">IF(M54="Menurun",IF(AND(R54&gt;'Spek Produk'!$I$23,R54&lt;&gt;""),"Usia masuk lebih besar dari fitur produk",IF(AND(R54&lt;'Spek Produk'!$G$23,R54&lt;&gt;0,R54&lt;&gt;""),"Usia masuk lebih rendah dari fitur produk",IF(OR(O54&gt;_xlfn.IFS(R54+K54+(L54/12)&lt;='Spek Produk'!$C$40,'Spek Produk'!$D$40,R54+K54+(L54/12)&gt;'Spek Produk'!$C$40,'Spek Produk'!$D$41),T54&gt;_xlfn.IFS(R54+K54+(L54/12)&lt;='Spek Produk'!$C$40,'Spek Produk'!$D$40,R54+K54+(L54/12)&gt;'Spek Produk'!$C$40,'Spek Produk'!$D$41),IFERROR(VLOOKUP(R54,IF('Spek Produk'!$F$9="Syariah",Medic!$A$21:$L$27,Medic!$A$12:$L$18),MATCH(T54,IF('Spek Produk'!$F$9="Syariah",Medic!$B$21:$L$21,Medic!$B$12:$L$12),TRUE)+1)="-","")),"UP lebih besar dari fitur produk",IF(K54+L54/12&gt;'Spek Produk'!$I$22,"Masa asuransi lebih besar dari fitur produk",IF(AND(R54+K54+L54/12&gt;'Spek Produk'!$H$24,R54&lt;&gt;0,R54&lt;&gt;""),"Maksimum masa asuransi untuk nasabah berusia "&amp;R54&amp;" tahun adalah "&amp;MAX(0,'Spek Produk'!$H$24-R54)&amp;" tahun",IF(AND(0&lt;K54+L54/12,K54+L54/12&lt;'Spek Produk'!$G$22),"Masa asuransi lebih kecil dari fitur produk"," ")))))),IF(AND(R54&gt;'Spek Produk'!$I$35,R54&lt;&gt;""),"Usia masuk lebih besar dari fitur produk",IF(AND(R54&lt;'Spek Produk'!$G$35,R54&lt;&gt;0,R54&lt;&gt;""),"Usia masuk lebih rendah dari fitur produk",IF(OR(O54&gt;_xlfn.IFS(R54+K54+(L54/12)&lt;='Spek Produk'!$C$40,'Spek Produk'!$D$40,R54+K54+(L54/12)&gt;'Spek Produk'!$C$40,'Spek Produk'!$D$41),T54&gt;_xlfn.IFS(R54+K54+(L54/12)&lt;='Spek Produk'!$C$40,'Spek Produk'!$D$40,R54+K54+(L54/12)&gt;'Spek Produk'!$C$40,'Spek Produk'!$D$41),IFERROR(VLOOKUP(R54,IF('Spek Produk'!$F$9="Syariah",Medic!$A$21:$L$27,Medic!$A$12:$L$18),MATCH(T54,IF('Spek Produk'!$F$9="Syariah",Medic!$B$21:$L$21,Medic!$B$12:$L$12),TRUE)+1)="-","")),"UP lebih besar dari fitur produk",IF(K54+L54/12&gt;'Spek Produk'!$I$34,"Masa asuransi lebih besar dari fitur produk",IF(AND(R54+K54+L54/12&gt;'Spek Produk'!$H$36,R54&lt;&gt;0,R54&lt;&gt;""),"Maksimum masa asuransi untuk nasabah berusia "&amp;R54&amp;" tahun adalah "&amp;MAX(0,'Spek Produk'!$H$36-R54)&amp;" tahun",IF(AND(0&lt;K54+L54/12,K54+L54/12&lt;'Spek Produk'!$G$34),"Masa asuransi lebih Kecil dari fitur produk"," ")))))))</f>
        <v xml:space="preserve"> </v>
      </c>
      <c r="Z54" s="77"/>
    </row>
    <row r="55" spans="1:26" x14ac:dyDescent="0.25">
      <c r="A55" s="43">
        <f t="shared" si="5"/>
        <v>50</v>
      </c>
      <c r="B55" s="34"/>
      <c r="C55" s="35"/>
      <c r="D55" s="34"/>
      <c r="E55" s="36"/>
      <c r="F55" s="33"/>
      <c r="G55" s="33"/>
      <c r="H55" s="37"/>
      <c r="I55" s="88"/>
      <c r="J55" s="88"/>
      <c r="K55" s="33"/>
      <c r="L55" s="33"/>
      <c r="M55" s="33"/>
      <c r="N55" s="33"/>
      <c r="O55" s="38"/>
      <c r="Q55" s="108">
        <v>0</v>
      </c>
      <c r="R55" s="39">
        <f t="shared" si="1"/>
        <v>0</v>
      </c>
      <c r="S55" s="111">
        <f t="shared" si="6"/>
        <v>0</v>
      </c>
      <c r="T55" s="105">
        <f>IF(N55="Yes",IF(O55/(1-(IFERROR(IF(R55=0,0,ROUND(IF(K55*12+L55&lt;12,VLOOKUP(K55*12+L55,Faktor_Multiplier,2,FALSE)*VLOOKUP(R55,IF(M55="Menurun",Premium_Table_Dec,Premium_Table_Flat),2,FALSE),VLOOKUP(R55,IF(M55="Menurun",Premium_Table_Dec,Premium_Table_Flat),K55+1,FALSE)+IFERROR((VLOOKUP(R55,IF(M55="Menurun",Premium_Table_Dec,Premium_Table_Flat),K55+2,FALSE)-VLOOKUP(R55,IF(M55="Menurun",Premium_Table_Dec,Premium_Table_Flat),K55+1,FALSE)),0)*L55/12),2)+
ROUND(IF(K55*12+L55&lt;12,VLOOKUP(K55*12+L55,Faktor_Multiplier,2,FALSE)*VLOOKUP(R55,IF(M55="Menurun",Premium_Table_Dec,Premium_Table_Flat),2,FALSE),VLOOKUP(R55,IF(M55="Menurun",Premium_Table_Dec,Premium_Table_Flat),K55+1,FALSE)+IFERROR((VLOOKUP(R55,IF(M55="Menurun",Premium_Table_Dec,Premium_Table_Flat),K55+2,FALSE)-VLOOKUP(R55,IF(M55="Menurun",Premium_Table_Dec,Premium_Table_Flat),K55+1,FALSE)),0)*L55/12),2)*Q55/100),"Perhatikan Ketentuan Usia + Masa Asuransi")/1000))&gt;'Spek Produk'!$F$8,"UP lebih besar dari fitur produk",O55/(1-(IFERROR(IF(R55=0,0,ROUND(IF(K55*12+L55&lt;12,VLOOKUP(K55*12+L55,Faktor_Multiplier,2,FALSE)*VLOOKUP(R55,IF(M55="Menurun",Premium_Table_Dec,Premium_Table_Flat),2,FALSE),VLOOKUP(R55,IF(M55="Menurun",Premium_Table_Dec,Premium_Table_Flat),K55+1,FALSE)+IFERROR((VLOOKUP(R55,IF(M55="Menurun",Premium_Table_Dec,Premium_Table_Flat),K55+2,FALSE)-VLOOKUP(R55,IF(M55="Menurun",Premium_Table_Dec,Premium_Table_Flat),K55+1,FALSE)),0)*L55/12),2)+
ROUND(IF(K55*12+L55&lt;12,VLOOKUP(K55*12+L55,Faktor_Multiplier,2,FALSE)*VLOOKUP(R55,IF(M55="Menurun",Premium_Table_Dec,Premium_Table_Flat),2,FALSE),VLOOKUP(R55,IF(M55="Menurun",Premium_Table_Dec,Premium_Table_Flat),K55+1,FALSE)+IFERROR((VLOOKUP(R55,IF(M55="Menurun",Premium_Table_Dec,Premium_Table_Flat),K55+2,FALSE)-VLOOKUP(R55,IF(M55="Menurun",Premium_Table_Dec,Premium_Table_Flat),K55+1,FALSE)),0)*L55/12),2)*Q55/100),"Perhatikan Ketentuan Usia + Masa Asuransi")/1000))),O55)</f>
        <v>0</v>
      </c>
      <c r="U55" s="40" t="str">
        <f>IF(Y55&lt;&gt;" ",Y55,IFERROR(VLOOKUP(R55,IF('Spek Produk'!$F$9="Syariah",Medic!$A$21:$L$27,Medic!$A$12:$L$18),MATCH(T55,IF('Spek Produk'!$F$9="Syariah",Medic!$B$21:$L$21,Medic!$B$12:$L$12),TRUE)+1),""))</f>
        <v/>
      </c>
      <c r="V55" s="91">
        <f t="shared" si="7"/>
        <v>0</v>
      </c>
      <c r="W55" s="41" t="str">
        <f t="shared" si="3"/>
        <v/>
      </c>
      <c r="X55" s="91" t="str">
        <f t="shared" si="4"/>
        <v/>
      </c>
      <c r="Y55" s="77" t="str" cm="1">
        <f t="array" ref="Y55">IF(M55="Menurun",IF(AND(R55&gt;'Spek Produk'!$I$23,R55&lt;&gt;""),"Usia masuk lebih besar dari fitur produk",IF(AND(R55&lt;'Spek Produk'!$G$23,R55&lt;&gt;0,R55&lt;&gt;""),"Usia masuk lebih rendah dari fitur produk",IF(OR(O55&gt;_xlfn.IFS(R55+K55+(L55/12)&lt;='Spek Produk'!$C$40,'Spek Produk'!$D$40,R55+K55+(L55/12)&gt;'Spek Produk'!$C$40,'Spek Produk'!$D$41),T55&gt;_xlfn.IFS(R55+K55+(L55/12)&lt;='Spek Produk'!$C$40,'Spek Produk'!$D$40,R55+K55+(L55/12)&gt;'Spek Produk'!$C$40,'Spek Produk'!$D$41),IFERROR(VLOOKUP(R55,IF('Spek Produk'!$F$9="Syariah",Medic!$A$21:$L$27,Medic!$A$12:$L$18),MATCH(T55,IF('Spek Produk'!$F$9="Syariah",Medic!$B$21:$L$21,Medic!$B$12:$L$12),TRUE)+1)="-","")),"UP lebih besar dari fitur produk",IF(K55+L55/12&gt;'Spek Produk'!$I$22,"Masa asuransi lebih besar dari fitur produk",IF(AND(R55+K55+L55/12&gt;'Spek Produk'!$H$24,R55&lt;&gt;0,R55&lt;&gt;""),"Maksimum masa asuransi untuk nasabah berusia "&amp;R55&amp;" tahun adalah "&amp;MAX(0,'Spek Produk'!$H$24-R55)&amp;" tahun",IF(AND(0&lt;K55+L55/12,K55+L55/12&lt;'Spek Produk'!$G$22),"Masa asuransi lebih kecil dari fitur produk"," ")))))),IF(AND(R55&gt;'Spek Produk'!$I$35,R55&lt;&gt;""),"Usia masuk lebih besar dari fitur produk",IF(AND(R55&lt;'Spek Produk'!$G$35,R55&lt;&gt;0,R55&lt;&gt;""),"Usia masuk lebih rendah dari fitur produk",IF(OR(O55&gt;_xlfn.IFS(R55+K55+(L55/12)&lt;='Spek Produk'!$C$40,'Spek Produk'!$D$40,R55+K55+(L55/12)&gt;'Spek Produk'!$C$40,'Spek Produk'!$D$41),T55&gt;_xlfn.IFS(R55+K55+(L55/12)&lt;='Spek Produk'!$C$40,'Spek Produk'!$D$40,R55+K55+(L55/12)&gt;'Spek Produk'!$C$40,'Spek Produk'!$D$41),IFERROR(VLOOKUP(R55,IF('Spek Produk'!$F$9="Syariah",Medic!$A$21:$L$27,Medic!$A$12:$L$18),MATCH(T55,IF('Spek Produk'!$F$9="Syariah",Medic!$B$21:$L$21,Medic!$B$12:$L$12),TRUE)+1)="-","")),"UP lebih besar dari fitur produk",IF(K55+L55/12&gt;'Spek Produk'!$I$34,"Masa asuransi lebih besar dari fitur produk",IF(AND(R55+K55+L55/12&gt;'Spek Produk'!$H$36,R55&lt;&gt;0,R55&lt;&gt;""),"Maksimum masa asuransi untuk nasabah berusia "&amp;R55&amp;" tahun adalah "&amp;MAX(0,'Spek Produk'!$H$36-R55)&amp;" tahun",IF(AND(0&lt;K55+L55/12,K55+L55/12&lt;'Spek Produk'!$G$34),"Masa asuransi lebih Kecil dari fitur produk"," ")))))))</f>
        <v xml:space="preserve"> </v>
      </c>
      <c r="Z55" s="77"/>
    </row>
    <row r="56" spans="1:26" x14ac:dyDescent="0.25">
      <c r="A56" s="43"/>
      <c r="B56" s="81"/>
      <c r="C56" s="82"/>
      <c r="D56" s="81"/>
      <c r="E56" s="83"/>
      <c r="F56" s="43"/>
      <c r="G56" s="43"/>
      <c r="H56" s="84"/>
      <c r="I56" s="42" t="s">
        <v>76</v>
      </c>
      <c r="J56" s="43"/>
      <c r="K56" s="43"/>
      <c r="L56" s="43"/>
      <c r="M56" s="85" t="s">
        <v>77</v>
      </c>
      <c r="N56" s="85"/>
      <c r="O56" s="44">
        <f>SUM(O6:O55)</f>
        <v>1052295854</v>
      </c>
      <c r="Q56" s="45"/>
      <c r="R56" s="45"/>
      <c r="S56" s="45"/>
      <c r="T56" s="45"/>
      <c r="U56" s="45"/>
      <c r="V56" s="46">
        <f ca="1">SUM(V6:V55)</f>
        <v>50932778.29177811</v>
      </c>
      <c r="W56" s="46">
        <f ca="1">SUM(W6:W55)</f>
        <v>9934929.7959818505</v>
      </c>
      <c r="X56" s="46">
        <f ca="1">SUM(X6:X55)</f>
        <v>60867708.087759964</v>
      </c>
    </row>
    <row r="57" spans="1:26" ht="18" customHeight="1" x14ac:dyDescent="0.25">
      <c r="A57" s="86" t="s">
        <v>78</v>
      </c>
    </row>
  </sheetData>
  <sheetProtection algorithmName="SHA-512" hashValue="XW2mf1RlNJWlArR3EWA6fKCRkdP0LkQ3U/oUuwXInQCaWojsDS45T+A8JcwRPK5/NkQpQhp8MtK+isRmQhknFg==" saltValue="tCW32wi7yAWBkjQ+tRis0Q==" spinCount="100000" sheet="1" objects="1" scenarios="1"/>
  <protectedRanges>
    <protectedRange algorithmName="SHA-512" hashValue="EVL9VXIMEALf8nAKdXPAaeGY1O8R1Z9mIB3ZWgmi8pz55dgBUM3aTbj0lO9KpoE70SNJ1xtI3UjChsIhMvSPSg==" saltValue="klM67NxR8gvgHh1ObG2ElA==" spinCount="100000" sqref="U6:V55 X6:X55" name="Range1"/>
  </protectedRanges>
  <mergeCells count="22">
    <mergeCell ref="M4:M5"/>
    <mergeCell ref="A4:A5"/>
    <mergeCell ref="B4:B5"/>
    <mergeCell ref="C4:C5"/>
    <mergeCell ref="D4:D5"/>
    <mergeCell ref="E4:E5"/>
    <mergeCell ref="F4:F5"/>
    <mergeCell ref="G4:G5"/>
    <mergeCell ref="H4:H5"/>
    <mergeCell ref="I4:I5"/>
    <mergeCell ref="J4:J5"/>
    <mergeCell ref="K4:L4"/>
    <mergeCell ref="N4:N5"/>
    <mergeCell ref="T4:T5"/>
    <mergeCell ref="X4:X5"/>
    <mergeCell ref="O4:O5"/>
    <mergeCell ref="Q4:Q5"/>
    <mergeCell ref="R4:R5"/>
    <mergeCell ref="U4:U5"/>
    <mergeCell ref="V4:V5"/>
    <mergeCell ref="W4:W5"/>
    <mergeCell ref="S4:S5"/>
  </mergeCells>
  <dataValidations disablePrompts="1" count="1">
    <dataValidation type="list" allowBlank="1" showInputMessage="1" showErrorMessage="1" errorTitle="Plan" error="Plan Asuransi tidak sesuai dengan fitur produk asuransi!" sqref="N6:N55" xr:uid="{1AE406E6-EF4C-4AAB-9D9D-53530A81BC8C}">
      <formula1>"Yes,No"</formula1>
    </dataValidation>
  </dataValidation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ignoredErrors>
    <ignoredError sqref="E6:E1048576" numberStoredAsText="1"/>
  </ignoredErrors>
  <extLst>
    <ext xmlns:x14="http://schemas.microsoft.com/office/spreadsheetml/2009/9/main" uri="{CCE6A557-97BC-4b89-ADB6-D9C93CAAB3DF}">
      <x14:dataValidations xmlns:xm="http://schemas.microsoft.com/office/excel/2006/main" disablePrompts="1"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AND(R6&lt;=IF(M6="Menurun",'Spek Produk'!$I$23,'Spek Produk'!$I$35),R6&gt;=IF(M6="Menurun",'Spek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O6:O55</xm:sqref>
        </x14:dataValidation>
        <x14:dataValidation type="decimal" allowBlank="1" showInputMessage="1" showErrorMessage="1" error="Masa Asuransi yang dipilih tidak sesuai dengan spesifikasi produk Asuransi!_x000a_" xr:uid="{FC1043C0-7474-4AB3-9378-393764C4CD87}">
          <x14:formula1>
            <xm:f>0</xm:f>
          </x14:formula1>
          <x14:formula2>
            <xm:f>IF(IF(M6="Menurun",K6=MAX('Spek Produk'!$AR$42:$XFD$42),K6=MAX('Spek Produk'!$AR$43:$XFD$43)),0,11)</xm:f>
          </x14:formula2>
          <xm:sqref>L6:L55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Simulasi Premi 1 (Personal)</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TOSHIBA</cp:lastModifiedBy>
  <cp:lastPrinted>2019-12-16T14:56:38Z</cp:lastPrinted>
  <dcterms:created xsi:type="dcterms:W3CDTF">2019-12-11T07:45:57Z</dcterms:created>
  <dcterms:modified xsi:type="dcterms:W3CDTF">2026-10-29T12:50:56Z</dcterms:modified>
</cp:coreProperties>
</file>